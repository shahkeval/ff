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nket.shah\Downloads\VMP\"/>
    </mc:Choice>
  </mc:AlternateContent>
  <xr:revisionPtr revIDLastSave="1" documentId="8_{57C10FD0-1C7D-D64D-BCB1-438350BB8D97}" xr6:coauthVersionLast="47" xr6:coauthVersionMax="47" xr10:uidLastSave="{E8878066-F96E-4103-BD8C-D28CEF99950F}"/>
  <bookViews>
    <workbookView xWindow="-108" yWindow="-108" windowWidth="23256" windowHeight="12456" tabRatio="687" firstSheet="5" xr2:uid="{00000000-000D-0000-FFFF-FFFF00000000}"/>
  </bookViews>
  <sheets>
    <sheet name="KPI_Master" sheetId="2" r:id="rId1"/>
    <sheet name="Common_Formula_Elements" sheetId="3" r:id="rId2"/>
    <sheet name="Minimum_Documents" sheetId="4" r:id="rId3"/>
    <sheet name="KPI_Doc_Matrix" sheetId="5" r:id="rId4"/>
    <sheet name="KPI_Element_Map" sheetId="6" r:id="rId5"/>
    <sheet name="v9_Gap_List" sheetId="7" r:id="rId6"/>
  </sheets>
  <definedNames>
    <definedName name="_xlnm._FilterDatabase" localSheetId="1" hidden="1">Common_Formula_Elements!$A$4:$H$62</definedName>
    <definedName name="_xlnm._FilterDatabase" localSheetId="3" hidden="1">KPI_Doc_Matrix!$A$1:$AK$172</definedName>
    <definedName name="_xlnm._FilterDatabase" localSheetId="4" hidden="1">KPI_Element_Map!$A$1:$H$287</definedName>
    <definedName name="_xlnm._FilterDatabase" localSheetId="0" hidden="1">KPI_Master!$A$1:$M$1</definedName>
    <definedName name="_xlnm._FilterDatabase" localSheetId="2" hidden="1">Minimum_Documents!$A$6:$I$37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" i="7" l="1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B3" i="7"/>
  <c r="D3" i="7"/>
  <c r="F3" i="7"/>
  <c r="G287" i="6"/>
  <c r="H287" i="6" s="1"/>
  <c r="F287" i="6"/>
  <c r="D287" i="6"/>
  <c r="C287" i="6"/>
  <c r="B287" i="6"/>
  <c r="G286" i="6"/>
  <c r="H286" i="6" s="1"/>
  <c r="F286" i="6"/>
  <c r="D286" i="6"/>
  <c r="C286" i="6"/>
  <c r="B286" i="6"/>
  <c r="G285" i="6"/>
  <c r="H285" i="6" s="1"/>
  <c r="F285" i="6"/>
  <c r="D285" i="6"/>
  <c r="C285" i="6"/>
  <c r="B285" i="6"/>
  <c r="G284" i="6"/>
  <c r="H284" i="6" s="1"/>
  <c r="F284" i="6"/>
  <c r="D284" i="6"/>
  <c r="C284" i="6"/>
  <c r="B284" i="6"/>
  <c r="G283" i="6"/>
  <c r="H283" i="6" s="1"/>
  <c r="F283" i="6"/>
  <c r="D283" i="6"/>
  <c r="C283" i="6"/>
  <c r="B283" i="6"/>
  <c r="G282" i="6"/>
  <c r="H282" i="6" s="1"/>
  <c r="F282" i="6"/>
  <c r="D282" i="6"/>
  <c r="C282" i="6"/>
  <c r="B282" i="6"/>
  <c r="G281" i="6"/>
  <c r="H281" i="6" s="1"/>
  <c r="F281" i="6"/>
  <c r="D281" i="6"/>
  <c r="C281" i="6"/>
  <c r="B281" i="6"/>
  <c r="G280" i="6"/>
  <c r="H280" i="6" s="1"/>
  <c r="F280" i="6"/>
  <c r="D280" i="6"/>
  <c r="C280" i="6"/>
  <c r="B280" i="6"/>
  <c r="G279" i="6"/>
  <c r="H279" i="6" s="1"/>
  <c r="F279" i="6"/>
  <c r="D279" i="6"/>
  <c r="C279" i="6"/>
  <c r="B279" i="6"/>
  <c r="G278" i="6"/>
  <c r="H278" i="6" s="1"/>
  <c r="F278" i="6"/>
  <c r="D278" i="6"/>
  <c r="C278" i="6"/>
  <c r="B278" i="6"/>
  <c r="G277" i="6"/>
  <c r="H277" i="6" s="1"/>
  <c r="F277" i="6"/>
  <c r="D277" i="6"/>
  <c r="C277" i="6"/>
  <c r="B277" i="6"/>
  <c r="G276" i="6"/>
  <c r="H276" i="6" s="1"/>
  <c r="F276" i="6"/>
  <c r="D276" i="6"/>
  <c r="C276" i="6"/>
  <c r="B276" i="6"/>
  <c r="G275" i="6"/>
  <c r="H275" i="6" s="1"/>
  <c r="F275" i="6"/>
  <c r="D275" i="6"/>
  <c r="C275" i="6"/>
  <c r="B275" i="6"/>
  <c r="G274" i="6"/>
  <c r="H274" i="6" s="1"/>
  <c r="F274" i="6"/>
  <c r="D274" i="6"/>
  <c r="C274" i="6"/>
  <c r="B274" i="6"/>
  <c r="G273" i="6"/>
  <c r="H273" i="6" s="1"/>
  <c r="F273" i="6"/>
  <c r="D273" i="6"/>
  <c r="C273" i="6"/>
  <c r="B273" i="6"/>
  <c r="G272" i="6"/>
  <c r="H272" i="6" s="1"/>
  <c r="F272" i="6"/>
  <c r="D272" i="6"/>
  <c r="C272" i="6"/>
  <c r="B272" i="6"/>
  <c r="G271" i="6"/>
  <c r="H271" i="6" s="1"/>
  <c r="F271" i="6"/>
  <c r="D271" i="6"/>
  <c r="C271" i="6"/>
  <c r="B271" i="6"/>
  <c r="G270" i="6"/>
  <c r="H270" i="6" s="1"/>
  <c r="F270" i="6"/>
  <c r="D270" i="6"/>
  <c r="C270" i="6"/>
  <c r="B270" i="6"/>
  <c r="G269" i="6"/>
  <c r="H269" i="6" s="1"/>
  <c r="F269" i="6"/>
  <c r="D269" i="6"/>
  <c r="C269" i="6"/>
  <c r="B269" i="6"/>
  <c r="G268" i="6"/>
  <c r="H268" i="6" s="1"/>
  <c r="F268" i="6"/>
  <c r="D268" i="6"/>
  <c r="C268" i="6"/>
  <c r="B268" i="6"/>
  <c r="G267" i="6"/>
  <c r="H267" i="6" s="1"/>
  <c r="F267" i="6"/>
  <c r="D267" i="6"/>
  <c r="C267" i="6"/>
  <c r="B267" i="6"/>
  <c r="G266" i="6"/>
  <c r="H266" i="6" s="1"/>
  <c r="F266" i="6"/>
  <c r="D266" i="6"/>
  <c r="C266" i="6"/>
  <c r="B266" i="6"/>
  <c r="G265" i="6"/>
  <c r="H265" i="6" s="1"/>
  <c r="F265" i="6"/>
  <c r="D265" i="6"/>
  <c r="C265" i="6"/>
  <c r="B265" i="6"/>
  <c r="G264" i="6"/>
  <c r="H264" i="6" s="1"/>
  <c r="F264" i="6"/>
  <c r="D264" i="6"/>
  <c r="C264" i="6"/>
  <c r="B264" i="6"/>
  <c r="G263" i="6"/>
  <c r="H263" i="6" s="1"/>
  <c r="F263" i="6"/>
  <c r="D263" i="6"/>
  <c r="C263" i="6"/>
  <c r="B263" i="6"/>
  <c r="G262" i="6"/>
  <c r="H262" i="6" s="1"/>
  <c r="F262" i="6"/>
  <c r="D262" i="6"/>
  <c r="C262" i="6"/>
  <c r="B262" i="6"/>
  <c r="G261" i="6"/>
  <c r="H261" i="6" s="1"/>
  <c r="F261" i="6"/>
  <c r="D261" i="6"/>
  <c r="C261" i="6"/>
  <c r="B261" i="6"/>
  <c r="G260" i="6"/>
  <c r="H260" i="6" s="1"/>
  <c r="F260" i="6"/>
  <c r="D260" i="6"/>
  <c r="C260" i="6"/>
  <c r="B260" i="6"/>
  <c r="G259" i="6"/>
  <c r="H259" i="6" s="1"/>
  <c r="F259" i="6"/>
  <c r="D259" i="6"/>
  <c r="C259" i="6"/>
  <c r="B259" i="6"/>
  <c r="G258" i="6"/>
  <c r="H258" i="6" s="1"/>
  <c r="F258" i="6"/>
  <c r="D258" i="6"/>
  <c r="C258" i="6"/>
  <c r="B258" i="6"/>
  <c r="G257" i="6"/>
  <c r="H257" i="6" s="1"/>
  <c r="F257" i="6"/>
  <c r="D257" i="6"/>
  <c r="C257" i="6"/>
  <c r="B257" i="6"/>
  <c r="G256" i="6"/>
  <c r="H256" i="6" s="1"/>
  <c r="F256" i="6"/>
  <c r="D256" i="6"/>
  <c r="C256" i="6"/>
  <c r="B256" i="6"/>
  <c r="G255" i="6"/>
  <c r="H255" i="6" s="1"/>
  <c r="F255" i="6"/>
  <c r="D255" i="6"/>
  <c r="C255" i="6"/>
  <c r="B255" i="6"/>
  <c r="G254" i="6"/>
  <c r="H254" i="6" s="1"/>
  <c r="F254" i="6"/>
  <c r="D254" i="6"/>
  <c r="C254" i="6"/>
  <c r="B254" i="6"/>
  <c r="G253" i="6"/>
  <c r="H253" i="6" s="1"/>
  <c r="F253" i="6"/>
  <c r="D253" i="6"/>
  <c r="C253" i="6"/>
  <c r="B253" i="6"/>
  <c r="G252" i="6"/>
  <c r="H252" i="6" s="1"/>
  <c r="F252" i="6"/>
  <c r="D252" i="6"/>
  <c r="C252" i="6"/>
  <c r="B252" i="6"/>
  <c r="G251" i="6"/>
  <c r="H251" i="6" s="1"/>
  <c r="F251" i="6"/>
  <c r="D251" i="6"/>
  <c r="C251" i="6"/>
  <c r="B251" i="6"/>
  <c r="G250" i="6"/>
  <c r="H250" i="6" s="1"/>
  <c r="F250" i="6"/>
  <c r="D250" i="6"/>
  <c r="C250" i="6"/>
  <c r="B250" i="6"/>
  <c r="G249" i="6"/>
  <c r="H249" i="6" s="1"/>
  <c r="F249" i="6"/>
  <c r="D249" i="6"/>
  <c r="C249" i="6"/>
  <c r="B249" i="6"/>
  <c r="G248" i="6"/>
  <c r="H248" i="6" s="1"/>
  <c r="F248" i="6"/>
  <c r="D248" i="6"/>
  <c r="C248" i="6"/>
  <c r="B248" i="6"/>
  <c r="G247" i="6"/>
  <c r="H247" i="6" s="1"/>
  <c r="F247" i="6"/>
  <c r="D247" i="6"/>
  <c r="C247" i="6"/>
  <c r="B247" i="6"/>
  <c r="G246" i="6"/>
  <c r="H246" i="6" s="1"/>
  <c r="F246" i="6"/>
  <c r="D246" i="6"/>
  <c r="C246" i="6"/>
  <c r="B246" i="6"/>
  <c r="G245" i="6"/>
  <c r="H245" i="6" s="1"/>
  <c r="F245" i="6"/>
  <c r="D245" i="6"/>
  <c r="C245" i="6"/>
  <c r="B245" i="6"/>
  <c r="G244" i="6"/>
  <c r="H244" i="6" s="1"/>
  <c r="F244" i="6"/>
  <c r="D244" i="6"/>
  <c r="C244" i="6"/>
  <c r="B244" i="6"/>
  <c r="G243" i="6"/>
  <c r="H243" i="6" s="1"/>
  <c r="F243" i="6"/>
  <c r="D243" i="6"/>
  <c r="C243" i="6"/>
  <c r="B243" i="6"/>
  <c r="G242" i="6"/>
  <c r="H242" i="6" s="1"/>
  <c r="F242" i="6"/>
  <c r="D242" i="6"/>
  <c r="C242" i="6"/>
  <c r="B242" i="6"/>
  <c r="G241" i="6"/>
  <c r="H241" i="6" s="1"/>
  <c r="F241" i="6"/>
  <c r="D241" i="6"/>
  <c r="C241" i="6"/>
  <c r="B241" i="6"/>
  <c r="G240" i="6"/>
  <c r="H240" i="6" s="1"/>
  <c r="F240" i="6"/>
  <c r="D240" i="6"/>
  <c r="C240" i="6"/>
  <c r="B240" i="6"/>
  <c r="G239" i="6"/>
  <c r="F239" i="6"/>
  <c r="D239" i="6"/>
  <c r="C239" i="6"/>
  <c r="B239" i="6"/>
  <c r="G238" i="6"/>
  <c r="H238" i="6" s="1"/>
  <c r="F238" i="6"/>
  <c r="D238" i="6"/>
  <c r="C238" i="6"/>
  <c r="B238" i="6"/>
  <c r="G237" i="6"/>
  <c r="H237" i="6" s="1"/>
  <c r="F237" i="6"/>
  <c r="D237" i="6"/>
  <c r="C237" i="6"/>
  <c r="B237" i="6"/>
  <c r="G236" i="6"/>
  <c r="H236" i="6" s="1"/>
  <c r="F236" i="6"/>
  <c r="D236" i="6"/>
  <c r="C236" i="6"/>
  <c r="B236" i="6"/>
  <c r="G235" i="6"/>
  <c r="H235" i="6" s="1"/>
  <c r="F235" i="6"/>
  <c r="D235" i="6"/>
  <c r="C235" i="6"/>
  <c r="B235" i="6"/>
  <c r="G234" i="6"/>
  <c r="H234" i="6" s="1"/>
  <c r="F234" i="6"/>
  <c r="D234" i="6"/>
  <c r="C234" i="6"/>
  <c r="B234" i="6"/>
  <c r="G233" i="6"/>
  <c r="H233" i="6" s="1"/>
  <c r="F233" i="6"/>
  <c r="D233" i="6"/>
  <c r="C233" i="6"/>
  <c r="B233" i="6"/>
  <c r="G232" i="6"/>
  <c r="H232" i="6" s="1"/>
  <c r="F232" i="6"/>
  <c r="D232" i="6"/>
  <c r="C232" i="6"/>
  <c r="B232" i="6"/>
  <c r="G231" i="6"/>
  <c r="H231" i="6" s="1"/>
  <c r="F231" i="6"/>
  <c r="D231" i="6"/>
  <c r="C231" i="6"/>
  <c r="B231" i="6"/>
  <c r="G230" i="6"/>
  <c r="H230" i="6" s="1"/>
  <c r="F230" i="6"/>
  <c r="D230" i="6"/>
  <c r="C230" i="6"/>
  <c r="B230" i="6"/>
  <c r="G229" i="6"/>
  <c r="H229" i="6" s="1"/>
  <c r="F229" i="6"/>
  <c r="D229" i="6"/>
  <c r="C229" i="6"/>
  <c r="B229" i="6"/>
  <c r="G228" i="6"/>
  <c r="H228" i="6" s="1"/>
  <c r="F228" i="6"/>
  <c r="D228" i="6"/>
  <c r="C228" i="6"/>
  <c r="B228" i="6"/>
  <c r="G227" i="6"/>
  <c r="H227" i="6" s="1"/>
  <c r="F227" i="6"/>
  <c r="D227" i="6"/>
  <c r="C227" i="6"/>
  <c r="B227" i="6"/>
  <c r="G226" i="6"/>
  <c r="H226" i="6" s="1"/>
  <c r="F226" i="6"/>
  <c r="D226" i="6"/>
  <c r="C226" i="6"/>
  <c r="B226" i="6"/>
  <c r="G225" i="6"/>
  <c r="H225" i="6" s="1"/>
  <c r="F225" i="6"/>
  <c r="D225" i="6"/>
  <c r="C225" i="6"/>
  <c r="B225" i="6"/>
  <c r="G224" i="6"/>
  <c r="H224" i="6" s="1"/>
  <c r="F224" i="6"/>
  <c r="D224" i="6"/>
  <c r="C224" i="6"/>
  <c r="B224" i="6"/>
  <c r="G223" i="6"/>
  <c r="H223" i="6" s="1"/>
  <c r="F223" i="6"/>
  <c r="D223" i="6"/>
  <c r="C223" i="6"/>
  <c r="B223" i="6"/>
  <c r="G222" i="6"/>
  <c r="H222" i="6" s="1"/>
  <c r="F222" i="6"/>
  <c r="D222" i="6"/>
  <c r="C222" i="6"/>
  <c r="B222" i="6"/>
  <c r="G221" i="6"/>
  <c r="H221" i="6" s="1"/>
  <c r="F221" i="6"/>
  <c r="D221" i="6"/>
  <c r="C221" i="6"/>
  <c r="B221" i="6"/>
  <c r="G220" i="6"/>
  <c r="H220" i="6" s="1"/>
  <c r="F220" i="6"/>
  <c r="D220" i="6"/>
  <c r="C220" i="6"/>
  <c r="B220" i="6"/>
  <c r="G219" i="6"/>
  <c r="H219" i="6" s="1"/>
  <c r="F219" i="6"/>
  <c r="D219" i="6"/>
  <c r="C219" i="6"/>
  <c r="B219" i="6"/>
  <c r="G218" i="6"/>
  <c r="H218" i="6" s="1"/>
  <c r="F218" i="6"/>
  <c r="D218" i="6"/>
  <c r="C218" i="6"/>
  <c r="B218" i="6"/>
  <c r="G217" i="6"/>
  <c r="H217" i="6" s="1"/>
  <c r="F217" i="6"/>
  <c r="D217" i="6"/>
  <c r="C217" i="6"/>
  <c r="B217" i="6"/>
  <c r="G216" i="6"/>
  <c r="H216" i="6" s="1"/>
  <c r="F216" i="6"/>
  <c r="D216" i="6"/>
  <c r="C216" i="6"/>
  <c r="B216" i="6"/>
  <c r="G215" i="6"/>
  <c r="H215" i="6" s="1"/>
  <c r="F215" i="6"/>
  <c r="D215" i="6"/>
  <c r="C215" i="6"/>
  <c r="B215" i="6"/>
  <c r="G214" i="6"/>
  <c r="H214" i="6" s="1"/>
  <c r="F214" i="6"/>
  <c r="D214" i="6"/>
  <c r="C214" i="6"/>
  <c r="B214" i="6"/>
  <c r="G213" i="6"/>
  <c r="H213" i="6" s="1"/>
  <c r="F213" i="6"/>
  <c r="D213" i="6"/>
  <c r="C213" i="6"/>
  <c r="B213" i="6"/>
  <c r="G212" i="6"/>
  <c r="H212" i="6" s="1"/>
  <c r="F212" i="6"/>
  <c r="D212" i="6"/>
  <c r="C212" i="6"/>
  <c r="B212" i="6"/>
  <c r="G211" i="6"/>
  <c r="H211" i="6" s="1"/>
  <c r="F211" i="6"/>
  <c r="D211" i="6"/>
  <c r="C211" i="6"/>
  <c r="B211" i="6"/>
  <c r="G210" i="6"/>
  <c r="H210" i="6" s="1"/>
  <c r="F210" i="6"/>
  <c r="D210" i="6"/>
  <c r="C210" i="6"/>
  <c r="B210" i="6"/>
  <c r="G209" i="6"/>
  <c r="H209" i="6" s="1"/>
  <c r="F209" i="6"/>
  <c r="D209" i="6"/>
  <c r="C209" i="6"/>
  <c r="B209" i="6"/>
  <c r="G208" i="6"/>
  <c r="H208" i="6" s="1"/>
  <c r="F208" i="6"/>
  <c r="D208" i="6"/>
  <c r="C208" i="6"/>
  <c r="B208" i="6"/>
  <c r="G207" i="6"/>
  <c r="H207" i="6" s="1"/>
  <c r="F207" i="6"/>
  <c r="D207" i="6"/>
  <c r="C207" i="6"/>
  <c r="B207" i="6"/>
  <c r="G206" i="6"/>
  <c r="H206" i="6" s="1"/>
  <c r="F206" i="6"/>
  <c r="D206" i="6"/>
  <c r="C206" i="6"/>
  <c r="B206" i="6"/>
  <c r="G205" i="6"/>
  <c r="H205" i="6" s="1"/>
  <c r="F205" i="6"/>
  <c r="D205" i="6"/>
  <c r="C205" i="6"/>
  <c r="B205" i="6"/>
  <c r="G204" i="6"/>
  <c r="H204" i="6" s="1"/>
  <c r="F204" i="6"/>
  <c r="D204" i="6"/>
  <c r="C204" i="6"/>
  <c r="B204" i="6"/>
  <c r="G203" i="6"/>
  <c r="H203" i="6" s="1"/>
  <c r="F203" i="6"/>
  <c r="D203" i="6"/>
  <c r="C203" i="6"/>
  <c r="B203" i="6"/>
  <c r="G202" i="6"/>
  <c r="H202" i="6" s="1"/>
  <c r="F202" i="6"/>
  <c r="D202" i="6"/>
  <c r="C202" i="6"/>
  <c r="B202" i="6"/>
  <c r="G201" i="6"/>
  <c r="H201" i="6" s="1"/>
  <c r="F201" i="6"/>
  <c r="D201" i="6"/>
  <c r="C201" i="6"/>
  <c r="B201" i="6"/>
  <c r="G200" i="6"/>
  <c r="H200" i="6" s="1"/>
  <c r="F200" i="6"/>
  <c r="D200" i="6"/>
  <c r="C200" i="6"/>
  <c r="B200" i="6"/>
  <c r="G199" i="6"/>
  <c r="H199" i="6" s="1"/>
  <c r="F199" i="6"/>
  <c r="D199" i="6"/>
  <c r="C199" i="6"/>
  <c r="B199" i="6"/>
  <c r="G198" i="6"/>
  <c r="H198" i="6" s="1"/>
  <c r="F198" i="6"/>
  <c r="D198" i="6"/>
  <c r="C198" i="6"/>
  <c r="B198" i="6"/>
  <c r="G197" i="6"/>
  <c r="H197" i="6" s="1"/>
  <c r="F197" i="6"/>
  <c r="D197" i="6"/>
  <c r="C197" i="6"/>
  <c r="B197" i="6"/>
  <c r="G196" i="6"/>
  <c r="H196" i="6" s="1"/>
  <c r="F196" i="6"/>
  <c r="D196" i="6"/>
  <c r="C196" i="6"/>
  <c r="B196" i="6"/>
  <c r="G195" i="6"/>
  <c r="H195" i="6" s="1"/>
  <c r="F195" i="6"/>
  <c r="D195" i="6"/>
  <c r="C195" i="6"/>
  <c r="B195" i="6"/>
  <c r="G194" i="6"/>
  <c r="H194" i="6" s="1"/>
  <c r="F194" i="6"/>
  <c r="D194" i="6"/>
  <c r="C194" i="6"/>
  <c r="B194" i="6"/>
  <c r="G193" i="6"/>
  <c r="H193" i="6" s="1"/>
  <c r="F193" i="6"/>
  <c r="D193" i="6"/>
  <c r="C193" i="6"/>
  <c r="B193" i="6"/>
  <c r="G192" i="6"/>
  <c r="H192" i="6" s="1"/>
  <c r="F192" i="6"/>
  <c r="D192" i="6"/>
  <c r="C192" i="6"/>
  <c r="B192" i="6"/>
  <c r="G191" i="6"/>
  <c r="H191" i="6" s="1"/>
  <c r="F191" i="6"/>
  <c r="D191" i="6"/>
  <c r="C191" i="6"/>
  <c r="B191" i="6"/>
  <c r="G190" i="6"/>
  <c r="H190" i="6" s="1"/>
  <c r="F190" i="6"/>
  <c r="D190" i="6"/>
  <c r="C190" i="6"/>
  <c r="B190" i="6"/>
  <c r="G189" i="6"/>
  <c r="H189" i="6" s="1"/>
  <c r="F189" i="6"/>
  <c r="D189" i="6"/>
  <c r="C189" i="6"/>
  <c r="B189" i="6"/>
  <c r="G188" i="6"/>
  <c r="H188" i="6" s="1"/>
  <c r="F188" i="6"/>
  <c r="D188" i="6"/>
  <c r="C188" i="6"/>
  <c r="B188" i="6"/>
  <c r="G187" i="6"/>
  <c r="H187" i="6" s="1"/>
  <c r="F187" i="6"/>
  <c r="D187" i="6"/>
  <c r="C187" i="6"/>
  <c r="B187" i="6"/>
  <c r="G186" i="6"/>
  <c r="H186" i="6" s="1"/>
  <c r="F186" i="6"/>
  <c r="D186" i="6"/>
  <c r="C186" i="6"/>
  <c r="B186" i="6"/>
  <c r="G185" i="6"/>
  <c r="H185" i="6" s="1"/>
  <c r="F185" i="6"/>
  <c r="D185" i="6"/>
  <c r="C185" i="6"/>
  <c r="B185" i="6"/>
  <c r="G184" i="6"/>
  <c r="H184" i="6" s="1"/>
  <c r="F184" i="6"/>
  <c r="D184" i="6"/>
  <c r="C184" i="6"/>
  <c r="B184" i="6"/>
  <c r="G183" i="6"/>
  <c r="H183" i="6" s="1"/>
  <c r="F183" i="6"/>
  <c r="D183" i="6"/>
  <c r="C183" i="6"/>
  <c r="B183" i="6"/>
  <c r="G182" i="6"/>
  <c r="H182" i="6" s="1"/>
  <c r="F182" i="6"/>
  <c r="D182" i="6"/>
  <c r="C182" i="6"/>
  <c r="B182" i="6"/>
  <c r="G181" i="6"/>
  <c r="H181" i="6" s="1"/>
  <c r="F181" i="6"/>
  <c r="D181" i="6"/>
  <c r="C181" i="6"/>
  <c r="B181" i="6"/>
  <c r="G180" i="6"/>
  <c r="H180" i="6" s="1"/>
  <c r="F180" i="6"/>
  <c r="D180" i="6"/>
  <c r="C180" i="6"/>
  <c r="B180" i="6"/>
  <c r="G179" i="6"/>
  <c r="H179" i="6" s="1"/>
  <c r="F179" i="6"/>
  <c r="D179" i="6"/>
  <c r="C179" i="6"/>
  <c r="B179" i="6"/>
  <c r="G178" i="6"/>
  <c r="H178" i="6" s="1"/>
  <c r="F178" i="6"/>
  <c r="D178" i="6"/>
  <c r="C178" i="6"/>
  <c r="B178" i="6"/>
  <c r="G177" i="6"/>
  <c r="H177" i="6" s="1"/>
  <c r="F177" i="6"/>
  <c r="D177" i="6"/>
  <c r="C177" i="6"/>
  <c r="B177" i="6"/>
  <c r="G176" i="6"/>
  <c r="H176" i="6" s="1"/>
  <c r="F176" i="6"/>
  <c r="D176" i="6"/>
  <c r="C176" i="6"/>
  <c r="B176" i="6"/>
  <c r="G175" i="6"/>
  <c r="H175" i="6" s="1"/>
  <c r="F175" i="6"/>
  <c r="D175" i="6"/>
  <c r="C175" i="6"/>
  <c r="B175" i="6"/>
  <c r="G174" i="6"/>
  <c r="H174" i="6" s="1"/>
  <c r="F174" i="6"/>
  <c r="D174" i="6"/>
  <c r="C174" i="6"/>
  <c r="B174" i="6"/>
  <c r="G173" i="6"/>
  <c r="H173" i="6" s="1"/>
  <c r="F173" i="6"/>
  <c r="D173" i="6"/>
  <c r="C173" i="6"/>
  <c r="B173" i="6"/>
  <c r="G172" i="6"/>
  <c r="H172" i="6" s="1"/>
  <c r="F172" i="6"/>
  <c r="D172" i="6"/>
  <c r="C172" i="6"/>
  <c r="B172" i="6"/>
  <c r="G171" i="6"/>
  <c r="H171" i="6" s="1"/>
  <c r="F171" i="6"/>
  <c r="D171" i="6"/>
  <c r="C171" i="6"/>
  <c r="B171" i="6"/>
  <c r="G170" i="6"/>
  <c r="H170" i="6" s="1"/>
  <c r="F170" i="6"/>
  <c r="D170" i="6"/>
  <c r="C170" i="6"/>
  <c r="B170" i="6"/>
  <c r="G169" i="6"/>
  <c r="H169" i="6" s="1"/>
  <c r="F169" i="6"/>
  <c r="D169" i="6"/>
  <c r="C169" i="6"/>
  <c r="B169" i="6"/>
  <c r="G168" i="6"/>
  <c r="H168" i="6" s="1"/>
  <c r="F168" i="6"/>
  <c r="D168" i="6"/>
  <c r="C168" i="6"/>
  <c r="B168" i="6"/>
  <c r="G167" i="6"/>
  <c r="H167" i="6" s="1"/>
  <c r="F167" i="6"/>
  <c r="D167" i="6"/>
  <c r="C167" i="6"/>
  <c r="B167" i="6"/>
  <c r="G166" i="6"/>
  <c r="H166" i="6" s="1"/>
  <c r="F166" i="6"/>
  <c r="D166" i="6"/>
  <c r="C166" i="6"/>
  <c r="B166" i="6"/>
  <c r="G165" i="6"/>
  <c r="H165" i="6" s="1"/>
  <c r="F165" i="6"/>
  <c r="D165" i="6"/>
  <c r="C165" i="6"/>
  <c r="B165" i="6"/>
  <c r="G164" i="6"/>
  <c r="H164" i="6" s="1"/>
  <c r="F164" i="6"/>
  <c r="D164" i="6"/>
  <c r="C164" i="6"/>
  <c r="B164" i="6"/>
  <c r="G163" i="6"/>
  <c r="H163" i="6" s="1"/>
  <c r="F163" i="6"/>
  <c r="D163" i="6"/>
  <c r="C163" i="6"/>
  <c r="B163" i="6"/>
  <c r="G162" i="6"/>
  <c r="H162" i="6" s="1"/>
  <c r="F162" i="6"/>
  <c r="D162" i="6"/>
  <c r="C162" i="6"/>
  <c r="B162" i="6"/>
  <c r="G161" i="6"/>
  <c r="H161" i="6" s="1"/>
  <c r="F161" i="6"/>
  <c r="D161" i="6"/>
  <c r="C161" i="6"/>
  <c r="B161" i="6"/>
  <c r="G160" i="6"/>
  <c r="H160" i="6" s="1"/>
  <c r="F160" i="6"/>
  <c r="D160" i="6"/>
  <c r="C160" i="6"/>
  <c r="B160" i="6"/>
  <c r="G159" i="6"/>
  <c r="H159" i="6" s="1"/>
  <c r="F159" i="6"/>
  <c r="D159" i="6"/>
  <c r="C159" i="6"/>
  <c r="B159" i="6"/>
  <c r="G158" i="6"/>
  <c r="H158" i="6" s="1"/>
  <c r="F158" i="6"/>
  <c r="D158" i="6"/>
  <c r="C158" i="6"/>
  <c r="B158" i="6"/>
  <c r="G157" i="6"/>
  <c r="F157" i="6"/>
  <c r="D157" i="6"/>
  <c r="C157" i="6"/>
  <c r="B157" i="6"/>
  <c r="G156" i="6"/>
  <c r="H156" i="6" s="1"/>
  <c r="F156" i="6"/>
  <c r="D156" i="6"/>
  <c r="C156" i="6"/>
  <c r="B156" i="6"/>
  <c r="G155" i="6"/>
  <c r="H155" i="6" s="1"/>
  <c r="F155" i="6"/>
  <c r="D155" i="6"/>
  <c r="C155" i="6"/>
  <c r="B155" i="6"/>
  <c r="G154" i="6"/>
  <c r="H154" i="6" s="1"/>
  <c r="F154" i="6"/>
  <c r="D154" i="6"/>
  <c r="C154" i="6"/>
  <c r="B154" i="6"/>
  <c r="G153" i="6"/>
  <c r="H153" i="6" s="1"/>
  <c r="F153" i="6"/>
  <c r="D153" i="6"/>
  <c r="C153" i="6"/>
  <c r="B153" i="6"/>
  <c r="G152" i="6"/>
  <c r="H152" i="6" s="1"/>
  <c r="F152" i="6"/>
  <c r="D152" i="6"/>
  <c r="C152" i="6"/>
  <c r="B152" i="6"/>
  <c r="G151" i="6"/>
  <c r="H151" i="6" s="1"/>
  <c r="F151" i="6"/>
  <c r="D151" i="6"/>
  <c r="C151" i="6"/>
  <c r="B151" i="6"/>
  <c r="G150" i="6"/>
  <c r="H150" i="6" s="1"/>
  <c r="F150" i="6"/>
  <c r="D150" i="6"/>
  <c r="C150" i="6"/>
  <c r="B150" i="6"/>
  <c r="G149" i="6"/>
  <c r="H149" i="6" s="1"/>
  <c r="F149" i="6"/>
  <c r="D149" i="6"/>
  <c r="C149" i="6"/>
  <c r="B149" i="6"/>
  <c r="G148" i="6"/>
  <c r="H148" i="6" s="1"/>
  <c r="F148" i="6"/>
  <c r="D148" i="6"/>
  <c r="C148" i="6"/>
  <c r="B148" i="6"/>
  <c r="G147" i="6"/>
  <c r="H147" i="6" s="1"/>
  <c r="F147" i="6"/>
  <c r="D147" i="6"/>
  <c r="C147" i="6"/>
  <c r="B147" i="6"/>
  <c r="G146" i="6"/>
  <c r="H146" i="6" s="1"/>
  <c r="F146" i="6"/>
  <c r="D146" i="6"/>
  <c r="C146" i="6"/>
  <c r="B146" i="6"/>
  <c r="G145" i="6"/>
  <c r="H145" i="6" s="1"/>
  <c r="F145" i="6"/>
  <c r="D145" i="6"/>
  <c r="C145" i="6"/>
  <c r="B145" i="6"/>
  <c r="G144" i="6"/>
  <c r="H144" i="6" s="1"/>
  <c r="F144" i="6"/>
  <c r="D144" i="6"/>
  <c r="C144" i="6"/>
  <c r="B144" i="6"/>
  <c r="G143" i="6"/>
  <c r="H143" i="6" s="1"/>
  <c r="F143" i="6"/>
  <c r="D143" i="6"/>
  <c r="C143" i="6"/>
  <c r="B143" i="6"/>
  <c r="G142" i="6"/>
  <c r="H142" i="6" s="1"/>
  <c r="F142" i="6"/>
  <c r="D142" i="6"/>
  <c r="C142" i="6"/>
  <c r="B142" i="6"/>
  <c r="G141" i="6"/>
  <c r="H141" i="6" s="1"/>
  <c r="F141" i="6"/>
  <c r="D141" i="6"/>
  <c r="C141" i="6"/>
  <c r="B141" i="6"/>
  <c r="G140" i="6"/>
  <c r="H140" i="6" s="1"/>
  <c r="F140" i="6"/>
  <c r="D140" i="6"/>
  <c r="C140" i="6"/>
  <c r="B140" i="6"/>
  <c r="G139" i="6"/>
  <c r="H139" i="6" s="1"/>
  <c r="F139" i="6"/>
  <c r="D139" i="6"/>
  <c r="C139" i="6"/>
  <c r="B139" i="6"/>
  <c r="G138" i="6"/>
  <c r="H138" i="6" s="1"/>
  <c r="F138" i="6"/>
  <c r="D138" i="6"/>
  <c r="C138" i="6"/>
  <c r="B138" i="6"/>
  <c r="G137" i="6"/>
  <c r="H137" i="6" s="1"/>
  <c r="F137" i="6"/>
  <c r="D137" i="6"/>
  <c r="C137" i="6"/>
  <c r="B137" i="6"/>
  <c r="G136" i="6"/>
  <c r="H136" i="6" s="1"/>
  <c r="F136" i="6"/>
  <c r="D136" i="6"/>
  <c r="C136" i="6"/>
  <c r="B136" i="6"/>
  <c r="G135" i="6"/>
  <c r="H135" i="6" s="1"/>
  <c r="F135" i="6"/>
  <c r="D135" i="6"/>
  <c r="C135" i="6"/>
  <c r="B135" i="6"/>
  <c r="G134" i="6"/>
  <c r="H134" i="6" s="1"/>
  <c r="F134" i="6"/>
  <c r="D134" i="6"/>
  <c r="C134" i="6"/>
  <c r="B134" i="6"/>
  <c r="G133" i="6"/>
  <c r="H133" i="6" s="1"/>
  <c r="F133" i="6"/>
  <c r="D133" i="6"/>
  <c r="C133" i="6"/>
  <c r="B133" i="6"/>
  <c r="G132" i="6"/>
  <c r="H132" i="6" s="1"/>
  <c r="F132" i="6"/>
  <c r="D132" i="6"/>
  <c r="C132" i="6"/>
  <c r="B132" i="6"/>
  <c r="G131" i="6"/>
  <c r="H131" i="6" s="1"/>
  <c r="F131" i="6"/>
  <c r="D131" i="6"/>
  <c r="C131" i="6"/>
  <c r="B131" i="6"/>
  <c r="G130" i="6"/>
  <c r="H130" i="6" s="1"/>
  <c r="F130" i="6"/>
  <c r="D130" i="6"/>
  <c r="C130" i="6"/>
  <c r="B130" i="6"/>
  <c r="G129" i="6"/>
  <c r="H129" i="6" s="1"/>
  <c r="F129" i="6"/>
  <c r="D129" i="6"/>
  <c r="C129" i="6"/>
  <c r="B129" i="6"/>
  <c r="G128" i="6"/>
  <c r="H128" i="6" s="1"/>
  <c r="F128" i="6"/>
  <c r="D128" i="6"/>
  <c r="C128" i="6"/>
  <c r="B128" i="6"/>
  <c r="G127" i="6"/>
  <c r="H127" i="6" s="1"/>
  <c r="F127" i="6"/>
  <c r="D127" i="6"/>
  <c r="C127" i="6"/>
  <c r="B127" i="6"/>
  <c r="G126" i="6"/>
  <c r="H126" i="6" s="1"/>
  <c r="F126" i="6"/>
  <c r="D126" i="6"/>
  <c r="C126" i="6"/>
  <c r="B126" i="6"/>
  <c r="G125" i="6"/>
  <c r="H125" i="6" s="1"/>
  <c r="F125" i="6"/>
  <c r="D125" i="6"/>
  <c r="C125" i="6"/>
  <c r="B125" i="6"/>
  <c r="G124" i="6"/>
  <c r="H124" i="6" s="1"/>
  <c r="F124" i="6"/>
  <c r="D124" i="6"/>
  <c r="C124" i="6"/>
  <c r="B124" i="6"/>
  <c r="G123" i="6"/>
  <c r="H123" i="6" s="1"/>
  <c r="F123" i="6"/>
  <c r="D123" i="6"/>
  <c r="C123" i="6"/>
  <c r="B123" i="6"/>
  <c r="G122" i="6"/>
  <c r="H122" i="6" s="1"/>
  <c r="F122" i="6"/>
  <c r="D122" i="6"/>
  <c r="C122" i="6"/>
  <c r="B122" i="6"/>
  <c r="G121" i="6"/>
  <c r="H121" i="6" s="1"/>
  <c r="F121" i="6"/>
  <c r="D121" i="6"/>
  <c r="C121" i="6"/>
  <c r="B121" i="6"/>
  <c r="G120" i="6"/>
  <c r="H120" i="6" s="1"/>
  <c r="F120" i="6"/>
  <c r="D120" i="6"/>
  <c r="C120" i="6"/>
  <c r="B120" i="6"/>
  <c r="G119" i="6"/>
  <c r="H119" i="6" s="1"/>
  <c r="F119" i="6"/>
  <c r="D119" i="6"/>
  <c r="C119" i="6"/>
  <c r="B119" i="6"/>
  <c r="G118" i="6"/>
  <c r="H118" i="6" s="1"/>
  <c r="F118" i="6"/>
  <c r="D118" i="6"/>
  <c r="C118" i="6"/>
  <c r="B118" i="6"/>
  <c r="G117" i="6"/>
  <c r="H117" i="6" s="1"/>
  <c r="F117" i="6"/>
  <c r="D117" i="6"/>
  <c r="C117" i="6"/>
  <c r="B117" i="6"/>
  <c r="G116" i="6"/>
  <c r="H116" i="6" s="1"/>
  <c r="F116" i="6"/>
  <c r="D116" i="6"/>
  <c r="C116" i="6"/>
  <c r="B116" i="6"/>
  <c r="G115" i="6"/>
  <c r="H115" i="6" s="1"/>
  <c r="F115" i="6"/>
  <c r="D115" i="6"/>
  <c r="C115" i="6"/>
  <c r="B115" i="6"/>
  <c r="G114" i="6"/>
  <c r="H114" i="6" s="1"/>
  <c r="F114" i="6"/>
  <c r="D114" i="6"/>
  <c r="C114" i="6"/>
  <c r="B114" i="6"/>
  <c r="G113" i="6"/>
  <c r="H113" i="6" s="1"/>
  <c r="F113" i="6"/>
  <c r="D113" i="6"/>
  <c r="C113" i="6"/>
  <c r="B113" i="6"/>
  <c r="G112" i="6"/>
  <c r="H112" i="6" s="1"/>
  <c r="F112" i="6"/>
  <c r="D112" i="6"/>
  <c r="C112" i="6"/>
  <c r="B112" i="6"/>
  <c r="G111" i="6"/>
  <c r="H111" i="6" s="1"/>
  <c r="F111" i="6"/>
  <c r="D111" i="6"/>
  <c r="C111" i="6"/>
  <c r="B111" i="6"/>
  <c r="G110" i="6"/>
  <c r="H110" i="6" s="1"/>
  <c r="F110" i="6"/>
  <c r="D110" i="6"/>
  <c r="C110" i="6"/>
  <c r="B110" i="6"/>
  <c r="G109" i="6"/>
  <c r="H109" i="6" s="1"/>
  <c r="F109" i="6"/>
  <c r="D109" i="6"/>
  <c r="C109" i="6"/>
  <c r="B109" i="6"/>
  <c r="G108" i="6"/>
  <c r="H108" i="6" s="1"/>
  <c r="F108" i="6"/>
  <c r="D108" i="6"/>
  <c r="C108" i="6"/>
  <c r="B108" i="6"/>
  <c r="G107" i="6"/>
  <c r="H107" i="6" s="1"/>
  <c r="F107" i="6"/>
  <c r="D107" i="6"/>
  <c r="C107" i="6"/>
  <c r="B107" i="6"/>
  <c r="G106" i="6"/>
  <c r="H106" i="6" s="1"/>
  <c r="F106" i="6"/>
  <c r="D106" i="6"/>
  <c r="C106" i="6"/>
  <c r="B106" i="6"/>
  <c r="G105" i="6"/>
  <c r="H105" i="6" s="1"/>
  <c r="F105" i="6"/>
  <c r="D105" i="6"/>
  <c r="C105" i="6"/>
  <c r="B105" i="6"/>
  <c r="G104" i="6"/>
  <c r="H104" i="6" s="1"/>
  <c r="F104" i="6"/>
  <c r="D104" i="6"/>
  <c r="C104" i="6"/>
  <c r="B104" i="6"/>
  <c r="G103" i="6"/>
  <c r="H103" i="6" s="1"/>
  <c r="F103" i="6"/>
  <c r="D103" i="6"/>
  <c r="C103" i="6"/>
  <c r="B103" i="6"/>
  <c r="G102" i="6"/>
  <c r="H102" i="6" s="1"/>
  <c r="F102" i="6"/>
  <c r="D102" i="6"/>
  <c r="C102" i="6"/>
  <c r="B102" i="6"/>
  <c r="G101" i="6"/>
  <c r="H101" i="6" s="1"/>
  <c r="F101" i="6"/>
  <c r="D101" i="6"/>
  <c r="C101" i="6"/>
  <c r="B101" i="6"/>
  <c r="G100" i="6"/>
  <c r="H100" i="6" s="1"/>
  <c r="F100" i="6"/>
  <c r="D100" i="6"/>
  <c r="C100" i="6"/>
  <c r="B100" i="6"/>
  <c r="G99" i="6"/>
  <c r="H99" i="6" s="1"/>
  <c r="F99" i="6"/>
  <c r="D99" i="6"/>
  <c r="C99" i="6"/>
  <c r="B99" i="6"/>
  <c r="G98" i="6"/>
  <c r="H98" i="6" s="1"/>
  <c r="F98" i="6"/>
  <c r="D98" i="6"/>
  <c r="C98" i="6"/>
  <c r="B98" i="6"/>
  <c r="G97" i="6"/>
  <c r="H97" i="6" s="1"/>
  <c r="F97" i="6"/>
  <c r="D97" i="6"/>
  <c r="C97" i="6"/>
  <c r="B97" i="6"/>
  <c r="G96" i="6"/>
  <c r="H96" i="6" s="1"/>
  <c r="F96" i="6"/>
  <c r="D96" i="6"/>
  <c r="C96" i="6"/>
  <c r="B96" i="6"/>
  <c r="G95" i="6"/>
  <c r="H95" i="6" s="1"/>
  <c r="F95" i="6"/>
  <c r="D95" i="6"/>
  <c r="C95" i="6"/>
  <c r="B95" i="6"/>
  <c r="G94" i="6"/>
  <c r="H94" i="6" s="1"/>
  <c r="F94" i="6"/>
  <c r="D94" i="6"/>
  <c r="C94" i="6"/>
  <c r="B94" i="6"/>
  <c r="G93" i="6"/>
  <c r="H93" i="6" s="1"/>
  <c r="F93" i="6"/>
  <c r="D93" i="6"/>
  <c r="C93" i="6"/>
  <c r="B93" i="6"/>
  <c r="G92" i="6"/>
  <c r="H92" i="6" s="1"/>
  <c r="F92" i="6"/>
  <c r="D92" i="6"/>
  <c r="C92" i="6"/>
  <c r="B92" i="6"/>
  <c r="G91" i="6"/>
  <c r="H91" i="6" s="1"/>
  <c r="F91" i="6"/>
  <c r="D91" i="6"/>
  <c r="C91" i="6"/>
  <c r="B91" i="6"/>
  <c r="G90" i="6"/>
  <c r="H90" i="6" s="1"/>
  <c r="F90" i="6"/>
  <c r="D90" i="6"/>
  <c r="C90" i="6"/>
  <c r="B90" i="6"/>
  <c r="G89" i="6"/>
  <c r="H89" i="6" s="1"/>
  <c r="F89" i="6"/>
  <c r="D89" i="6"/>
  <c r="C89" i="6"/>
  <c r="B89" i="6"/>
  <c r="G88" i="6"/>
  <c r="H88" i="6" s="1"/>
  <c r="F88" i="6"/>
  <c r="D88" i="6"/>
  <c r="C88" i="6"/>
  <c r="B88" i="6"/>
  <c r="G87" i="6"/>
  <c r="H87" i="6" s="1"/>
  <c r="F87" i="6"/>
  <c r="D87" i="6"/>
  <c r="C87" i="6"/>
  <c r="B87" i="6"/>
  <c r="G86" i="6"/>
  <c r="H86" i="6" s="1"/>
  <c r="F86" i="6"/>
  <c r="D86" i="6"/>
  <c r="C86" i="6"/>
  <c r="B86" i="6"/>
  <c r="G85" i="6"/>
  <c r="H85" i="6" s="1"/>
  <c r="F85" i="6"/>
  <c r="D85" i="6"/>
  <c r="C85" i="6"/>
  <c r="B85" i="6"/>
  <c r="G84" i="6"/>
  <c r="H84" i="6" s="1"/>
  <c r="F84" i="6"/>
  <c r="D84" i="6"/>
  <c r="C84" i="6"/>
  <c r="B84" i="6"/>
  <c r="G83" i="6"/>
  <c r="H83" i="6" s="1"/>
  <c r="F83" i="6"/>
  <c r="D83" i="6"/>
  <c r="C83" i="6"/>
  <c r="B83" i="6"/>
  <c r="G82" i="6"/>
  <c r="H82" i="6" s="1"/>
  <c r="F82" i="6"/>
  <c r="D82" i="6"/>
  <c r="C82" i="6"/>
  <c r="B82" i="6"/>
  <c r="G81" i="6"/>
  <c r="H81" i="6" s="1"/>
  <c r="F81" i="6"/>
  <c r="D81" i="6"/>
  <c r="C81" i="6"/>
  <c r="B81" i="6"/>
  <c r="G80" i="6"/>
  <c r="H80" i="6" s="1"/>
  <c r="F80" i="6"/>
  <c r="D80" i="6"/>
  <c r="C80" i="6"/>
  <c r="B80" i="6"/>
  <c r="G79" i="6"/>
  <c r="H79" i="6" s="1"/>
  <c r="F79" i="6"/>
  <c r="D79" i="6"/>
  <c r="C79" i="6"/>
  <c r="B79" i="6"/>
  <c r="G78" i="6"/>
  <c r="H78" i="6" s="1"/>
  <c r="F78" i="6"/>
  <c r="D78" i="6"/>
  <c r="C78" i="6"/>
  <c r="B78" i="6"/>
  <c r="G77" i="6"/>
  <c r="H77" i="6" s="1"/>
  <c r="F77" i="6"/>
  <c r="D77" i="6"/>
  <c r="C77" i="6"/>
  <c r="B77" i="6"/>
  <c r="G76" i="6"/>
  <c r="H76" i="6" s="1"/>
  <c r="F76" i="6"/>
  <c r="D76" i="6"/>
  <c r="C76" i="6"/>
  <c r="B76" i="6"/>
  <c r="G75" i="6"/>
  <c r="H75" i="6" s="1"/>
  <c r="F75" i="6"/>
  <c r="D75" i="6"/>
  <c r="C75" i="6"/>
  <c r="B75" i="6"/>
  <c r="G74" i="6"/>
  <c r="H74" i="6" s="1"/>
  <c r="F74" i="6"/>
  <c r="D74" i="6"/>
  <c r="C74" i="6"/>
  <c r="B74" i="6"/>
  <c r="G73" i="6"/>
  <c r="H73" i="6" s="1"/>
  <c r="F73" i="6"/>
  <c r="D73" i="6"/>
  <c r="C73" i="6"/>
  <c r="B73" i="6"/>
  <c r="G72" i="6"/>
  <c r="H72" i="6" s="1"/>
  <c r="F72" i="6"/>
  <c r="D72" i="6"/>
  <c r="C72" i="6"/>
  <c r="B72" i="6"/>
  <c r="G71" i="6"/>
  <c r="H71" i="6" s="1"/>
  <c r="F71" i="6"/>
  <c r="D71" i="6"/>
  <c r="C71" i="6"/>
  <c r="B71" i="6"/>
  <c r="G70" i="6"/>
  <c r="H70" i="6" s="1"/>
  <c r="F70" i="6"/>
  <c r="D70" i="6"/>
  <c r="C70" i="6"/>
  <c r="B70" i="6"/>
  <c r="G69" i="6"/>
  <c r="H69" i="6" s="1"/>
  <c r="F69" i="6"/>
  <c r="D69" i="6"/>
  <c r="C69" i="6"/>
  <c r="B69" i="6"/>
  <c r="G68" i="6"/>
  <c r="H68" i="6" s="1"/>
  <c r="F68" i="6"/>
  <c r="D68" i="6"/>
  <c r="C68" i="6"/>
  <c r="B68" i="6"/>
  <c r="G67" i="6"/>
  <c r="H67" i="6" s="1"/>
  <c r="F67" i="6"/>
  <c r="D67" i="6"/>
  <c r="C67" i="6"/>
  <c r="B67" i="6"/>
  <c r="G66" i="6"/>
  <c r="H66" i="6" s="1"/>
  <c r="F66" i="6"/>
  <c r="D66" i="6"/>
  <c r="C66" i="6"/>
  <c r="B66" i="6"/>
  <c r="G65" i="6"/>
  <c r="H65" i="6" s="1"/>
  <c r="F65" i="6"/>
  <c r="D65" i="6"/>
  <c r="C65" i="6"/>
  <c r="B65" i="6"/>
  <c r="G64" i="6"/>
  <c r="H64" i="6" s="1"/>
  <c r="F64" i="6"/>
  <c r="D64" i="6"/>
  <c r="C64" i="6"/>
  <c r="B64" i="6"/>
  <c r="G63" i="6"/>
  <c r="H63" i="6" s="1"/>
  <c r="F63" i="6"/>
  <c r="D63" i="6"/>
  <c r="C63" i="6"/>
  <c r="B63" i="6"/>
  <c r="G62" i="6"/>
  <c r="H62" i="6" s="1"/>
  <c r="F62" i="6"/>
  <c r="D62" i="6"/>
  <c r="C62" i="6"/>
  <c r="B62" i="6"/>
  <c r="G61" i="6"/>
  <c r="H61" i="6" s="1"/>
  <c r="F61" i="6"/>
  <c r="D61" i="6"/>
  <c r="C61" i="6"/>
  <c r="B61" i="6"/>
  <c r="G60" i="6"/>
  <c r="H60" i="6" s="1"/>
  <c r="F60" i="6"/>
  <c r="D60" i="6"/>
  <c r="C60" i="6"/>
  <c r="B60" i="6"/>
  <c r="G59" i="6"/>
  <c r="H59" i="6" s="1"/>
  <c r="F59" i="6"/>
  <c r="D59" i="6"/>
  <c r="C59" i="6"/>
  <c r="B59" i="6"/>
  <c r="G58" i="6"/>
  <c r="H58" i="6" s="1"/>
  <c r="F58" i="6"/>
  <c r="D58" i="6"/>
  <c r="C58" i="6"/>
  <c r="B58" i="6"/>
  <c r="G57" i="6"/>
  <c r="H57" i="6" s="1"/>
  <c r="F57" i="6"/>
  <c r="D57" i="6"/>
  <c r="C57" i="6"/>
  <c r="B57" i="6"/>
  <c r="G56" i="6"/>
  <c r="H56" i="6" s="1"/>
  <c r="F56" i="6"/>
  <c r="D56" i="6"/>
  <c r="C56" i="6"/>
  <c r="B56" i="6"/>
  <c r="G55" i="6"/>
  <c r="H55" i="6" s="1"/>
  <c r="F55" i="6"/>
  <c r="D55" i="6"/>
  <c r="C55" i="6"/>
  <c r="B55" i="6"/>
  <c r="G54" i="6"/>
  <c r="H54" i="6" s="1"/>
  <c r="F54" i="6"/>
  <c r="D54" i="6"/>
  <c r="C54" i="6"/>
  <c r="B54" i="6"/>
  <c r="G53" i="6"/>
  <c r="H53" i="6" s="1"/>
  <c r="F53" i="6"/>
  <c r="D53" i="6"/>
  <c r="C53" i="6"/>
  <c r="B53" i="6"/>
  <c r="G52" i="6"/>
  <c r="H52" i="6" s="1"/>
  <c r="F52" i="6"/>
  <c r="D52" i="6"/>
  <c r="C52" i="6"/>
  <c r="B52" i="6"/>
  <c r="G51" i="6"/>
  <c r="H51" i="6" s="1"/>
  <c r="F51" i="6"/>
  <c r="D51" i="6"/>
  <c r="C51" i="6"/>
  <c r="B51" i="6"/>
  <c r="G50" i="6"/>
  <c r="F50" i="6"/>
  <c r="D50" i="6"/>
  <c r="C50" i="6"/>
  <c r="B50" i="6"/>
  <c r="G49" i="6"/>
  <c r="H49" i="6" s="1"/>
  <c r="F49" i="6"/>
  <c r="D49" i="6"/>
  <c r="C49" i="6"/>
  <c r="B49" i="6"/>
  <c r="G48" i="6"/>
  <c r="F48" i="6"/>
  <c r="D48" i="6"/>
  <c r="C48" i="6"/>
  <c r="B48" i="6"/>
  <c r="G47" i="6"/>
  <c r="H47" i="6" s="1"/>
  <c r="F47" i="6"/>
  <c r="D47" i="6"/>
  <c r="C47" i="6"/>
  <c r="B47" i="6"/>
  <c r="G46" i="6"/>
  <c r="H46" i="6" s="1"/>
  <c r="F46" i="6"/>
  <c r="D46" i="6"/>
  <c r="C46" i="6"/>
  <c r="B46" i="6"/>
  <c r="G45" i="6"/>
  <c r="H45" i="6" s="1"/>
  <c r="F45" i="6"/>
  <c r="D45" i="6"/>
  <c r="C45" i="6"/>
  <c r="B45" i="6"/>
  <c r="G44" i="6"/>
  <c r="H44" i="6" s="1"/>
  <c r="F44" i="6"/>
  <c r="D44" i="6"/>
  <c r="C44" i="6"/>
  <c r="B44" i="6"/>
  <c r="G43" i="6"/>
  <c r="H43" i="6" s="1"/>
  <c r="F43" i="6"/>
  <c r="D43" i="6"/>
  <c r="C43" i="6"/>
  <c r="B43" i="6"/>
  <c r="G42" i="6"/>
  <c r="H42" i="6" s="1"/>
  <c r="F42" i="6"/>
  <c r="D42" i="6"/>
  <c r="C42" i="6"/>
  <c r="B42" i="6"/>
  <c r="G41" i="6"/>
  <c r="H41" i="6" s="1"/>
  <c r="F41" i="6"/>
  <c r="D41" i="6"/>
  <c r="C41" i="6"/>
  <c r="B41" i="6"/>
  <c r="G40" i="6"/>
  <c r="H40" i="6" s="1"/>
  <c r="F40" i="6"/>
  <c r="D40" i="6"/>
  <c r="C40" i="6"/>
  <c r="B40" i="6"/>
  <c r="G39" i="6"/>
  <c r="H39" i="6" s="1"/>
  <c r="F39" i="6"/>
  <c r="D39" i="6"/>
  <c r="C39" i="6"/>
  <c r="B39" i="6"/>
  <c r="G38" i="6"/>
  <c r="H38" i="6" s="1"/>
  <c r="F38" i="6"/>
  <c r="D38" i="6"/>
  <c r="C38" i="6"/>
  <c r="B38" i="6"/>
  <c r="G37" i="6"/>
  <c r="H37" i="6" s="1"/>
  <c r="F37" i="6"/>
  <c r="D37" i="6"/>
  <c r="C37" i="6"/>
  <c r="B37" i="6"/>
  <c r="G36" i="6"/>
  <c r="H36" i="6" s="1"/>
  <c r="F36" i="6"/>
  <c r="D36" i="6"/>
  <c r="C36" i="6"/>
  <c r="B36" i="6"/>
  <c r="G35" i="6"/>
  <c r="H35" i="6" s="1"/>
  <c r="F35" i="6"/>
  <c r="D35" i="6"/>
  <c r="C35" i="6"/>
  <c r="B35" i="6"/>
  <c r="G34" i="6"/>
  <c r="H34" i="6" s="1"/>
  <c r="F34" i="6"/>
  <c r="D34" i="6"/>
  <c r="C34" i="6"/>
  <c r="B34" i="6"/>
  <c r="G33" i="6"/>
  <c r="H33" i="6" s="1"/>
  <c r="F33" i="6"/>
  <c r="D33" i="6"/>
  <c r="C33" i="6"/>
  <c r="B33" i="6"/>
  <c r="G32" i="6"/>
  <c r="H32" i="6" s="1"/>
  <c r="F32" i="6"/>
  <c r="D32" i="6"/>
  <c r="C32" i="6"/>
  <c r="B32" i="6"/>
  <c r="G31" i="6"/>
  <c r="H31" i="6" s="1"/>
  <c r="F31" i="6"/>
  <c r="D31" i="6"/>
  <c r="C31" i="6"/>
  <c r="B31" i="6"/>
  <c r="G30" i="6"/>
  <c r="H30" i="6" s="1"/>
  <c r="F30" i="6"/>
  <c r="D30" i="6"/>
  <c r="C30" i="6"/>
  <c r="B30" i="6"/>
  <c r="G29" i="6"/>
  <c r="H29" i="6" s="1"/>
  <c r="F29" i="6"/>
  <c r="D29" i="6"/>
  <c r="C29" i="6"/>
  <c r="B29" i="6"/>
  <c r="G28" i="6"/>
  <c r="H28" i="6" s="1"/>
  <c r="F28" i="6"/>
  <c r="D28" i="6"/>
  <c r="C28" i="6"/>
  <c r="B28" i="6"/>
  <c r="G27" i="6"/>
  <c r="H27" i="6" s="1"/>
  <c r="F27" i="6"/>
  <c r="D27" i="6"/>
  <c r="C27" i="6"/>
  <c r="B27" i="6"/>
  <c r="G26" i="6"/>
  <c r="H26" i="6" s="1"/>
  <c r="F26" i="6"/>
  <c r="D26" i="6"/>
  <c r="C26" i="6"/>
  <c r="B26" i="6"/>
  <c r="G25" i="6"/>
  <c r="H25" i="6" s="1"/>
  <c r="F25" i="6"/>
  <c r="D25" i="6"/>
  <c r="C25" i="6"/>
  <c r="B25" i="6"/>
  <c r="G24" i="6"/>
  <c r="H24" i="6" s="1"/>
  <c r="F24" i="6"/>
  <c r="D24" i="6"/>
  <c r="C24" i="6"/>
  <c r="B24" i="6"/>
  <c r="G23" i="6"/>
  <c r="H23" i="6" s="1"/>
  <c r="F23" i="6"/>
  <c r="D23" i="6"/>
  <c r="C23" i="6"/>
  <c r="B23" i="6"/>
  <c r="G22" i="6"/>
  <c r="H22" i="6" s="1"/>
  <c r="F22" i="6"/>
  <c r="D22" i="6"/>
  <c r="C22" i="6"/>
  <c r="B22" i="6"/>
  <c r="G21" i="6"/>
  <c r="H21" i="6" s="1"/>
  <c r="F21" i="6"/>
  <c r="D21" i="6"/>
  <c r="C21" i="6"/>
  <c r="B21" i="6"/>
  <c r="G20" i="6"/>
  <c r="H20" i="6" s="1"/>
  <c r="F20" i="6"/>
  <c r="D20" i="6"/>
  <c r="C20" i="6"/>
  <c r="B20" i="6"/>
  <c r="G19" i="6"/>
  <c r="H19" i="6" s="1"/>
  <c r="F19" i="6"/>
  <c r="D19" i="6"/>
  <c r="C19" i="6"/>
  <c r="B19" i="6"/>
  <c r="G18" i="6"/>
  <c r="H18" i="6" s="1"/>
  <c r="F18" i="6"/>
  <c r="D18" i="6"/>
  <c r="C18" i="6"/>
  <c r="B18" i="6"/>
  <c r="G17" i="6"/>
  <c r="H17" i="6" s="1"/>
  <c r="F17" i="6"/>
  <c r="D17" i="6"/>
  <c r="C17" i="6"/>
  <c r="B17" i="6"/>
  <c r="G16" i="6"/>
  <c r="H16" i="6" s="1"/>
  <c r="F16" i="6"/>
  <c r="D16" i="6"/>
  <c r="C16" i="6"/>
  <c r="B16" i="6"/>
  <c r="G15" i="6"/>
  <c r="H15" i="6" s="1"/>
  <c r="F15" i="6"/>
  <c r="D15" i="6"/>
  <c r="C15" i="6"/>
  <c r="B15" i="6"/>
  <c r="G14" i="6"/>
  <c r="H14" i="6" s="1"/>
  <c r="F14" i="6"/>
  <c r="D14" i="6"/>
  <c r="C14" i="6"/>
  <c r="B14" i="6"/>
  <c r="G13" i="6"/>
  <c r="H13" i="6" s="1"/>
  <c r="F13" i="6"/>
  <c r="D13" i="6"/>
  <c r="C13" i="6"/>
  <c r="B13" i="6"/>
  <c r="G12" i="6"/>
  <c r="H12" i="6" s="1"/>
  <c r="F12" i="6"/>
  <c r="D12" i="6"/>
  <c r="C12" i="6"/>
  <c r="B12" i="6"/>
  <c r="G11" i="6"/>
  <c r="H11" i="6" s="1"/>
  <c r="F11" i="6"/>
  <c r="D11" i="6"/>
  <c r="C11" i="6"/>
  <c r="B11" i="6"/>
  <c r="G10" i="6"/>
  <c r="H10" i="6" s="1"/>
  <c r="F10" i="6"/>
  <c r="D10" i="6"/>
  <c r="C10" i="6"/>
  <c r="B10" i="6"/>
  <c r="G9" i="6"/>
  <c r="H9" i="6" s="1"/>
  <c r="F9" i="6"/>
  <c r="D9" i="6"/>
  <c r="C9" i="6"/>
  <c r="B9" i="6"/>
  <c r="G8" i="6"/>
  <c r="H8" i="6" s="1"/>
  <c r="F8" i="6"/>
  <c r="D8" i="6"/>
  <c r="C8" i="6"/>
  <c r="B8" i="6"/>
  <c r="G7" i="6"/>
  <c r="H7" i="6" s="1"/>
  <c r="F7" i="6"/>
  <c r="D7" i="6"/>
  <c r="C7" i="6"/>
  <c r="B7" i="6"/>
  <c r="G6" i="6"/>
  <c r="H6" i="6" s="1"/>
  <c r="F6" i="6"/>
  <c r="D6" i="6"/>
  <c r="C6" i="6"/>
  <c r="B6" i="6"/>
  <c r="G5" i="6"/>
  <c r="H5" i="6" s="1"/>
  <c r="F5" i="6"/>
  <c r="D5" i="6"/>
  <c r="C5" i="6"/>
  <c r="B5" i="6"/>
  <c r="G4" i="6"/>
  <c r="H4" i="6" s="1"/>
  <c r="F4" i="6"/>
  <c r="D4" i="6"/>
  <c r="C4" i="6"/>
  <c r="B4" i="6"/>
  <c r="G3" i="6"/>
  <c r="H3" i="6" s="1"/>
  <c r="F3" i="6"/>
  <c r="D3" i="6"/>
  <c r="C3" i="6"/>
  <c r="B3" i="6"/>
  <c r="G2" i="6"/>
  <c r="H2" i="6" s="1"/>
  <c r="F2" i="6"/>
  <c r="D2" i="6"/>
  <c r="C2" i="6"/>
  <c r="B2" i="6"/>
  <c r="F3" i="4"/>
  <c r="AH62" i="3" a="1"/>
  <c r="AH62" i="3" s="1"/>
  <c r="AG62" i="3" a="1"/>
  <c r="AG62" i="3" s="1"/>
  <c r="AF62" i="3" a="1"/>
  <c r="AF62" i="3" s="1"/>
  <c r="AE62" i="3" a="1"/>
  <c r="AE62" i="3" s="1"/>
  <c r="AD62" i="3" a="1"/>
  <c r="AD62" i="3" s="1"/>
  <c r="AC62" i="3" a="1"/>
  <c r="AC62" i="3" s="1"/>
  <c r="AB62" i="3" a="1"/>
  <c r="AB62" i="3" s="1"/>
  <c r="AA62" i="3" a="1"/>
  <c r="AA62" i="3" s="1"/>
  <c r="Z62" i="3" a="1"/>
  <c r="Z62" i="3" s="1"/>
  <c r="Y62" i="3" a="1"/>
  <c r="Y62" i="3" s="1"/>
  <c r="X62" i="3" a="1"/>
  <c r="X62" i="3" s="1"/>
  <c r="W62" i="3" a="1"/>
  <c r="W62" i="3" s="1"/>
  <c r="V62" i="3" a="1"/>
  <c r="V62" i="3" s="1"/>
  <c r="U62" i="3" a="1"/>
  <c r="U62" i="3" s="1"/>
  <c r="T62" i="3" a="1"/>
  <c r="T62" i="3" s="1"/>
  <c r="S62" i="3" a="1"/>
  <c r="S62" i="3" s="1"/>
  <c r="R62" i="3" a="1"/>
  <c r="R62" i="3" s="1"/>
  <c r="Q62" i="3" a="1"/>
  <c r="Q62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J62" i="3" a="1"/>
  <c r="J62" i="3" s="1"/>
  <c r="H62" i="3"/>
  <c r="F62" i="3"/>
  <c r="E62" i="3"/>
  <c r="D62" i="3" a="1"/>
  <c r="D62" i="3" s="1"/>
  <c r="AH61" i="3" a="1"/>
  <c r="AH61" i="3" s="1"/>
  <c r="AG61" i="3" a="1"/>
  <c r="AG61" i="3" s="1"/>
  <c r="AF61" i="3" a="1"/>
  <c r="AF61" i="3" s="1"/>
  <c r="AE61" i="3" a="1"/>
  <c r="AE61" i="3" s="1"/>
  <c r="AD61" i="3" a="1"/>
  <c r="AD61" i="3" s="1"/>
  <c r="AC61" i="3" a="1"/>
  <c r="AC61" i="3" s="1"/>
  <c r="AB61" i="3" a="1"/>
  <c r="AB61" i="3" s="1"/>
  <c r="AA61" i="3" a="1"/>
  <c r="AA61" i="3" s="1"/>
  <c r="Z61" i="3" a="1"/>
  <c r="Z61" i="3" s="1"/>
  <c r="Y61" i="3" a="1"/>
  <c r="Y61" i="3" s="1"/>
  <c r="X61" i="3" a="1"/>
  <c r="X61" i="3" s="1"/>
  <c r="W61" i="3" a="1"/>
  <c r="W61" i="3" s="1"/>
  <c r="V61" i="3" a="1"/>
  <c r="V61" i="3" s="1"/>
  <c r="U61" i="3" a="1"/>
  <c r="U61" i="3" s="1"/>
  <c r="T61" i="3" a="1"/>
  <c r="T61" i="3" s="1"/>
  <c r="S61" i="3" a="1"/>
  <c r="S61" i="3" s="1"/>
  <c r="R61" i="3" a="1"/>
  <c r="R61" i="3" s="1"/>
  <c r="Q61" i="3" a="1"/>
  <c r="Q61" i="3" s="1"/>
  <c r="P61" i="3" a="1"/>
  <c r="P61" i="3" s="1"/>
  <c r="O61" i="3" a="1"/>
  <c r="O61" i="3" s="1"/>
  <c r="N61" i="3" a="1"/>
  <c r="N61" i="3" s="1"/>
  <c r="M61" i="3" a="1"/>
  <c r="M61" i="3" s="1"/>
  <c r="L61" i="3" a="1"/>
  <c r="L61" i="3" s="1"/>
  <c r="K61" i="3" a="1"/>
  <c r="K61" i="3" s="1"/>
  <c r="J61" i="3" a="1"/>
  <c r="J61" i="3" s="1"/>
  <c r="H61" i="3"/>
  <c r="F61" i="3"/>
  <c r="E61" i="3"/>
  <c r="D61" i="3" a="1"/>
  <c r="D61" i="3" s="1"/>
  <c r="AH60" i="3" a="1"/>
  <c r="AH60" i="3" s="1"/>
  <c r="AG60" i="3" a="1"/>
  <c r="AG60" i="3" s="1"/>
  <c r="AF60" i="3" a="1"/>
  <c r="AF60" i="3" s="1"/>
  <c r="AE60" i="3" a="1"/>
  <c r="AE60" i="3" s="1"/>
  <c r="AD60" i="3" a="1"/>
  <c r="AD60" i="3" s="1"/>
  <c r="AC60" i="3" a="1"/>
  <c r="AC60" i="3" s="1"/>
  <c r="AB60" i="3" a="1"/>
  <c r="AB60" i="3" s="1"/>
  <c r="AA60" i="3" a="1"/>
  <c r="AA60" i="3" s="1"/>
  <c r="Z60" i="3" a="1"/>
  <c r="Z60" i="3" s="1"/>
  <c r="Y60" i="3" a="1"/>
  <c r="Y60" i="3" s="1"/>
  <c r="X60" i="3" a="1"/>
  <c r="X60" i="3" s="1"/>
  <c r="W60" i="3" a="1"/>
  <c r="W60" i="3" s="1"/>
  <c r="V60" i="3" a="1"/>
  <c r="V60" i="3" s="1"/>
  <c r="U60" i="3" a="1"/>
  <c r="U60" i="3" s="1"/>
  <c r="T60" i="3" a="1"/>
  <c r="T60" i="3" s="1"/>
  <c r="S60" i="3" a="1"/>
  <c r="S60" i="3" s="1"/>
  <c r="R60" i="3" a="1"/>
  <c r="R60" i="3" s="1"/>
  <c r="Q60" i="3" a="1"/>
  <c r="Q60" i="3" s="1"/>
  <c r="P60" i="3" a="1"/>
  <c r="P60" i="3" s="1"/>
  <c r="O60" i="3" a="1"/>
  <c r="O60" i="3" s="1"/>
  <c r="N60" i="3" a="1"/>
  <c r="N60" i="3" s="1"/>
  <c r="M60" i="3" a="1"/>
  <c r="M60" i="3" s="1"/>
  <c r="L60" i="3" a="1"/>
  <c r="L60" i="3" s="1"/>
  <c r="K60" i="3" a="1"/>
  <c r="K60" i="3" s="1"/>
  <c r="J60" i="3" a="1"/>
  <c r="J60" i="3" s="1"/>
  <c r="H60" i="3"/>
  <c r="F60" i="3"/>
  <c r="E60" i="3"/>
  <c r="D60" i="3" a="1"/>
  <c r="D60" i="3" s="1"/>
  <c r="AH59" i="3" a="1"/>
  <c r="AH59" i="3" s="1"/>
  <c r="AG59" i="3" a="1"/>
  <c r="AG59" i="3" s="1"/>
  <c r="AF59" i="3" a="1"/>
  <c r="AF59" i="3" s="1"/>
  <c r="AE59" i="3" a="1"/>
  <c r="AE59" i="3" s="1"/>
  <c r="AD59" i="3" a="1"/>
  <c r="AD59" i="3" s="1"/>
  <c r="AC59" i="3" a="1"/>
  <c r="AC59" i="3" s="1"/>
  <c r="AB59" i="3" a="1"/>
  <c r="AB59" i="3" s="1"/>
  <c r="AA59" i="3" a="1"/>
  <c r="AA59" i="3" s="1"/>
  <c r="Z59" i="3" a="1"/>
  <c r="Z59" i="3" s="1"/>
  <c r="Y59" i="3" a="1"/>
  <c r="Y59" i="3" s="1"/>
  <c r="X59" i="3" a="1"/>
  <c r="X59" i="3" s="1"/>
  <c r="W59" i="3" a="1"/>
  <c r="W59" i="3" s="1"/>
  <c r="V59" i="3" a="1"/>
  <c r="V59" i="3" s="1"/>
  <c r="U59" i="3" a="1"/>
  <c r="U59" i="3" s="1"/>
  <c r="T59" i="3" a="1"/>
  <c r="T59" i="3" s="1"/>
  <c r="S59" i="3" a="1"/>
  <c r="S59" i="3" s="1"/>
  <c r="R59" i="3" a="1"/>
  <c r="R59" i="3" s="1"/>
  <c r="Q59" i="3" a="1"/>
  <c r="Q59" i="3" s="1"/>
  <c r="P59" i="3" a="1"/>
  <c r="P59" i="3" s="1"/>
  <c r="O59" i="3" a="1"/>
  <c r="O59" i="3" s="1"/>
  <c r="N59" i="3" a="1"/>
  <c r="N59" i="3" s="1"/>
  <c r="M59" i="3" a="1"/>
  <c r="M59" i="3" s="1"/>
  <c r="L59" i="3" a="1"/>
  <c r="L59" i="3" s="1"/>
  <c r="K59" i="3" a="1"/>
  <c r="K59" i="3" s="1"/>
  <c r="J59" i="3" a="1"/>
  <c r="J59" i="3" s="1"/>
  <c r="H59" i="3"/>
  <c r="F59" i="3"/>
  <c r="E59" i="3"/>
  <c r="D59" i="3" a="1"/>
  <c r="D59" i="3" s="1"/>
  <c r="AH58" i="3" a="1"/>
  <c r="AH58" i="3" s="1"/>
  <c r="AG58" i="3" a="1"/>
  <c r="AG58" i="3" s="1"/>
  <c r="AF58" i="3" a="1"/>
  <c r="AF58" i="3" s="1"/>
  <c r="AE58" i="3" a="1"/>
  <c r="AE58" i="3" s="1"/>
  <c r="AD58" i="3" a="1"/>
  <c r="AD58" i="3" s="1"/>
  <c r="AC58" i="3" a="1"/>
  <c r="AC58" i="3" s="1"/>
  <c r="AB58" i="3" a="1"/>
  <c r="AB58" i="3" s="1"/>
  <c r="AA58" i="3" a="1"/>
  <c r="AA58" i="3" s="1"/>
  <c r="Z58" i="3" a="1"/>
  <c r="Z58" i="3" s="1"/>
  <c r="Y58" i="3" a="1"/>
  <c r="Y58" i="3" s="1"/>
  <c r="X58" i="3" a="1"/>
  <c r="X58" i="3" s="1"/>
  <c r="W58" i="3" a="1"/>
  <c r="W58" i="3" s="1"/>
  <c r="V58" i="3" a="1"/>
  <c r="V58" i="3" s="1"/>
  <c r="U58" i="3" a="1"/>
  <c r="U58" i="3" s="1"/>
  <c r="T58" i="3" a="1"/>
  <c r="T58" i="3" s="1"/>
  <c r="S58" i="3" a="1"/>
  <c r="S58" i="3" s="1"/>
  <c r="R58" i="3" a="1"/>
  <c r="R58" i="3" s="1"/>
  <c r="Q58" i="3" a="1"/>
  <c r="Q58" i="3" s="1"/>
  <c r="P58" i="3" a="1"/>
  <c r="P58" i="3" s="1"/>
  <c r="O58" i="3" a="1"/>
  <c r="O58" i="3" s="1"/>
  <c r="N58" i="3" a="1"/>
  <c r="N58" i="3" s="1"/>
  <c r="M58" i="3" a="1"/>
  <c r="M58" i="3" s="1"/>
  <c r="L58" i="3" a="1"/>
  <c r="L58" i="3" s="1"/>
  <c r="K58" i="3" a="1"/>
  <c r="K58" i="3" s="1"/>
  <c r="J58" i="3" a="1"/>
  <c r="J58" i="3" s="1"/>
  <c r="H58" i="3"/>
  <c r="F58" i="3"/>
  <c r="E58" i="3"/>
  <c r="D58" i="3" a="1"/>
  <c r="D58" i="3"/>
  <c r="AH57" i="3" a="1"/>
  <c r="AH57" i="3" s="1"/>
  <c r="AG57" i="3" a="1"/>
  <c r="AG57" i="3" s="1"/>
  <c r="AF57" i="3" a="1"/>
  <c r="AF57" i="3" s="1"/>
  <c r="AE57" i="3" a="1"/>
  <c r="AE57" i="3" s="1"/>
  <c r="AD57" i="3" a="1"/>
  <c r="AD57" i="3" s="1"/>
  <c r="AC57" i="3" a="1"/>
  <c r="AC57" i="3" s="1"/>
  <c r="AB57" i="3" a="1"/>
  <c r="AB57" i="3" s="1"/>
  <c r="AA57" i="3" a="1"/>
  <c r="AA57" i="3" s="1"/>
  <c r="Z57" i="3" a="1"/>
  <c r="Z57" i="3" s="1"/>
  <c r="Y57" i="3" a="1"/>
  <c r="Y57" i="3" s="1"/>
  <c r="X57" i="3" a="1"/>
  <c r="X57" i="3" s="1"/>
  <c r="W57" i="3" a="1"/>
  <c r="W57" i="3" s="1"/>
  <c r="V57" i="3" a="1"/>
  <c r="V57" i="3" s="1"/>
  <c r="U57" i="3" a="1"/>
  <c r="U57" i="3" s="1"/>
  <c r="T57" i="3" a="1"/>
  <c r="T57" i="3" s="1"/>
  <c r="S57" i="3" a="1"/>
  <c r="S57" i="3" s="1"/>
  <c r="R57" i="3" a="1"/>
  <c r="R57" i="3" s="1"/>
  <c r="Q57" i="3" a="1"/>
  <c r="Q57" i="3" s="1"/>
  <c r="P57" i="3" a="1"/>
  <c r="P57" i="3" s="1"/>
  <c r="O57" i="3" a="1"/>
  <c r="O57" i="3" s="1"/>
  <c r="N57" i="3" a="1"/>
  <c r="N57" i="3" s="1"/>
  <c r="M57" i="3" a="1"/>
  <c r="M57" i="3" s="1"/>
  <c r="L57" i="3" a="1"/>
  <c r="L57" i="3" s="1"/>
  <c r="K57" i="3" a="1"/>
  <c r="K57" i="3" s="1"/>
  <c r="J57" i="3" a="1"/>
  <c r="J57" i="3" s="1"/>
  <c r="H57" i="3"/>
  <c r="F57" i="3"/>
  <c r="E57" i="3"/>
  <c r="D57" i="3" a="1"/>
  <c r="D57" i="3" s="1"/>
  <c r="AH56" i="3" a="1"/>
  <c r="AH56" i="3" s="1"/>
  <c r="AG56" i="3" a="1"/>
  <c r="AG56" i="3" s="1"/>
  <c r="AF56" i="3" a="1"/>
  <c r="AF56" i="3" s="1"/>
  <c r="AE56" i="3" a="1"/>
  <c r="AE56" i="3" s="1"/>
  <c r="AD56" i="3" a="1"/>
  <c r="AD56" i="3" s="1"/>
  <c r="AC56" i="3" a="1"/>
  <c r="AC56" i="3" s="1"/>
  <c r="AB56" i="3" a="1"/>
  <c r="AB56" i="3" s="1"/>
  <c r="AA56" i="3" a="1"/>
  <c r="AA56" i="3" s="1"/>
  <c r="Z56" i="3" a="1"/>
  <c r="Z56" i="3" s="1"/>
  <c r="Y56" i="3" a="1"/>
  <c r="Y56" i="3" s="1"/>
  <c r="X56" i="3" a="1"/>
  <c r="X56" i="3" s="1"/>
  <c r="W56" i="3" a="1"/>
  <c r="W56" i="3" s="1"/>
  <c r="V56" i="3" a="1"/>
  <c r="V56" i="3" s="1"/>
  <c r="U56" i="3" a="1"/>
  <c r="U56" i="3" s="1"/>
  <c r="T56" i="3" a="1"/>
  <c r="T56" i="3" s="1"/>
  <c r="S56" i="3" a="1"/>
  <c r="S56" i="3" s="1"/>
  <c r="R56" i="3" a="1"/>
  <c r="R56" i="3" s="1"/>
  <c r="Q56" i="3" a="1"/>
  <c r="Q56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J56" i="3" a="1"/>
  <c r="J56" i="3" s="1"/>
  <c r="H56" i="3"/>
  <c r="F56" i="3"/>
  <c r="E56" i="3"/>
  <c r="D56" i="3" a="1"/>
  <c r="D56" i="3" s="1"/>
  <c r="AH55" i="3" a="1"/>
  <c r="AH55" i="3" s="1"/>
  <c r="AG55" i="3" a="1"/>
  <c r="AG55" i="3" s="1"/>
  <c r="AF55" i="3" a="1"/>
  <c r="AF55" i="3" s="1"/>
  <c r="AE55" i="3" a="1"/>
  <c r="AE55" i="3" s="1"/>
  <c r="AD55" i="3" a="1"/>
  <c r="AD55" i="3" s="1"/>
  <c r="AC55" i="3" a="1"/>
  <c r="AC55" i="3" s="1"/>
  <c r="AB55" i="3" a="1"/>
  <c r="AB55" i="3" s="1"/>
  <c r="AA55" i="3" a="1"/>
  <c r="AA55" i="3" s="1"/>
  <c r="Z55" i="3" a="1"/>
  <c r="Z55" i="3" s="1"/>
  <c r="Y55" i="3" a="1"/>
  <c r="Y55" i="3" s="1"/>
  <c r="X55" i="3" a="1"/>
  <c r="X55" i="3" s="1"/>
  <c r="W55" i="3" a="1"/>
  <c r="W55" i="3" s="1"/>
  <c r="V55" i="3" a="1"/>
  <c r="V55" i="3" s="1"/>
  <c r="U55" i="3" a="1"/>
  <c r="U55" i="3" s="1"/>
  <c r="T55" i="3" a="1"/>
  <c r="T55" i="3" s="1"/>
  <c r="S55" i="3" a="1"/>
  <c r="S55" i="3" s="1"/>
  <c r="R55" i="3" a="1"/>
  <c r="R55" i="3" s="1"/>
  <c r="Q55" i="3" a="1"/>
  <c r="Q55" i="3" s="1"/>
  <c r="P55" i="3" a="1"/>
  <c r="P55" i="3" s="1"/>
  <c r="O55" i="3" a="1"/>
  <c r="O55" i="3" s="1"/>
  <c r="N55" i="3" a="1"/>
  <c r="N55" i="3" s="1"/>
  <c r="M55" i="3" a="1"/>
  <c r="M55" i="3" s="1"/>
  <c r="L55" i="3" a="1"/>
  <c r="L55" i="3" s="1"/>
  <c r="K55" i="3" a="1"/>
  <c r="K55" i="3" s="1"/>
  <c r="J55" i="3" a="1"/>
  <c r="J55" i="3" s="1"/>
  <c r="H55" i="3"/>
  <c r="F55" i="3"/>
  <c r="E55" i="3"/>
  <c r="D55" i="3" a="1"/>
  <c r="D55" i="3" s="1"/>
  <c r="AH54" i="3" a="1"/>
  <c r="AH54" i="3" s="1"/>
  <c r="AG54" i="3" a="1"/>
  <c r="AG54" i="3" s="1"/>
  <c r="AF54" i="3" a="1"/>
  <c r="AF54" i="3" s="1"/>
  <c r="AE54" i="3" a="1"/>
  <c r="AE54" i="3" s="1"/>
  <c r="AD54" i="3" a="1"/>
  <c r="AD54" i="3" s="1"/>
  <c r="AC54" i="3" a="1"/>
  <c r="AC54" i="3" s="1"/>
  <c r="AB54" i="3" a="1"/>
  <c r="AB54" i="3" s="1"/>
  <c r="AA54" i="3" a="1"/>
  <c r="AA54" i="3" s="1"/>
  <c r="Z54" i="3" a="1"/>
  <c r="Z54" i="3" s="1"/>
  <c r="Y54" i="3" a="1"/>
  <c r="Y54" i="3" s="1"/>
  <c r="X54" i="3" a="1"/>
  <c r="X54" i="3" s="1"/>
  <c r="W54" i="3" a="1"/>
  <c r="W54" i="3" s="1"/>
  <c r="V54" i="3" a="1"/>
  <c r="V54" i="3" s="1"/>
  <c r="U54" i="3" a="1"/>
  <c r="U54" i="3" s="1"/>
  <c r="T54" i="3" a="1"/>
  <c r="T54" i="3" s="1"/>
  <c r="S54" i="3" a="1"/>
  <c r="S54" i="3" s="1"/>
  <c r="R54" i="3" a="1"/>
  <c r="R54" i="3" s="1"/>
  <c r="Q54" i="3" a="1"/>
  <c r="Q54" i="3" s="1"/>
  <c r="P54" i="3" a="1"/>
  <c r="P54" i="3" s="1"/>
  <c r="O54" i="3" a="1"/>
  <c r="O54" i="3" s="1"/>
  <c r="N54" i="3" a="1"/>
  <c r="N54" i="3" s="1"/>
  <c r="M54" i="3" a="1"/>
  <c r="M54" i="3" s="1"/>
  <c r="L54" i="3" a="1"/>
  <c r="L54" i="3" s="1"/>
  <c r="K54" i="3" a="1"/>
  <c r="K54" i="3" s="1"/>
  <c r="J54" i="3" a="1"/>
  <c r="J54" i="3" s="1"/>
  <c r="H54" i="3"/>
  <c r="F54" i="3"/>
  <c r="E54" i="3"/>
  <c r="D54" i="3" a="1"/>
  <c r="D54" i="3" s="1"/>
  <c r="AH53" i="3" a="1"/>
  <c r="AH53" i="3" s="1"/>
  <c r="AG53" i="3" a="1"/>
  <c r="AG53" i="3" s="1"/>
  <c r="AF53" i="3" a="1"/>
  <c r="AF53" i="3" s="1"/>
  <c r="AE53" i="3" a="1"/>
  <c r="AE53" i="3" s="1"/>
  <c r="AD53" i="3" a="1"/>
  <c r="AD53" i="3" s="1"/>
  <c r="AC53" i="3" a="1"/>
  <c r="AC53" i="3" s="1"/>
  <c r="AB53" i="3" a="1"/>
  <c r="AB53" i="3" s="1"/>
  <c r="AA53" i="3" a="1"/>
  <c r="AA53" i="3" s="1"/>
  <c r="Z53" i="3" a="1"/>
  <c r="Z53" i="3" s="1"/>
  <c r="Y53" i="3" a="1"/>
  <c r="Y53" i="3" s="1"/>
  <c r="X53" i="3" a="1"/>
  <c r="X53" i="3" s="1"/>
  <c r="W53" i="3" a="1"/>
  <c r="W53" i="3" s="1"/>
  <c r="V53" i="3" a="1"/>
  <c r="V53" i="3" s="1"/>
  <c r="U53" i="3" a="1"/>
  <c r="U53" i="3" s="1"/>
  <c r="T53" i="3" a="1"/>
  <c r="T53" i="3" s="1"/>
  <c r="S53" i="3" a="1"/>
  <c r="S53" i="3" s="1"/>
  <c r="R53" i="3" a="1"/>
  <c r="R53" i="3" s="1"/>
  <c r="Q53" i="3" a="1"/>
  <c r="Q53" i="3" s="1"/>
  <c r="P53" i="3" a="1"/>
  <c r="P53" i="3" s="1"/>
  <c r="O53" i="3" a="1"/>
  <c r="O53" i="3" s="1"/>
  <c r="N53" i="3" a="1"/>
  <c r="N53" i="3" s="1"/>
  <c r="M53" i="3" a="1"/>
  <c r="M53" i="3" s="1"/>
  <c r="L53" i="3" a="1"/>
  <c r="L53" i="3" s="1"/>
  <c r="K53" i="3" a="1"/>
  <c r="K53" i="3" s="1"/>
  <c r="J53" i="3" a="1"/>
  <c r="J53" i="3" s="1"/>
  <c r="H53" i="3"/>
  <c r="F53" i="3"/>
  <c r="E53" i="3"/>
  <c r="D53" i="3" a="1"/>
  <c r="D53" i="3" s="1"/>
  <c r="AH52" i="3" a="1"/>
  <c r="AH52" i="3" s="1"/>
  <c r="AG52" i="3" a="1"/>
  <c r="AG52" i="3" s="1"/>
  <c r="AF52" i="3" a="1"/>
  <c r="AF52" i="3" s="1"/>
  <c r="AE52" i="3" a="1"/>
  <c r="AE52" i="3" s="1"/>
  <c r="AD52" i="3" a="1"/>
  <c r="AD52" i="3" s="1"/>
  <c r="AC52" i="3" a="1"/>
  <c r="AC52" i="3" s="1"/>
  <c r="AB52" i="3" a="1"/>
  <c r="AB52" i="3" s="1"/>
  <c r="AA52" i="3" a="1"/>
  <c r="AA52" i="3" s="1"/>
  <c r="Z52" i="3" a="1"/>
  <c r="Z52" i="3" s="1"/>
  <c r="Y52" i="3" a="1"/>
  <c r="Y52" i="3" s="1"/>
  <c r="X52" i="3" a="1"/>
  <c r="X52" i="3" s="1"/>
  <c r="W52" i="3" a="1"/>
  <c r="W52" i="3" s="1"/>
  <c r="V52" i="3" a="1"/>
  <c r="V52" i="3" s="1"/>
  <c r="U52" i="3" a="1"/>
  <c r="U52" i="3" s="1"/>
  <c r="T52" i="3" a="1"/>
  <c r="T52" i="3" s="1"/>
  <c r="S52" i="3" a="1"/>
  <c r="S52" i="3" s="1"/>
  <c r="R52" i="3" a="1"/>
  <c r="R52" i="3" s="1"/>
  <c r="Q52" i="3" a="1"/>
  <c r="Q52" i="3" s="1"/>
  <c r="P52" i="3" a="1"/>
  <c r="P52" i="3" s="1"/>
  <c r="O52" i="3" a="1"/>
  <c r="O52" i="3" s="1"/>
  <c r="N52" i="3" a="1"/>
  <c r="N52" i="3" s="1"/>
  <c r="M52" i="3" a="1"/>
  <c r="M52" i="3" s="1"/>
  <c r="L52" i="3" a="1"/>
  <c r="L52" i="3" s="1"/>
  <c r="K52" i="3" a="1"/>
  <c r="K52" i="3" s="1"/>
  <c r="J52" i="3" a="1"/>
  <c r="J52" i="3" s="1"/>
  <c r="H52" i="3"/>
  <c r="F52" i="3"/>
  <c r="E52" i="3"/>
  <c r="D52" i="3" a="1"/>
  <c r="D52" i="3" s="1"/>
  <c r="AH51" i="3" a="1"/>
  <c r="AH51" i="3" s="1"/>
  <c r="AG51" i="3" a="1"/>
  <c r="AG51" i="3" s="1"/>
  <c r="AF51" i="3" a="1"/>
  <c r="AF51" i="3" s="1"/>
  <c r="AE51" i="3" a="1"/>
  <c r="AE51" i="3" s="1"/>
  <c r="AD51" i="3" a="1"/>
  <c r="AD51" i="3" s="1"/>
  <c r="AC51" i="3" a="1"/>
  <c r="AC51" i="3" s="1"/>
  <c r="AB51" i="3" a="1"/>
  <c r="AB51" i="3" s="1"/>
  <c r="AA51" i="3" a="1"/>
  <c r="AA51" i="3" s="1"/>
  <c r="Z51" i="3" a="1"/>
  <c r="Z51" i="3" s="1"/>
  <c r="Y51" i="3" a="1"/>
  <c r="Y51" i="3" s="1"/>
  <c r="X51" i="3" a="1"/>
  <c r="X51" i="3" s="1"/>
  <c r="W51" i="3" a="1"/>
  <c r="W51" i="3" s="1"/>
  <c r="V51" i="3" a="1"/>
  <c r="V51" i="3" s="1"/>
  <c r="U51" i="3" a="1"/>
  <c r="U51" i="3" s="1"/>
  <c r="T51" i="3" a="1"/>
  <c r="T51" i="3" s="1"/>
  <c r="S51" i="3" a="1"/>
  <c r="S51" i="3" s="1"/>
  <c r="R51" i="3" a="1"/>
  <c r="R51" i="3" s="1"/>
  <c r="Q51" i="3" a="1"/>
  <c r="Q51" i="3" s="1"/>
  <c r="P51" i="3" a="1"/>
  <c r="P51" i="3" s="1"/>
  <c r="O51" i="3" a="1"/>
  <c r="O51" i="3" s="1"/>
  <c r="N51" i="3" a="1"/>
  <c r="N51" i="3" s="1"/>
  <c r="M51" i="3" a="1"/>
  <c r="M51" i="3" s="1"/>
  <c r="L51" i="3" a="1"/>
  <c r="L51" i="3" s="1"/>
  <c r="K51" i="3" a="1"/>
  <c r="K51" i="3" s="1"/>
  <c r="J51" i="3" a="1"/>
  <c r="J51" i="3" s="1"/>
  <c r="H51" i="3"/>
  <c r="F51" i="3"/>
  <c r="E51" i="3"/>
  <c r="D51" i="3" a="1"/>
  <c r="D51" i="3" s="1"/>
  <c r="AH50" i="3" a="1"/>
  <c r="AH50" i="3" s="1"/>
  <c r="AG50" i="3" a="1"/>
  <c r="AG50" i="3" s="1"/>
  <c r="AF50" i="3" a="1"/>
  <c r="AF50" i="3" s="1"/>
  <c r="AE50" i="3" a="1"/>
  <c r="AE50" i="3" s="1"/>
  <c r="AD50" i="3" a="1"/>
  <c r="AD50" i="3" s="1"/>
  <c r="AC50" i="3" a="1"/>
  <c r="AC50" i="3" s="1"/>
  <c r="AB50" i="3" a="1"/>
  <c r="AB50" i="3" s="1"/>
  <c r="AA50" i="3" a="1"/>
  <c r="AA50" i="3" s="1"/>
  <c r="Z50" i="3" a="1"/>
  <c r="Z50" i="3" s="1"/>
  <c r="Y50" i="3" a="1"/>
  <c r="Y50" i="3" s="1"/>
  <c r="X50" i="3" a="1"/>
  <c r="X50" i="3" s="1"/>
  <c r="W50" i="3" a="1"/>
  <c r="W50" i="3" s="1"/>
  <c r="V50" i="3" a="1"/>
  <c r="V50" i="3" s="1"/>
  <c r="U50" i="3" a="1"/>
  <c r="U50" i="3" s="1"/>
  <c r="T50" i="3" a="1"/>
  <c r="T50" i="3" s="1"/>
  <c r="S50" i="3" a="1"/>
  <c r="S50" i="3" s="1"/>
  <c r="R50" i="3" a="1"/>
  <c r="R50" i="3" s="1"/>
  <c r="Q50" i="3" a="1"/>
  <c r="Q50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J50" i="3" a="1"/>
  <c r="J50" i="3" s="1"/>
  <c r="H50" i="3"/>
  <c r="F50" i="3"/>
  <c r="E50" i="3"/>
  <c r="D50" i="3" a="1"/>
  <c r="D50" i="3" s="1"/>
  <c r="AH49" i="3" a="1"/>
  <c r="AH49" i="3" s="1"/>
  <c r="AG49" i="3" a="1"/>
  <c r="AG49" i="3" s="1"/>
  <c r="AF49" i="3" a="1"/>
  <c r="AF49" i="3" s="1"/>
  <c r="AE49" i="3" a="1"/>
  <c r="AE49" i="3" s="1"/>
  <c r="AD49" i="3" a="1"/>
  <c r="AD49" i="3" s="1"/>
  <c r="AC49" i="3" a="1"/>
  <c r="AC49" i="3" s="1"/>
  <c r="AB49" i="3" a="1"/>
  <c r="AB49" i="3" s="1"/>
  <c r="AA49" i="3" a="1"/>
  <c r="AA49" i="3" s="1"/>
  <c r="Z49" i="3" a="1"/>
  <c r="Z49" i="3" s="1"/>
  <c r="Y49" i="3" a="1"/>
  <c r="Y49" i="3" s="1"/>
  <c r="X49" i="3" a="1"/>
  <c r="X49" i="3" s="1"/>
  <c r="W49" i="3" a="1"/>
  <c r="W49" i="3" s="1"/>
  <c r="V49" i="3" a="1"/>
  <c r="V49" i="3" s="1"/>
  <c r="U49" i="3" a="1"/>
  <c r="U49" i="3" s="1"/>
  <c r="T49" i="3" a="1"/>
  <c r="T49" i="3" s="1"/>
  <c r="S49" i="3" a="1"/>
  <c r="S49" i="3" s="1"/>
  <c r="R49" i="3" a="1"/>
  <c r="R49" i="3" s="1"/>
  <c r="Q49" i="3" a="1"/>
  <c r="Q49" i="3" s="1"/>
  <c r="P49" i="3" a="1"/>
  <c r="P49" i="3" s="1"/>
  <c r="O49" i="3" a="1"/>
  <c r="O49" i="3" s="1"/>
  <c r="N49" i="3" a="1"/>
  <c r="N49" i="3" s="1"/>
  <c r="M49" i="3" a="1"/>
  <c r="M49" i="3" s="1"/>
  <c r="L49" i="3" a="1"/>
  <c r="L49" i="3" s="1"/>
  <c r="K49" i="3" a="1"/>
  <c r="K49" i="3" s="1"/>
  <c r="J49" i="3" a="1"/>
  <c r="J49" i="3" s="1"/>
  <c r="H49" i="3"/>
  <c r="F49" i="3"/>
  <c r="E49" i="3"/>
  <c r="D49" i="3" a="1"/>
  <c r="D49" i="3" s="1"/>
  <c r="AH48" i="3" a="1"/>
  <c r="AH48" i="3" s="1"/>
  <c r="AG48" i="3" a="1"/>
  <c r="AG48" i="3" s="1"/>
  <c r="AF48" i="3" a="1"/>
  <c r="AF48" i="3" s="1"/>
  <c r="AE48" i="3" a="1"/>
  <c r="AE48" i="3" s="1"/>
  <c r="AD48" i="3" a="1"/>
  <c r="AD48" i="3" s="1"/>
  <c r="AC48" i="3" a="1"/>
  <c r="AC48" i="3" s="1"/>
  <c r="AB48" i="3" a="1"/>
  <c r="AB48" i="3" s="1"/>
  <c r="AA48" i="3" a="1"/>
  <c r="AA48" i="3" s="1"/>
  <c r="Z48" i="3" a="1"/>
  <c r="Z48" i="3" s="1"/>
  <c r="Y48" i="3" a="1"/>
  <c r="Y48" i="3" s="1"/>
  <c r="X48" i="3" a="1"/>
  <c r="X48" i="3" s="1"/>
  <c r="W48" i="3" a="1"/>
  <c r="W48" i="3" s="1"/>
  <c r="V48" i="3" a="1"/>
  <c r="V48" i="3" s="1"/>
  <c r="U48" i="3" a="1"/>
  <c r="U48" i="3" s="1"/>
  <c r="T48" i="3" a="1"/>
  <c r="T48" i="3" s="1"/>
  <c r="S48" i="3" a="1"/>
  <c r="S48" i="3" s="1"/>
  <c r="R48" i="3" a="1"/>
  <c r="R48" i="3" s="1"/>
  <c r="Q48" i="3" a="1"/>
  <c r="Q48" i="3" s="1"/>
  <c r="P48" i="3" a="1"/>
  <c r="P48" i="3" s="1"/>
  <c r="O48" i="3" a="1"/>
  <c r="O48" i="3" s="1"/>
  <c r="N48" i="3" a="1"/>
  <c r="N48" i="3" s="1"/>
  <c r="M48" i="3" a="1"/>
  <c r="M48" i="3" s="1"/>
  <c r="L48" i="3" a="1"/>
  <c r="L48" i="3" s="1"/>
  <c r="K48" i="3" a="1"/>
  <c r="K48" i="3" s="1"/>
  <c r="J48" i="3" a="1"/>
  <c r="J48" i="3" s="1"/>
  <c r="H48" i="3"/>
  <c r="F48" i="3"/>
  <c r="E48" i="3"/>
  <c r="D48" i="3" a="1"/>
  <c r="D48" i="3" s="1"/>
  <c r="AH47" i="3" a="1"/>
  <c r="AH47" i="3" s="1"/>
  <c r="AG47" i="3" a="1"/>
  <c r="AG47" i="3" s="1"/>
  <c r="AF47" i="3" a="1"/>
  <c r="AF47" i="3" s="1"/>
  <c r="AE47" i="3" a="1"/>
  <c r="AE47" i="3" s="1"/>
  <c r="AD47" i="3" a="1"/>
  <c r="AD47" i="3" s="1"/>
  <c r="AC47" i="3" a="1"/>
  <c r="AC47" i="3" s="1"/>
  <c r="AB47" i="3" a="1"/>
  <c r="AB47" i="3" s="1"/>
  <c r="AA47" i="3" a="1"/>
  <c r="AA47" i="3" s="1"/>
  <c r="Z47" i="3" a="1"/>
  <c r="Z47" i="3" s="1"/>
  <c r="Y47" i="3" a="1"/>
  <c r="Y47" i="3" s="1"/>
  <c r="X47" i="3" a="1"/>
  <c r="X47" i="3" s="1"/>
  <c r="W47" i="3" a="1"/>
  <c r="W47" i="3" s="1"/>
  <c r="V47" i="3" a="1"/>
  <c r="V47" i="3" s="1"/>
  <c r="U47" i="3" a="1"/>
  <c r="U47" i="3" s="1"/>
  <c r="T47" i="3" a="1"/>
  <c r="T47" i="3" s="1"/>
  <c r="S47" i="3" a="1"/>
  <c r="S47" i="3" s="1"/>
  <c r="R47" i="3" a="1"/>
  <c r="R47" i="3" s="1"/>
  <c r="Q47" i="3" a="1"/>
  <c r="Q47" i="3" s="1"/>
  <c r="P47" i="3" a="1"/>
  <c r="P47" i="3" s="1"/>
  <c r="O47" i="3" a="1"/>
  <c r="O47" i="3" s="1"/>
  <c r="N47" i="3" a="1"/>
  <c r="N47" i="3" s="1"/>
  <c r="M47" i="3" a="1"/>
  <c r="M47" i="3" s="1"/>
  <c r="L47" i="3" a="1"/>
  <c r="L47" i="3" s="1"/>
  <c r="K47" i="3" a="1"/>
  <c r="K47" i="3" s="1"/>
  <c r="J47" i="3" a="1"/>
  <c r="J47" i="3" s="1"/>
  <c r="H47" i="3"/>
  <c r="F47" i="3"/>
  <c r="E47" i="3"/>
  <c r="D47" i="3" a="1"/>
  <c r="D47" i="3" s="1"/>
  <c r="AH46" i="3" a="1"/>
  <c r="AH46" i="3" s="1"/>
  <c r="AG46" i="3" a="1"/>
  <c r="AG46" i="3" s="1"/>
  <c r="AF46" i="3" a="1"/>
  <c r="AF46" i="3" s="1"/>
  <c r="AE46" i="3" a="1"/>
  <c r="AE46" i="3" s="1"/>
  <c r="AD46" i="3" a="1"/>
  <c r="AD46" i="3" s="1"/>
  <c r="AC46" i="3" a="1"/>
  <c r="AC46" i="3" s="1"/>
  <c r="AB46" i="3" a="1"/>
  <c r="AB46" i="3" s="1"/>
  <c r="AA46" i="3" a="1"/>
  <c r="AA46" i="3" s="1"/>
  <c r="Z46" i="3" a="1"/>
  <c r="Z46" i="3" s="1"/>
  <c r="Y46" i="3" a="1"/>
  <c r="Y46" i="3" s="1"/>
  <c r="X46" i="3" a="1"/>
  <c r="X46" i="3" s="1"/>
  <c r="W46" i="3" a="1"/>
  <c r="W46" i="3" s="1"/>
  <c r="V46" i="3" a="1"/>
  <c r="V46" i="3" s="1"/>
  <c r="U46" i="3" a="1"/>
  <c r="U46" i="3" s="1"/>
  <c r="T46" i="3" a="1"/>
  <c r="T46" i="3" s="1"/>
  <c r="S46" i="3" a="1"/>
  <c r="S46" i="3" s="1"/>
  <c r="R46" i="3" a="1"/>
  <c r="R46" i="3" s="1"/>
  <c r="Q46" i="3" a="1"/>
  <c r="Q46" i="3" s="1"/>
  <c r="P46" i="3" a="1"/>
  <c r="P46" i="3" s="1"/>
  <c r="O46" i="3" a="1"/>
  <c r="O46" i="3" s="1"/>
  <c r="N46" i="3" a="1"/>
  <c r="N46" i="3" s="1"/>
  <c r="M46" i="3" a="1"/>
  <c r="M46" i="3" s="1"/>
  <c r="L46" i="3" a="1"/>
  <c r="L46" i="3" s="1"/>
  <c r="K46" i="3" a="1"/>
  <c r="K46" i="3" s="1"/>
  <c r="J46" i="3" a="1"/>
  <c r="J46" i="3" s="1"/>
  <c r="H46" i="3"/>
  <c r="F46" i="3"/>
  <c r="E46" i="3"/>
  <c r="D46" i="3" a="1"/>
  <c r="D46" i="3" s="1"/>
  <c r="AH45" i="3" a="1"/>
  <c r="AH45" i="3" s="1"/>
  <c r="AG45" i="3" a="1"/>
  <c r="AG45" i="3" s="1"/>
  <c r="AF45" i="3" a="1"/>
  <c r="AF45" i="3" s="1"/>
  <c r="AE45" i="3" a="1"/>
  <c r="AE45" i="3" s="1"/>
  <c r="AD45" i="3" a="1"/>
  <c r="AD45" i="3" s="1"/>
  <c r="AC45" i="3" a="1"/>
  <c r="AC45" i="3" s="1"/>
  <c r="AB45" i="3" a="1"/>
  <c r="AB45" i="3" s="1"/>
  <c r="AA45" i="3" a="1"/>
  <c r="AA45" i="3" s="1"/>
  <c r="Z45" i="3" a="1"/>
  <c r="Z45" i="3" s="1"/>
  <c r="Y45" i="3" a="1"/>
  <c r="Y45" i="3" s="1"/>
  <c r="X45" i="3" a="1"/>
  <c r="X45" i="3" s="1"/>
  <c r="W45" i="3" a="1"/>
  <c r="W45" i="3" s="1"/>
  <c r="V45" i="3" a="1"/>
  <c r="V45" i="3" s="1"/>
  <c r="U45" i="3" a="1"/>
  <c r="U45" i="3" s="1"/>
  <c r="T45" i="3" a="1"/>
  <c r="T45" i="3" s="1"/>
  <c r="S45" i="3" a="1"/>
  <c r="S45" i="3" s="1"/>
  <c r="R45" i="3" a="1"/>
  <c r="R45" i="3" s="1"/>
  <c r="Q45" i="3" a="1"/>
  <c r="Q45" i="3" s="1"/>
  <c r="P45" i="3" a="1"/>
  <c r="P45" i="3" s="1"/>
  <c r="O45" i="3" a="1"/>
  <c r="O45" i="3" s="1"/>
  <c r="N45" i="3" a="1"/>
  <c r="N45" i="3" s="1"/>
  <c r="M45" i="3" a="1"/>
  <c r="M45" i="3" s="1"/>
  <c r="L45" i="3" a="1"/>
  <c r="L45" i="3" s="1"/>
  <c r="K45" i="3" a="1"/>
  <c r="K45" i="3" s="1"/>
  <c r="J45" i="3" a="1"/>
  <c r="J45" i="3" s="1"/>
  <c r="H45" i="3"/>
  <c r="F45" i="3"/>
  <c r="E45" i="3"/>
  <c r="D45" i="3" a="1"/>
  <c r="D45" i="3" s="1"/>
  <c r="AH44" i="3" a="1"/>
  <c r="AH44" i="3" s="1"/>
  <c r="AG44" i="3" a="1"/>
  <c r="AG44" i="3" s="1"/>
  <c r="AF44" i="3" a="1"/>
  <c r="AF44" i="3" s="1"/>
  <c r="AE44" i="3" a="1"/>
  <c r="AE44" i="3" s="1"/>
  <c r="AD44" i="3" a="1"/>
  <c r="AD44" i="3" s="1"/>
  <c r="AC44" i="3" a="1"/>
  <c r="AC44" i="3" s="1"/>
  <c r="AB44" i="3" a="1"/>
  <c r="AB44" i="3" s="1"/>
  <c r="AA44" i="3" a="1"/>
  <c r="AA44" i="3" s="1"/>
  <c r="Z44" i="3" a="1"/>
  <c r="Z44" i="3" s="1"/>
  <c r="Y44" i="3" a="1"/>
  <c r="Y44" i="3" s="1"/>
  <c r="X44" i="3" a="1"/>
  <c r="X44" i="3" s="1"/>
  <c r="W44" i="3" a="1"/>
  <c r="W44" i="3" s="1"/>
  <c r="V44" i="3" a="1"/>
  <c r="V44" i="3" s="1"/>
  <c r="U44" i="3" a="1"/>
  <c r="U44" i="3" s="1"/>
  <c r="T44" i="3" a="1"/>
  <c r="T44" i="3" s="1"/>
  <c r="S44" i="3" a="1"/>
  <c r="S44" i="3" s="1"/>
  <c r="R44" i="3" a="1"/>
  <c r="R44" i="3" s="1"/>
  <c r="Q44" i="3" a="1"/>
  <c r="Q44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J44" i="3" a="1"/>
  <c r="J44" i="3" s="1"/>
  <c r="H44" i="3"/>
  <c r="F44" i="3"/>
  <c r="E44" i="3"/>
  <c r="D44" i="3" a="1"/>
  <c r="D44" i="3" s="1"/>
  <c r="AH43" i="3" a="1"/>
  <c r="AH43" i="3" s="1"/>
  <c r="AG43" i="3" a="1"/>
  <c r="AG43" i="3" s="1"/>
  <c r="AF43" i="3" a="1"/>
  <c r="AF43" i="3" s="1"/>
  <c r="AE43" i="3" a="1"/>
  <c r="AE43" i="3" s="1"/>
  <c r="AD43" i="3" a="1"/>
  <c r="AD43" i="3" s="1"/>
  <c r="AC43" i="3" a="1"/>
  <c r="AC43" i="3" s="1"/>
  <c r="AB43" i="3" a="1"/>
  <c r="AB43" i="3" s="1"/>
  <c r="AA43" i="3" a="1"/>
  <c r="AA43" i="3" s="1"/>
  <c r="Z43" i="3" a="1"/>
  <c r="Z43" i="3" s="1"/>
  <c r="Y43" i="3" a="1"/>
  <c r="Y43" i="3" s="1"/>
  <c r="X43" i="3" a="1"/>
  <c r="X43" i="3" s="1"/>
  <c r="W43" i="3" a="1"/>
  <c r="W43" i="3" s="1"/>
  <c r="V43" i="3" a="1"/>
  <c r="V43" i="3" s="1"/>
  <c r="U43" i="3" a="1"/>
  <c r="U43" i="3" s="1"/>
  <c r="T43" i="3" a="1"/>
  <c r="T43" i="3" s="1"/>
  <c r="S43" i="3" a="1"/>
  <c r="S43" i="3" s="1"/>
  <c r="R43" i="3" a="1"/>
  <c r="R43" i="3" s="1"/>
  <c r="Q43" i="3" a="1"/>
  <c r="Q43" i="3" s="1"/>
  <c r="P43" i="3" a="1"/>
  <c r="P43" i="3" s="1"/>
  <c r="O43" i="3" a="1"/>
  <c r="O43" i="3" s="1"/>
  <c r="N43" i="3" a="1"/>
  <c r="N43" i="3" s="1"/>
  <c r="M43" i="3" a="1"/>
  <c r="M43" i="3" s="1"/>
  <c r="L43" i="3" a="1"/>
  <c r="L43" i="3" s="1"/>
  <c r="K43" i="3" a="1"/>
  <c r="K43" i="3" s="1"/>
  <c r="J43" i="3" a="1"/>
  <c r="J43" i="3" s="1"/>
  <c r="H43" i="3"/>
  <c r="F43" i="3"/>
  <c r="E43" i="3"/>
  <c r="D43" i="3" a="1"/>
  <c r="D43" i="3" s="1"/>
  <c r="AH42" i="3" a="1"/>
  <c r="AH42" i="3" s="1"/>
  <c r="AG42" i="3" a="1"/>
  <c r="AG42" i="3" s="1"/>
  <c r="AF42" i="3" a="1"/>
  <c r="AF42" i="3" s="1"/>
  <c r="AE42" i="3" a="1"/>
  <c r="AE42" i="3" s="1"/>
  <c r="AD42" i="3" a="1"/>
  <c r="AD42" i="3" s="1"/>
  <c r="AC42" i="3" a="1"/>
  <c r="AC42" i="3" s="1"/>
  <c r="AB42" i="3" a="1"/>
  <c r="AB42" i="3" s="1"/>
  <c r="AA42" i="3" a="1"/>
  <c r="AA42" i="3" s="1"/>
  <c r="Z42" i="3" a="1"/>
  <c r="Z42" i="3" s="1"/>
  <c r="Y42" i="3" a="1"/>
  <c r="Y42" i="3" s="1"/>
  <c r="X42" i="3" a="1"/>
  <c r="X42" i="3" s="1"/>
  <c r="W42" i="3" a="1"/>
  <c r="W42" i="3" s="1"/>
  <c r="V42" i="3" a="1"/>
  <c r="V42" i="3" s="1"/>
  <c r="U42" i="3" a="1"/>
  <c r="U42" i="3" s="1"/>
  <c r="T42" i="3" a="1"/>
  <c r="T42" i="3" s="1"/>
  <c r="S42" i="3" a="1"/>
  <c r="S42" i="3" s="1"/>
  <c r="R42" i="3" a="1"/>
  <c r="R42" i="3" s="1"/>
  <c r="Q42" i="3" a="1"/>
  <c r="Q42" i="3" s="1"/>
  <c r="P42" i="3" a="1"/>
  <c r="P42" i="3" s="1"/>
  <c r="O42" i="3" a="1"/>
  <c r="O42" i="3" s="1"/>
  <c r="N42" i="3" a="1"/>
  <c r="N42" i="3" s="1"/>
  <c r="M42" i="3" a="1"/>
  <c r="M42" i="3" s="1"/>
  <c r="L42" i="3" a="1"/>
  <c r="L42" i="3" s="1"/>
  <c r="K42" i="3" a="1"/>
  <c r="K42" i="3" s="1"/>
  <c r="J42" i="3" a="1"/>
  <c r="J42" i="3" s="1"/>
  <c r="H42" i="3"/>
  <c r="F42" i="3"/>
  <c r="E42" i="3"/>
  <c r="D42" i="3" a="1"/>
  <c r="D42" i="3" s="1"/>
  <c r="AH41" i="3" a="1"/>
  <c r="AH41" i="3" s="1"/>
  <c r="AG41" i="3" a="1"/>
  <c r="AG41" i="3" s="1"/>
  <c r="AF41" i="3" a="1"/>
  <c r="AF41" i="3" s="1"/>
  <c r="AE41" i="3" a="1"/>
  <c r="AE41" i="3" s="1"/>
  <c r="AD41" i="3" a="1"/>
  <c r="AD41" i="3" s="1"/>
  <c r="AC41" i="3" a="1"/>
  <c r="AC41" i="3" s="1"/>
  <c r="AB41" i="3" a="1"/>
  <c r="AB41" i="3" s="1"/>
  <c r="AA41" i="3" a="1"/>
  <c r="AA41" i="3" s="1"/>
  <c r="Z41" i="3" a="1"/>
  <c r="Z41" i="3" s="1"/>
  <c r="Y41" i="3" a="1"/>
  <c r="Y41" i="3" s="1"/>
  <c r="X41" i="3" a="1"/>
  <c r="X41" i="3" s="1"/>
  <c r="W41" i="3" a="1"/>
  <c r="W41" i="3" s="1"/>
  <c r="V41" i="3" a="1"/>
  <c r="V41" i="3" s="1"/>
  <c r="U41" i="3" a="1"/>
  <c r="U41" i="3" s="1"/>
  <c r="T41" i="3" a="1"/>
  <c r="T41" i="3" s="1"/>
  <c r="S41" i="3" a="1"/>
  <c r="S41" i="3" s="1"/>
  <c r="R41" i="3" a="1"/>
  <c r="R41" i="3" s="1"/>
  <c r="Q41" i="3" a="1"/>
  <c r="Q41" i="3" s="1"/>
  <c r="P41" i="3" a="1"/>
  <c r="P41" i="3" s="1"/>
  <c r="O41" i="3" a="1"/>
  <c r="O41" i="3" s="1"/>
  <c r="N41" i="3" a="1"/>
  <c r="N41" i="3" s="1"/>
  <c r="M41" i="3" a="1"/>
  <c r="M41" i="3" s="1"/>
  <c r="L41" i="3" a="1"/>
  <c r="L41" i="3" s="1"/>
  <c r="K41" i="3" a="1"/>
  <c r="K41" i="3" s="1"/>
  <c r="J41" i="3" a="1"/>
  <c r="J41" i="3" s="1"/>
  <c r="H41" i="3"/>
  <c r="F41" i="3"/>
  <c r="E41" i="3"/>
  <c r="D41" i="3" a="1"/>
  <c r="D41" i="3" s="1"/>
  <c r="AH40" i="3" a="1"/>
  <c r="AH40" i="3" s="1"/>
  <c r="AG40" i="3" a="1"/>
  <c r="AG40" i="3" s="1"/>
  <c r="AF40" i="3" a="1"/>
  <c r="AF40" i="3" s="1"/>
  <c r="AE40" i="3" a="1"/>
  <c r="AE40" i="3" s="1"/>
  <c r="AD40" i="3" a="1"/>
  <c r="AD40" i="3" s="1"/>
  <c r="AC40" i="3" a="1"/>
  <c r="AC40" i="3" s="1"/>
  <c r="AB40" i="3" a="1"/>
  <c r="AB40" i="3" s="1"/>
  <c r="AA40" i="3" a="1"/>
  <c r="AA40" i="3" s="1"/>
  <c r="Z40" i="3" a="1"/>
  <c r="Z40" i="3" s="1"/>
  <c r="Y40" i="3" a="1"/>
  <c r="Y40" i="3" s="1"/>
  <c r="X40" i="3" a="1"/>
  <c r="X40" i="3" s="1"/>
  <c r="W40" i="3" a="1"/>
  <c r="W40" i="3" s="1"/>
  <c r="V40" i="3" a="1"/>
  <c r="V40" i="3" s="1"/>
  <c r="U40" i="3" a="1"/>
  <c r="U40" i="3" s="1"/>
  <c r="T40" i="3" a="1"/>
  <c r="T40" i="3" s="1"/>
  <c r="S40" i="3" a="1"/>
  <c r="S40" i="3" s="1"/>
  <c r="R40" i="3" a="1"/>
  <c r="R40" i="3" s="1"/>
  <c r="Q40" i="3" a="1"/>
  <c r="Q40" i="3" s="1"/>
  <c r="P40" i="3" a="1"/>
  <c r="P40" i="3" s="1"/>
  <c r="O40" i="3" a="1"/>
  <c r="O40" i="3" s="1"/>
  <c r="N40" i="3" a="1"/>
  <c r="N40" i="3" s="1"/>
  <c r="M40" i="3" a="1"/>
  <c r="M40" i="3" s="1"/>
  <c r="L40" i="3" a="1"/>
  <c r="L40" i="3" s="1"/>
  <c r="K40" i="3" a="1"/>
  <c r="K40" i="3" s="1"/>
  <c r="J40" i="3" a="1"/>
  <c r="J40" i="3" s="1"/>
  <c r="H40" i="3"/>
  <c r="F40" i="3"/>
  <c r="E40" i="3"/>
  <c r="D40" i="3" a="1"/>
  <c r="D40" i="3" s="1"/>
  <c r="AH39" i="3" a="1"/>
  <c r="AH39" i="3" s="1"/>
  <c r="AG39" i="3" a="1"/>
  <c r="AG39" i="3" s="1"/>
  <c r="AF39" i="3" a="1"/>
  <c r="AF39" i="3" s="1"/>
  <c r="AE39" i="3" a="1"/>
  <c r="AE39" i="3" s="1"/>
  <c r="AD39" i="3" a="1"/>
  <c r="AD39" i="3" s="1"/>
  <c r="AC39" i="3" a="1"/>
  <c r="AC39" i="3" s="1"/>
  <c r="AB39" i="3" a="1"/>
  <c r="AB39" i="3" s="1"/>
  <c r="AA39" i="3" a="1"/>
  <c r="AA39" i="3" s="1"/>
  <c r="Z39" i="3" a="1"/>
  <c r="Z39" i="3" s="1"/>
  <c r="Y39" i="3" a="1"/>
  <c r="Y39" i="3" s="1"/>
  <c r="X39" i="3" a="1"/>
  <c r="X39" i="3" s="1"/>
  <c r="W39" i="3" a="1"/>
  <c r="W39" i="3" s="1"/>
  <c r="V39" i="3" a="1"/>
  <c r="V39" i="3" s="1"/>
  <c r="U39" i="3" a="1"/>
  <c r="U39" i="3" s="1"/>
  <c r="T39" i="3" a="1"/>
  <c r="T39" i="3" s="1"/>
  <c r="S39" i="3" a="1"/>
  <c r="S39" i="3" s="1"/>
  <c r="R39" i="3" a="1"/>
  <c r="R39" i="3" s="1"/>
  <c r="Q39" i="3" a="1"/>
  <c r="Q39" i="3" s="1"/>
  <c r="P39" i="3" a="1"/>
  <c r="P39" i="3" s="1"/>
  <c r="O39" i="3" a="1"/>
  <c r="O39" i="3" s="1"/>
  <c r="N39" i="3" a="1"/>
  <c r="N39" i="3" s="1"/>
  <c r="M39" i="3" a="1"/>
  <c r="M39" i="3" s="1"/>
  <c r="L39" i="3" a="1"/>
  <c r="L39" i="3" s="1"/>
  <c r="K39" i="3" a="1"/>
  <c r="K39" i="3" s="1"/>
  <c r="J39" i="3" a="1"/>
  <c r="J39" i="3" s="1"/>
  <c r="H39" i="3"/>
  <c r="F39" i="3"/>
  <c r="E39" i="3"/>
  <c r="D39" i="3" a="1"/>
  <c r="D39" i="3" s="1"/>
  <c r="AH38" i="3" a="1"/>
  <c r="AH38" i="3" s="1"/>
  <c r="AG38" i="3" a="1"/>
  <c r="AG38" i="3" s="1"/>
  <c r="AF38" i="3" a="1"/>
  <c r="AF38" i="3" s="1"/>
  <c r="AE38" i="3" a="1"/>
  <c r="AE38" i="3" s="1"/>
  <c r="AD38" i="3" a="1"/>
  <c r="AD38" i="3" s="1"/>
  <c r="AC38" i="3" a="1"/>
  <c r="AC38" i="3" s="1"/>
  <c r="AB38" i="3" a="1"/>
  <c r="AB38" i="3" s="1"/>
  <c r="AA38" i="3" a="1"/>
  <c r="AA38" i="3" s="1"/>
  <c r="Z38" i="3" a="1"/>
  <c r="Z38" i="3" s="1"/>
  <c r="Y38" i="3" a="1"/>
  <c r="Y38" i="3" s="1"/>
  <c r="X38" i="3" a="1"/>
  <c r="X38" i="3" s="1"/>
  <c r="W38" i="3" a="1"/>
  <c r="W38" i="3" s="1"/>
  <c r="V38" i="3" a="1"/>
  <c r="V38" i="3" s="1"/>
  <c r="U38" i="3" a="1"/>
  <c r="U38" i="3" s="1"/>
  <c r="T38" i="3" a="1"/>
  <c r="T38" i="3" s="1"/>
  <c r="S38" i="3" a="1"/>
  <c r="S38" i="3" s="1"/>
  <c r="R38" i="3" a="1"/>
  <c r="R38" i="3" s="1"/>
  <c r="Q38" i="3" a="1"/>
  <c r="Q38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J38" i="3" a="1"/>
  <c r="J38" i="3" s="1"/>
  <c r="H38" i="3"/>
  <c r="F38" i="3"/>
  <c r="E38" i="3"/>
  <c r="D38" i="3" a="1"/>
  <c r="D38" i="3" s="1"/>
  <c r="AH37" i="3" a="1"/>
  <c r="AH37" i="3" s="1"/>
  <c r="AG37" i="3" a="1"/>
  <c r="AG37" i="3" s="1"/>
  <c r="AF37" i="3" a="1"/>
  <c r="AF37" i="3" s="1"/>
  <c r="AE37" i="3" a="1"/>
  <c r="AE37" i="3" s="1"/>
  <c r="AD37" i="3" a="1"/>
  <c r="AD37" i="3" s="1"/>
  <c r="AC37" i="3" a="1"/>
  <c r="AC37" i="3" s="1"/>
  <c r="AB37" i="3" a="1"/>
  <c r="AB37" i="3" s="1"/>
  <c r="AA37" i="3" a="1"/>
  <c r="AA37" i="3" s="1"/>
  <c r="Z37" i="3" a="1"/>
  <c r="Z37" i="3" s="1"/>
  <c r="Y37" i="3" a="1"/>
  <c r="Y37" i="3" s="1"/>
  <c r="X37" i="3" a="1"/>
  <c r="X37" i="3" s="1"/>
  <c r="W37" i="3" a="1"/>
  <c r="W37" i="3" s="1"/>
  <c r="V37" i="3" a="1"/>
  <c r="V37" i="3" s="1"/>
  <c r="U37" i="3" a="1"/>
  <c r="U37" i="3" s="1"/>
  <c r="T37" i="3" a="1"/>
  <c r="T37" i="3" s="1"/>
  <c r="S37" i="3" a="1"/>
  <c r="S37" i="3" s="1"/>
  <c r="R37" i="3" a="1"/>
  <c r="R37" i="3" s="1"/>
  <c r="Q37" i="3" a="1"/>
  <c r="Q37" i="3" s="1"/>
  <c r="P37" i="3" a="1"/>
  <c r="P37" i="3" s="1"/>
  <c r="O37" i="3" a="1"/>
  <c r="O37" i="3" s="1"/>
  <c r="N37" i="3" a="1"/>
  <c r="N37" i="3" s="1"/>
  <c r="M37" i="3" a="1"/>
  <c r="M37" i="3" s="1"/>
  <c r="L37" i="3" a="1"/>
  <c r="L37" i="3" s="1"/>
  <c r="K37" i="3" a="1"/>
  <c r="K37" i="3" s="1"/>
  <c r="J37" i="3" a="1"/>
  <c r="J37" i="3" s="1"/>
  <c r="H37" i="3"/>
  <c r="F37" i="3"/>
  <c r="E37" i="3"/>
  <c r="D37" i="3" a="1"/>
  <c r="D37" i="3" s="1"/>
  <c r="AH36" i="3" a="1"/>
  <c r="AH36" i="3" s="1"/>
  <c r="AG36" i="3" a="1"/>
  <c r="AG36" i="3" s="1"/>
  <c r="AF36" i="3" a="1"/>
  <c r="AF36" i="3" s="1"/>
  <c r="AE36" i="3" a="1"/>
  <c r="AE36" i="3" s="1"/>
  <c r="AD36" i="3" a="1"/>
  <c r="AD36" i="3" s="1"/>
  <c r="AC36" i="3" a="1"/>
  <c r="AC36" i="3" s="1"/>
  <c r="AB36" i="3" a="1"/>
  <c r="AB36" i="3" s="1"/>
  <c r="AA36" i="3" a="1"/>
  <c r="AA36" i="3" s="1"/>
  <c r="Z36" i="3" a="1"/>
  <c r="Z36" i="3" s="1"/>
  <c r="Y36" i="3" a="1"/>
  <c r="Y36" i="3" s="1"/>
  <c r="X36" i="3" a="1"/>
  <c r="X36" i="3" s="1"/>
  <c r="W36" i="3" a="1"/>
  <c r="W36" i="3" s="1"/>
  <c r="V36" i="3" a="1"/>
  <c r="V36" i="3" s="1"/>
  <c r="U36" i="3" a="1"/>
  <c r="U36" i="3" s="1"/>
  <c r="T36" i="3" a="1"/>
  <c r="T36" i="3" s="1"/>
  <c r="S36" i="3" a="1"/>
  <c r="S36" i="3" s="1"/>
  <c r="R36" i="3" a="1"/>
  <c r="R36" i="3" s="1"/>
  <c r="Q36" i="3" a="1"/>
  <c r="Q36" i="3" s="1"/>
  <c r="P36" i="3" a="1"/>
  <c r="P36" i="3" s="1"/>
  <c r="O36" i="3" a="1"/>
  <c r="O36" i="3" s="1"/>
  <c r="N36" i="3" a="1"/>
  <c r="N36" i="3" s="1"/>
  <c r="M36" i="3" a="1"/>
  <c r="M36" i="3" s="1"/>
  <c r="L36" i="3" a="1"/>
  <c r="L36" i="3" s="1"/>
  <c r="K36" i="3" a="1"/>
  <c r="K36" i="3" s="1"/>
  <c r="J36" i="3" a="1"/>
  <c r="J36" i="3" s="1"/>
  <c r="H36" i="3"/>
  <c r="F36" i="3"/>
  <c r="E36" i="3"/>
  <c r="D36" i="3" a="1"/>
  <c r="D36" i="3" s="1"/>
  <c r="AH35" i="3" a="1"/>
  <c r="AH35" i="3" s="1"/>
  <c r="AG35" i="3" a="1"/>
  <c r="AG35" i="3" s="1"/>
  <c r="AF35" i="3" a="1"/>
  <c r="AF35" i="3" s="1"/>
  <c r="AE35" i="3" a="1"/>
  <c r="AE35" i="3" s="1"/>
  <c r="AD35" i="3" a="1"/>
  <c r="AD35" i="3" s="1"/>
  <c r="AC35" i="3" a="1"/>
  <c r="AC35" i="3" s="1"/>
  <c r="AB35" i="3" a="1"/>
  <c r="AB35" i="3" s="1"/>
  <c r="AA35" i="3" a="1"/>
  <c r="AA35" i="3" s="1"/>
  <c r="Z35" i="3" a="1"/>
  <c r="Z35" i="3" s="1"/>
  <c r="Y35" i="3" a="1"/>
  <c r="Y35" i="3" s="1"/>
  <c r="X35" i="3" a="1"/>
  <c r="X35" i="3" s="1"/>
  <c r="W35" i="3" a="1"/>
  <c r="W35" i="3" s="1"/>
  <c r="V35" i="3" a="1"/>
  <c r="V35" i="3" s="1"/>
  <c r="U35" i="3" a="1"/>
  <c r="U35" i="3" s="1"/>
  <c r="T35" i="3" a="1"/>
  <c r="T35" i="3" s="1"/>
  <c r="S35" i="3" a="1"/>
  <c r="S35" i="3" s="1"/>
  <c r="R35" i="3" a="1"/>
  <c r="R35" i="3" s="1"/>
  <c r="Q35" i="3" a="1"/>
  <c r="Q35" i="3" s="1"/>
  <c r="P35" i="3" a="1"/>
  <c r="P35" i="3" s="1"/>
  <c r="O35" i="3" a="1"/>
  <c r="O35" i="3" s="1"/>
  <c r="N35" i="3" a="1"/>
  <c r="N35" i="3" s="1"/>
  <c r="M35" i="3" a="1"/>
  <c r="M35" i="3" s="1"/>
  <c r="L35" i="3" a="1"/>
  <c r="L35" i="3" s="1"/>
  <c r="K35" i="3" a="1"/>
  <c r="K35" i="3" s="1"/>
  <c r="J35" i="3" a="1"/>
  <c r="J35" i="3" s="1"/>
  <c r="H35" i="3"/>
  <c r="F35" i="3"/>
  <c r="E35" i="3"/>
  <c r="D35" i="3" a="1"/>
  <c r="D35" i="3" s="1"/>
  <c r="AH34" i="3" a="1"/>
  <c r="AH34" i="3" s="1"/>
  <c r="AG34" i="3" a="1"/>
  <c r="AG34" i="3" s="1"/>
  <c r="AF34" i="3" a="1"/>
  <c r="AF34" i="3" s="1"/>
  <c r="AE34" i="3" a="1"/>
  <c r="AE34" i="3" s="1"/>
  <c r="AD34" i="3" a="1"/>
  <c r="AD34" i="3" s="1"/>
  <c r="AC34" i="3" a="1"/>
  <c r="AC34" i="3" s="1"/>
  <c r="AB34" i="3" a="1"/>
  <c r="AB34" i="3" s="1"/>
  <c r="AA34" i="3" a="1"/>
  <c r="AA34" i="3" s="1"/>
  <c r="Z34" i="3" a="1"/>
  <c r="Z34" i="3" s="1"/>
  <c r="Y34" i="3" a="1"/>
  <c r="Y34" i="3" s="1"/>
  <c r="X34" i="3" a="1"/>
  <c r="X34" i="3" s="1"/>
  <c r="W34" i="3" a="1"/>
  <c r="W34" i="3" s="1"/>
  <c r="V34" i="3" a="1"/>
  <c r="V34" i="3" s="1"/>
  <c r="U34" i="3" a="1"/>
  <c r="U34" i="3" s="1"/>
  <c r="T34" i="3" a="1"/>
  <c r="T34" i="3" s="1"/>
  <c r="S34" i="3" a="1"/>
  <c r="S34" i="3" s="1"/>
  <c r="R34" i="3" a="1"/>
  <c r="R34" i="3" s="1"/>
  <c r="Q34" i="3" a="1"/>
  <c r="Q34" i="3" s="1"/>
  <c r="P34" i="3" a="1"/>
  <c r="P34" i="3" s="1"/>
  <c r="O34" i="3" a="1"/>
  <c r="O34" i="3" s="1"/>
  <c r="N34" i="3" a="1"/>
  <c r="N34" i="3" s="1"/>
  <c r="M34" i="3" a="1"/>
  <c r="M34" i="3" s="1"/>
  <c r="L34" i="3" a="1"/>
  <c r="L34" i="3" s="1"/>
  <c r="K34" i="3" a="1"/>
  <c r="K34" i="3" s="1"/>
  <c r="J34" i="3" a="1"/>
  <c r="J34" i="3" s="1"/>
  <c r="H34" i="3"/>
  <c r="F34" i="3"/>
  <c r="E34" i="3"/>
  <c r="D34" i="3" a="1"/>
  <c r="D34" i="3" s="1"/>
  <c r="AH33" i="3" a="1"/>
  <c r="AH33" i="3" s="1"/>
  <c r="AG33" i="3" a="1"/>
  <c r="AG33" i="3" s="1"/>
  <c r="AF33" i="3" a="1"/>
  <c r="AF33" i="3" s="1"/>
  <c r="AE33" i="3" a="1"/>
  <c r="AE33" i="3" s="1"/>
  <c r="AD33" i="3" a="1"/>
  <c r="AD33" i="3" s="1"/>
  <c r="AC33" i="3" a="1"/>
  <c r="AC33" i="3" s="1"/>
  <c r="AB33" i="3" a="1"/>
  <c r="AB33" i="3" s="1"/>
  <c r="AA33" i="3" a="1"/>
  <c r="AA33" i="3" s="1"/>
  <c r="Z33" i="3" a="1"/>
  <c r="Z33" i="3" s="1"/>
  <c r="Y33" i="3" a="1"/>
  <c r="Y33" i="3" s="1"/>
  <c r="X33" i="3" a="1"/>
  <c r="X33" i="3" s="1"/>
  <c r="W33" i="3" a="1"/>
  <c r="W33" i="3" s="1"/>
  <c r="V33" i="3" a="1"/>
  <c r="V33" i="3" s="1"/>
  <c r="U33" i="3" a="1"/>
  <c r="U33" i="3" s="1"/>
  <c r="T33" i="3" a="1"/>
  <c r="T33" i="3" s="1"/>
  <c r="S33" i="3" a="1"/>
  <c r="S33" i="3" s="1"/>
  <c r="R33" i="3" a="1"/>
  <c r="R33" i="3" s="1"/>
  <c r="Q33" i="3" a="1"/>
  <c r="Q33" i="3" s="1"/>
  <c r="P33" i="3" a="1"/>
  <c r="P33" i="3" s="1"/>
  <c r="O33" i="3" a="1"/>
  <c r="O33" i="3" s="1"/>
  <c r="N33" i="3" a="1"/>
  <c r="N33" i="3" s="1"/>
  <c r="M33" i="3" a="1"/>
  <c r="M33" i="3" s="1"/>
  <c r="L33" i="3" a="1"/>
  <c r="L33" i="3" s="1"/>
  <c r="K33" i="3" a="1"/>
  <c r="K33" i="3" s="1"/>
  <c r="J33" i="3" a="1"/>
  <c r="J33" i="3" s="1"/>
  <c r="H33" i="3"/>
  <c r="F33" i="3"/>
  <c r="E33" i="3"/>
  <c r="D33" i="3" a="1"/>
  <c r="D33" i="3" s="1"/>
  <c r="AH32" i="3" a="1"/>
  <c r="AH32" i="3" s="1"/>
  <c r="AG32" i="3" a="1"/>
  <c r="AG32" i="3" s="1"/>
  <c r="AF32" i="3" a="1"/>
  <c r="AF32" i="3" s="1"/>
  <c r="AE32" i="3" a="1"/>
  <c r="AE32" i="3" s="1"/>
  <c r="AD32" i="3" a="1"/>
  <c r="AD32" i="3" s="1"/>
  <c r="AC32" i="3" a="1"/>
  <c r="AC32" i="3" s="1"/>
  <c r="AB32" i="3" a="1"/>
  <c r="AB32" i="3" s="1"/>
  <c r="AA32" i="3" a="1"/>
  <c r="AA32" i="3" s="1"/>
  <c r="Z32" i="3" a="1"/>
  <c r="Z32" i="3" s="1"/>
  <c r="Y32" i="3" a="1"/>
  <c r="Y32" i="3" s="1"/>
  <c r="X32" i="3" a="1"/>
  <c r="X32" i="3" s="1"/>
  <c r="W32" i="3" a="1"/>
  <c r="W32" i="3" s="1"/>
  <c r="V32" i="3" a="1"/>
  <c r="V32" i="3" s="1"/>
  <c r="U32" i="3" a="1"/>
  <c r="U32" i="3" s="1"/>
  <c r="T32" i="3" a="1"/>
  <c r="T32" i="3" s="1"/>
  <c r="S32" i="3" a="1"/>
  <c r="S32" i="3" s="1"/>
  <c r="R32" i="3" a="1"/>
  <c r="R32" i="3" s="1"/>
  <c r="Q32" i="3" a="1"/>
  <c r="Q32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J32" i="3" a="1"/>
  <c r="J32" i="3" s="1"/>
  <c r="H32" i="3"/>
  <c r="F32" i="3"/>
  <c r="E32" i="3"/>
  <c r="D32" i="3" a="1"/>
  <c r="D32" i="3" s="1"/>
  <c r="AH31" i="3" a="1"/>
  <c r="AH31" i="3" s="1"/>
  <c r="AG31" i="3" a="1"/>
  <c r="AG31" i="3" s="1"/>
  <c r="AF31" i="3" a="1"/>
  <c r="AF31" i="3" s="1"/>
  <c r="AE31" i="3" a="1"/>
  <c r="AE31" i="3" s="1"/>
  <c r="AD31" i="3" a="1"/>
  <c r="AD31" i="3" s="1"/>
  <c r="AC31" i="3" a="1"/>
  <c r="AC31" i="3" s="1"/>
  <c r="AB31" i="3" a="1"/>
  <c r="AB31" i="3" s="1"/>
  <c r="AA31" i="3" a="1"/>
  <c r="AA31" i="3" s="1"/>
  <c r="Z31" i="3" a="1"/>
  <c r="Z31" i="3" s="1"/>
  <c r="Y31" i="3" a="1"/>
  <c r="Y31" i="3" s="1"/>
  <c r="X31" i="3" a="1"/>
  <c r="X31" i="3" s="1"/>
  <c r="W31" i="3" a="1"/>
  <c r="W31" i="3" s="1"/>
  <c r="V31" i="3" a="1"/>
  <c r="V31" i="3" s="1"/>
  <c r="U31" i="3" a="1"/>
  <c r="U31" i="3" s="1"/>
  <c r="T31" i="3" a="1"/>
  <c r="T31" i="3" s="1"/>
  <c r="S31" i="3" a="1"/>
  <c r="S31" i="3" s="1"/>
  <c r="R31" i="3" a="1"/>
  <c r="R31" i="3" s="1"/>
  <c r="Q31" i="3" a="1"/>
  <c r="Q31" i="3" s="1"/>
  <c r="P31" i="3" a="1"/>
  <c r="P31" i="3" s="1"/>
  <c r="O31" i="3" a="1"/>
  <c r="O31" i="3" s="1"/>
  <c r="N31" i="3" a="1"/>
  <c r="N31" i="3" s="1"/>
  <c r="M31" i="3" a="1"/>
  <c r="M31" i="3" s="1"/>
  <c r="L31" i="3" a="1"/>
  <c r="L31" i="3" s="1"/>
  <c r="K31" i="3" a="1"/>
  <c r="K31" i="3" s="1"/>
  <c r="J31" i="3" a="1"/>
  <c r="J31" i="3" s="1"/>
  <c r="H31" i="3"/>
  <c r="F31" i="3"/>
  <c r="E31" i="3"/>
  <c r="D31" i="3" a="1"/>
  <c r="D31" i="3" s="1"/>
  <c r="AH30" i="3" a="1"/>
  <c r="AH30" i="3" s="1"/>
  <c r="AG30" i="3" a="1"/>
  <c r="AG30" i="3" s="1"/>
  <c r="AF30" i="3" a="1"/>
  <c r="AF30" i="3" s="1"/>
  <c r="AE30" i="3" a="1"/>
  <c r="AE30" i="3" s="1"/>
  <c r="AD30" i="3" a="1"/>
  <c r="AD30" i="3" s="1"/>
  <c r="AC30" i="3" a="1"/>
  <c r="AC30" i="3" s="1"/>
  <c r="AB30" i="3" a="1"/>
  <c r="AB30" i="3" s="1"/>
  <c r="AA30" i="3" a="1"/>
  <c r="AA30" i="3" s="1"/>
  <c r="Z30" i="3" a="1"/>
  <c r="Z30" i="3" s="1"/>
  <c r="Y30" i="3" a="1"/>
  <c r="Y30" i="3" s="1"/>
  <c r="X30" i="3" a="1"/>
  <c r="X30" i="3" s="1"/>
  <c r="W30" i="3" a="1"/>
  <c r="W30" i="3" s="1"/>
  <c r="V30" i="3" a="1"/>
  <c r="V30" i="3" s="1"/>
  <c r="U30" i="3" a="1"/>
  <c r="U30" i="3" s="1"/>
  <c r="T30" i="3" a="1"/>
  <c r="T30" i="3" s="1"/>
  <c r="S30" i="3" a="1"/>
  <c r="S30" i="3" s="1"/>
  <c r="R30" i="3" a="1"/>
  <c r="R30" i="3" s="1"/>
  <c r="Q30" i="3" a="1"/>
  <c r="Q30" i="3" s="1"/>
  <c r="P30" i="3" a="1"/>
  <c r="P30" i="3" s="1"/>
  <c r="O30" i="3" a="1"/>
  <c r="O30" i="3" s="1"/>
  <c r="N30" i="3" a="1"/>
  <c r="N30" i="3" s="1"/>
  <c r="M30" i="3" a="1"/>
  <c r="M30" i="3" s="1"/>
  <c r="L30" i="3" a="1"/>
  <c r="L30" i="3" s="1"/>
  <c r="K30" i="3" a="1"/>
  <c r="K30" i="3" s="1"/>
  <c r="J30" i="3" a="1"/>
  <c r="J30" i="3" s="1"/>
  <c r="H30" i="3"/>
  <c r="F30" i="3"/>
  <c r="E30" i="3"/>
  <c r="D30" i="3" a="1"/>
  <c r="D30" i="3" s="1"/>
  <c r="AH29" i="3" a="1"/>
  <c r="AH29" i="3" s="1"/>
  <c r="AG29" i="3" a="1"/>
  <c r="AG29" i="3" s="1"/>
  <c r="AF29" i="3" a="1"/>
  <c r="AF29" i="3" s="1"/>
  <c r="AE29" i="3" a="1"/>
  <c r="AE29" i="3" s="1"/>
  <c r="AD29" i="3" a="1"/>
  <c r="AD29" i="3" s="1"/>
  <c r="AC29" i="3" a="1"/>
  <c r="AC29" i="3" s="1"/>
  <c r="AB29" i="3" a="1"/>
  <c r="AB29" i="3" s="1"/>
  <c r="AA29" i="3" a="1"/>
  <c r="AA29" i="3" s="1"/>
  <c r="Z29" i="3" a="1"/>
  <c r="Z29" i="3" s="1"/>
  <c r="Y29" i="3" a="1"/>
  <c r="Y29" i="3" s="1"/>
  <c r="X29" i="3" a="1"/>
  <c r="X29" i="3" s="1"/>
  <c r="W29" i="3" a="1"/>
  <c r="W29" i="3" s="1"/>
  <c r="V29" i="3" a="1"/>
  <c r="V29" i="3" s="1"/>
  <c r="U29" i="3" a="1"/>
  <c r="U29" i="3" s="1"/>
  <c r="T29" i="3" a="1"/>
  <c r="T29" i="3" s="1"/>
  <c r="S29" i="3" a="1"/>
  <c r="S29" i="3" s="1"/>
  <c r="R29" i="3" a="1"/>
  <c r="R29" i="3" s="1"/>
  <c r="Q29" i="3" a="1"/>
  <c r="Q29" i="3" s="1"/>
  <c r="P29" i="3" a="1"/>
  <c r="P29" i="3" s="1"/>
  <c r="O29" i="3" a="1"/>
  <c r="O29" i="3" s="1"/>
  <c r="N29" i="3" a="1"/>
  <c r="N29" i="3" s="1"/>
  <c r="M29" i="3" a="1"/>
  <c r="M29" i="3" s="1"/>
  <c r="L29" i="3" a="1"/>
  <c r="L29" i="3" s="1"/>
  <c r="K29" i="3" a="1"/>
  <c r="K29" i="3" s="1"/>
  <c r="J29" i="3" a="1"/>
  <c r="J29" i="3" s="1"/>
  <c r="H29" i="3"/>
  <c r="F29" i="3"/>
  <c r="E29" i="3"/>
  <c r="D29" i="3" a="1"/>
  <c r="D29" i="3" s="1"/>
  <c r="AH28" i="3" a="1"/>
  <c r="AH28" i="3" s="1"/>
  <c r="AG28" i="3" a="1"/>
  <c r="AG28" i="3" s="1"/>
  <c r="AF28" i="3" a="1"/>
  <c r="AF28" i="3" s="1"/>
  <c r="AE28" i="3" a="1"/>
  <c r="AE28" i="3" s="1"/>
  <c r="AD28" i="3" a="1"/>
  <c r="AD28" i="3" s="1"/>
  <c r="AC28" i="3" a="1"/>
  <c r="AC28" i="3" s="1"/>
  <c r="AB28" i="3" a="1"/>
  <c r="AB28" i="3" s="1"/>
  <c r="AA28" i="3" a="1"/>
  <c r="AA28" i="3" s="1"/>
  <c r="Z28" i="3" a="1"/>
  <c r="Z28" i="3" s="1"/>
  <c r="Y28" i="3" a="1"/>
  <c r="Y28" i="3" s="1"/>
  <c r="X28" i="3" a="1"/>
  <c r="X28" i="3" s="1"/>
  <c r="W28" i="3" a="1"/>
  <c r="W28" i="3" s="1"/>
  <c r="V28" i="3" a="1"/>
  <c r="V28" i="3" s="1"/>
  <c r="U28" i="3" a="1"/>
  <c r="U28" i="3" s="1"/>
  <c r="T28" i="3" a="1"/>
  <c r="T28" i="3" s="1"/>
  <c r="S28" i="3" a="1"/>
  <c r="S28" i="3" s="1"/>
  <c r="R28" i="3" a="1"/>
  <c r="R28" i="3" s="1"/>
  <c r="Q28" i="3" a="1"/>
  <c r="Q28" i="3" s="1"/>
  <c r="P28" i="3" a="1"/>
  <c r="P28" i="3" s="1"/>
  <c r="O28" i="3" a="1"/>
  <c r="O28" i="3" s="1"/>
  <c r="N28" i="3" a="1"/>
  <c r="N28" i="3" s="1"/>
  <c r="M28" i="3" a="1"/>
  <c r="M28" i="3" s="1"/>
  <c r="L28" i="3" a="1"/>
  <c r="L28" i="3" s="1"/>
  <c r="K28" i="3" a="1"/>
  <c r="K28" i="3" s="1"/>
  <c r="J28" i="3" a="1"/>
  <c r="J28" i="3" s="1"/>
  <c r="H28" i="3"/>
  <c r="F28" i="3"/>
  <c r="E28" i="3"/>
  <c r="D28" i="3" a="1"/>
  <c r="D28" i="3" s="1"/>
  <c r="AH27" i="3" a="1"/>
  <c r="AH27" i="3" s="1"/>
  <c r="AG27" i="3" a="1"/>
  <c r="AG27" i="3" s="1"/>
  <c r="AF27" i="3" a="1"/>
  <c r="AF27" i="3" s="1"/>
  <c r="AE27" i="3" a="1"/>
  <c r="AE27" i="3" s="1"/>
  <c r="AD27" i="3" a="1"/>
  <c r="AD27" i="3" s="1"/>
  <c r="AC27" i="3" a="1"/>
  <c r="AC27" i="3" s="1"/>
  <c r="AB27" i="3" a="1"/>
  <c r="AB27" i="3" s="1"/>
  <c r="AA27" i="3" a="1"/>
  <c r="AA27" i="3" s="1"/>
  <c r="Z27" i="3" a="1"/>
  <c r="Z27" i="3" s="1"/>
  <c r="Y27" i="3" a="1"/>
  <c r="Y27" i="3" s="1"/>
  <c r="X27" i="3" a="1"/>
  <c r="X27" i="3" s="1"/>
  <c r="W27" i="3" a="1"/>
  <c r="W27" i="3" s="1"/>
  <c r="V27" i="3" a="1"/>
  <c r="V27" i="3" s="1"/>
  <c r="U27" i="3" a="1"/>
  <c r="U27" i="3" s="1"/>
  <c r="T27" i="3" a="1"/>
  <c r="T27" i="3" s="1"/>
  <c r="S27" i="3" a="1"/>
  <c r="S27" i="3" s="1"/>
  <c r="R27" i="3" a="1"/>
  <c r="R27" i="3" s="1"/>
  <c r="Q27" i="3" a="1"/>
  <c r="Q27" i="3" s="1"/>
  <c r="P27" i="3" a="1"/>
  <c r="P27" i="3" s="1"/>
  <c r="O27" i="3" a="1"/>
  <c r="O27" i="3" s="1"/>
  <c r="N27" i="3" a="1"/>
  <c r="N27" i="3" s="1"/>
  <c r="M27" i="3" a="1"/>
  <c r="M27" i="3" s="1"/>
  <c r="L27" i="3" a="1"/>
  <c r="L27" i="3" s="1"/>
  <c r="K27" i="3" a="1"/>
  <c r="K27" i="3" s="1"/>
  <c r="J27" i="3" a="1"/>
  <c r="J27" i="3" s="1"/>
  <c r="H27" i="3"/>
  <c r="F27" i="3"/>
  <c r="E27" i="3"/>
  <c r="D27" i="3" a="1"/>
  <c r="D27" i="3" s="1"/>
  <c r="AH26" i="3" a="1"/>
  <c r="AH26" i="3" s="1"/>
  <c r="AG26" i="3" a="1"/>
  <c r="AG26" i="3" s="1"/>
  <c r="AF26" i="3" a="1"/>
  <c r="AF26" i="3" s="1"/>
  <c r="AE26" i="3" a="1"/>
  <c r="AE26" i="3" s="1"/>
  <c r="AD26" i="3" a="1"/>
  <c r="AD26" i="3" s="1"/>
  <c r="AC26" i="3" a="1"/>
  <c r="AC26" i="3" s="1"/>
  <c r="AB26" i="3" a="1"/>
  <c r="AB26" i="3" s="1"/>
  <c r="AA26" i="3" a="1"/>
  <c r="AA26" i="3" s="1"/>
  <c r="Z26" i="3" a="1"/>
  <c r="Z26" i="3" s="1"/>
  <c r="Y26" i="3" a="1"/>
  <c r="Y26" i="3" s="1"/>
  <c r="X26" i="3" a="1"/>
  <c r="X26" i="3" s="1"/>
  <c r="W26" i="3" a="1"/>
  <c r="W26" i="3" s="1"/>
  <c r="V26" i="3" a="1"/>
  <c r="V26" i="3" s="1"/>
  <c r="U26" i="3" a="1"/>
  <c r="U26" i="3" s="1"/>
  <c r="T26" i="3" a="1"/>
  <c r="T26" i="3" s="1"/>
  <c r="S26" i="3" a="1"/>
  <c r="S26" i="3" s="1"/>
  <c r="R26" i="3" a="1"/>
  <c r="R26" i="3" s="1"/>
  <c r="Q26" i="3" a="1"/>
  <c r="Q26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J26" i="3" a="1"/>
  <c r="J26" i="3" s="1"/>
  <c r="H26" i="3"/>
  <c r="F26" i="3"/>
  <c r="E26" i="3"/>
  <c r="D26" i="3" a="1"/>
  <c r="D26" i="3" s="1"/>
  <c r="AH25" i="3" a="1"/>
  <c r="AH25" i="3" s="1"/>
  <c r="AG25" i="3" a="1"/>
  <c r="AG25" i="3" s="1"/>
  <c r="AF25" i="3" a="1"/>
  <c r="AF25" i="3" s="1"/>
  <c r="AE25" i="3" a="1"/>
  <c r="AE25" i="3" s="1"/>
  <c r="AD25" i="3" a="1"/>
  <c r="AD25" i="3" s="1"/>
  <c r="AC25" i="3" a="1"/>
  <c r="AC25" i="3" s="1"/>
  <c r="AB25" i="3" a="1"/>
  <c r="AB25" i="3" s="1"/>
  <c r="AA25" i="3" a="1"/>
  <c r="AA25" i="3" s="1"/>
  <c r="Z25" i="3" a="1"/>
  <c r="Z25" i="3" s="1"/>
  <c r="Y25" i="3" a="1"/>
  <c r="Y25" i="3" s="1"/>
  <c r="X25" i="3" a="1"/>
  <c r="X25" i="3" s="1"/>
  <c r="W25" i="3" a="1"/>
  <c r="W25" i="3" s="1"/>
  <c r="V25" i="3" a="1"/>
  <c r="V25" i="3" s="1"/>
  <c r="U25" i="3" a="1"/>
  <c r="U25" i="3" s="1"/>
  <c r="T25" i="3" a="1"/>
  <c r="T25" i="3" s="1"/>
  <c r="S25" i="3" a="1"/>
  <c r="S25" i="3" s="1"/>
  <c r="R25" i="3" a="1"/>
  <c r="R25" i="3" s="1"/>
  <c r="Q25" i="3" a="1"/>
  <c r="Q25" i="3" s="1"/>
  <c r="P25" i="3" a="1"/>
  <c r="P25" i="3" s="1"/>
  <c r="O25" i="3" a="1"/>
  <c r="O25" i="3" s="1"/>
  <c r="N25" i="3" a="1"/>
  <c r="N25" i="3" s="1"/>
  <c r="M25" i="3" a="1"/>
  <c r="M25" i="3" s="1"/>
  <c r="L25" i="3" a="1"/>
  <c r="L25" i="3" s="1"/>
  <c r="K25" i="3" a="1"/>
  <c r="K25" i="3" s="1"/>
  <c r="J25" i="3" a="1"/>
  <c r="J25" i="3" s="1"/>
  <c r="H25" i="3"/>
  <c r="F25" i="3"/>
  <c r="E25" i="3"/>
  <c r="D25" i="3" a="1"/>
  <c r="D25" i="3" s="1"/>
  <c r="AH24" i="3" a="1"/>
  <c r="AH24" i="3" s="1"/>
  <c r="AG24" i="3" a="1"/>
  <c r="AG24" i="3" s="1"/>
  <c r="AF24" i="3" a="1"/>
  <c r="AF24" i="3" s="1"/>
  <c r="AE24" i="3" a="1"/>
  <c r="AE24" i="3" s="1"/>
  <c r="AD24" i="3" a="1"/>
  <c r="AD24" i="3" s="1"/>
  <c r="AC24" i="3" a="1"/>
  <c r="AC24" i="3" s="1"/>
  <c r="AB24" i="3" a="1"/>
  <c r="AB24" i="3" s="1"/>
  <c r="AA24" i="3" a="1"/>
  <c r="AA24" i="3" s="1"/>
  <c r="Z24" i="3" a="1"/>
  <c r="Z24" i="3" s="1"/>
  <c r="Y24" i="3" a="1"/>
  <c r="Y24" i="3" s="1"/>
  <c r="X24" i="3" a="1"/>
  <c r="X24" i="3" s="1"/>
  <c r="W24" i="3" a="1"/>
  <c r="W24" i="3" s="1"/>
  <c r="V24" i="3" a="1"/>
  <c r="V24" i="3" s="1"/>
  <c r="U24" i="3" a="1"/>
  <c r="U24" i="3" s="1"/>
  <c r="T24" i="3" a="1"/>
  <c r="T24" i="3" s="1"/>
  <c r="S24" i="3" a="1"/>
  <c r="S24" i="3" s="1"/>
  <c r="R24" i="3" a="1"/>
  <c r="R24" i="3" s="1"/>
  <c r="Q24" i="3" a="1"/>
  <c r="Q24" i="3" s="1"/>
  <c r="P24" i="3" a="1"/>
  <c r="P24" i="3" s="1"/>
  <c r="O24" i="3" a="1"/>
  <c r="O24" i="3" s="1"/>
  <c r="N24" i="3" a="1"/>
  <c r="N24" i="3" s="1"/>
  <c r="M24" i="3" a="1"/>
  <c r="M24" i="3" s="1"/>
  <c r="L24" i="3" a="1"/>
  <c r="L24" i="3" s="1"/>
  <c r="K24" i="3" a="1"/>
  <c r="K24" i="3" s="1"/>
  <c r="J24" i="3" a="1"/>
  <c r="J24" i="3" s="1"/>
  <c r="H24" i="3"/>
  <c r="F24" i="3"/>
  <c r="E24" i="3"/>
  <c r="D24" i="3" a="1"/>
  <c r="D24" i="3" s="1"/>
  <c r="AH23" i="3" a="1"/>
  <c r="AH23" i="3" s="1"/>
  <c r="AG23" i="3" a="1"/>
  <c r="AG23" i="3" s="1"/>
  <c r="AF23" i="3" a="1"/>
  <c r="AF23" i="3" s="1"/>
  <c r="AE23" i="3" a="1"/>
  <c r="AE23" i="3" s="1"/>
  <c r="AD23" i="3" a="1"/>
  <c r="AD23" i="3" s="1"/>
  <c r="AC23" i="3" a="1"/>
  <c r="AC23" i="3" s="1"/>
  <c r="AB23" i="3" a="1"/>
  <c r="AB23" i="3" s="1"/>
  <c r="AA23" i="3" a="1"/>
  <c r="AA23" i="3" s="1"/>
  <c r="Z23" i="3" a="1"/>
  <c r="Z23" i="3" s="1"/>
  <c r="Y23" i="3" a="1"/>
  <c r="Y23" i="3" s="1"/>
  <c r="X23" i="3" a="1"/>
  <c r="X23" i="3" s="1"/>
  <c r="W23" i="3" a="1"/>
  <c r="W23" i="3" s="1"/>
  <c r="V23" i="3" a="1"/>
  <c r="V23" i="3" s="1"/>
  <c r="U23" i="3" a="1"/>
  <c r="U23" i="3" s="1"/>
  <c r="T23" i="3" a="1"/>
  <c r="T23" i="3" s="1"/>
  <c r="S23" i="3" a="1"/>
  <c r="S23" i="3" s="1"/>
  <c r="R23" i="3" a="1"/>
  <c r="R23" i="3" s="1"/>
  <c r="Q23" i="3" a="1"/>
  <c r="Q23" i="3" s="1"/>
  <c r="P23" i="3" a="1"/>
  <c r="P23" i="3" s="1"/>
  <c r="O23" i="3" a="1"/>
  <c r="O23" i="3" s="1"/>
  <c r="N23" i="3" a="1"/>
  <c r="N23" i="3" s="1"/>
  <c r="M23" i="3" a="1"/>
  <c r="M23" i="3" s="1"/>
  <c r="L23" i="3" a="1"/>
  <c r="L23" i="3" s="1"/>
  <c r="K23" i="3" a="1"/>
  <c r="K23" i="3" s="1"/>
  <c r="J23" i="3" a="1"/>
  <c r="J23" i="3" s="1"/>
  <c r="H23" i="3"/>
  <c r="F23" i="3"/>
  <c r="E23" i="3"/>
  <c r="D23" i="3" a="1"/>
  <c r="D23" i="3" s="1"/>
  <c r="AH22" i="3" a="1"/>
  <c r="AH22" i="3" s="1"/>
  <c r="AG22" i="3" a="1"/>
  <c r="AG22" i="3" s="1"/>
  <c r="AF22" i="3" a="1"/>
  <c r="AF22" i="3" s="1"/>
  <c r="AE22" i="3" a="1"/>
  <c r="AE22" i="3" s="1"/>
  <c r="AD22" i="3" a="1"/>
  <c r="AD22" i="3" s="1"/>
  <c r="AC22" i="3" a="1"/>
  <c r="AC22" i="3" s="1"/>
  <c r="AB22" i="3" a="1"/>
  <c r="AB22" i="3" s="1"/>
  <c r="AA22" i="3" a="1"/>
  <c r="AA22" i="3" s="1"/>
  <c r="Z22" i="3" a="1"/>
  <c r="Z22" i="3" s="1"/>
  <c r="Y22" i="3" a="1"/>
  <c r="Y22" i="3" s="1"/>
  <c r="X22" i="3" a="1"/>
  <c r="X22" i="3" s="1"/>
  <c r="W22" i="3" a="1"/>
  <c r="W22" i="3" s="1"/>
  <c r="V22" i="3" a="1"/>
  <c r="V22" i="3" s="1"/>
  <c r="U22" i="3" a="1"/>
  <c r="U22" i="3" s="1"/>
  <c r="T22" i="3" a="1"/>
  <c r="T22" i="3" s="1"/>
  <c r="S22" i="3" a="1"/>
  <c r="S22" i="3" s="1"/>
  <c r="R22" i="3" a="1"/>
  <c r="R22" i="3" s="1"/>
  <c r="Q22" i="3" a="1"/>
  <c r="Q22" i="3" s="1"/>
  <c r="P22" i="3" a="1"/>
  <c r="P22" i="3" s="1"/>
  <c r="O22" i="3" a="1"/>
  <c r="O22" i="3" s="1"/>
  <c r="N22" i="3" a="1"/>
  <c r="N22" i="3" s="1"/>
  <c r="M22" i="3" a="1"/>
  <c r="M22" i="3" s="1"/>
  <c r="L22" i="3" a="1"/>
  <c r="L22" i="3" s="1"/>
  <c r="K22" i="3" a="1"/>
  <c r="K22" i="3" s="1"/>
  <c r="J22" i="3" a="1"/>
  <c r="J22" i="3" s="1"/>
  <c r="H22" i="3"/>
  <c r="F22" i="3"/>
  <c r="E22" i="3"/>
  <c r="D22" i="3" a="1"/>
  <c r="D22" i="3" s="1"/>
  <c r="AH21" i="3" a="1"/>
  <c r="AH21" i="3" s="1"/>
  <c r="AG21" i="3" a="1"/>
  <c r="AG21" i="3" s="1"/>
  <c r="AF21" i="3" a="1"/>
  <c r="AF21" i="3" s="1"/>
  <c r="AE21" i="3" a="1"/>
  <c r="AE21" i="3" s="1"/>
  <c r="AD21" i="3" a="1"/>
  <c r="AD21" i="3" s="1"/>
  <c r="AC21" i="3" a="1"/>
  <c r="AC21" i="3" s="1"/>
  <c r="AB21" i="3" a="1"/>
  <c r="AB21" i="3" s="1"/>
  <c r="AA21" i="3" a="1"/>
  <c r="AA21" i="3" s="1"/>
  <c r="Z21" i="3" a="1"/>
  <c r="Z21" i="3" s="1"/>
  <c r="Y21" i="3" a="1"/>
  <c r="Y21" i="3" s="1"/>
  <c r="X21" i="3" a="1"/>
  <c r="X21" i="3" s="1"/>
  <c r="W21" i="3" a="1"/>
  <c r="W21" i="3" s="1"/>
  <c r="V21" i="3" a="1"/>
  <c r="V21" i="3" s="1"/>
  <c r="U21" i="3" a="1"/>
  <c r="U21" i="3" s="1"/>
  <c r="T21" i="3" a="1"/>
  <c r="T21" i="3" s="1"/>
  <c r="S21" i="3" a="1"/>
  <c r="S21" i="3" s="1"/>
  <c r="R21" i="3" a="1"/>
  <c r="R21" i="3" s="1"/>
  <c r="Q21" i="3" a="1"/>
  <c r="Q21" i="3" s="1"/>
  <c r="P21" i="3" a="1"/>
  <c r="P21" i="3" s="1"/>
  <c r="O21" i="3" a="1"/>
  <c r="O21" i="3" s="1"/>
  <c r="N21" i="3" a="1"/>
  <c r="N21" i="3" s="1"/>
  <c r="M21" i="3" a="1"/>
  <c r="M21" i="3" s="1"/>
  <c r="L21" i="3" a="1"/>
  <c r="L21" i="3" s="1"/>
  <c r="K21" i="3" a="1"/>
  <c r="K21" i="3" s="1"/>
  <c r="J21" i="3" a="1"/>
  <c r="J21" i="3" s="1"/>
  <c r="H21" i="3"/>
  <c r="F21" i="3"/>
  <c r="E21" i="3"/>
  <c r="D21" i="3" a="1"/>
  <c r="D21" i="3" s="1"/>
  <c r="AH20" i="3" a="1"/>
  <c r="AH20" i="3" s="1"/>
  <c r="AG20" i="3" a="1"/>
  <c r="AG20" i="3" s="1"/>
  <c r="AF20" i="3" a="1"/>
  <c r="AF20" i="3" s="1"/>
  <c r="AE20" i="3" a="1"/>
  <c r="AE20" i="3" s="1"/>
  <c r="AD20" i="3" a="1"/>
  <c r="AD20" i="3" s="1"/>
  <c r="AC20" i="3" a="1"/>
  <c r="AC20" i="3" s="1"/>
  <c r="AB20" i="3" a="1"/>
  <c r="AB20" i="3" s="1"/>
  <c r="AA20" i="3" a="1"/>
  <c r="AA20" i="3" s="1"/>
  <c r="Z20" i="3" a="1"/>
  <c r="Z20" i="3" s="1"/>
  <c r="Y20" i="3" a="1"/>
  <c r="Y20" i="3" s="1"/>
  <c r="X20" i="3" a="1"/>
  <c r="X20" i="3" s="1"/>
  <c r="W20" i="3" a="1"/>
  <c r="W20" i="3" s="1"/>
  <c r="V20" i="3" a="1"/>
  <c r="V20" i="3" s="1"/>
  <c r="U20" i="3" a="1"/>
  <c r="U20" i="3" s="1"/>
  <c r="T20" i="3" a="1"/>
  <c r="T20" i="3" s="1"/>
  <c r="S20" i="3" a="1"/>
  <c r="S20" i="3" s="1"/>
  <c r="R20" i="3" a="1"/>
  <c r="R20" i="3" s="1"/>
  <c r="Q20" i="3" a="1"/>
  <c r="Q20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J20" i="3" a="1"/>
  <c r="J20" i="3" s="1"/>
  <c r="H20" i="3"/>
  <c r="F20" i="3"/>
  <c r="E20" i="3"/>
  <c r="D20" i="3" a="1"/>
  <c r="D20" i="3"/>
  <c r="AH19" i="3" a="1"/>
  <c r="AH19" i="3" s="1"/>
  <c r="AG19" i="3" a="1"/>
  <c r="AG19" i="3" s="1"/>
  <c r="AF19" i="3" a="1"/>
  <c r="AF19" i="3" s="1"/>
  <c r="AE19" i="3" a="1"/>
  <c r="AE19" i="3" s="1"/>
  <c r="AD19" i="3" a="1"/>
  <c r="AD19" i="3" s="1"/>
  <c r="AC19" i="3" a="1"/>
  <c r="AC19" i="3" s="1"/>
  <c r="AB19" i="3" a="1"/>
  <c r="AB19" i="3" s="1"/>
  <c r="AA19" i="3" a="1"/>
  <c r="AA19" i="3" s="1"/>
  <c r="Z19" i="3" a="1"/>
  <c r="Z19" i="3" s="1"/>
  <c r="Y19" i="3" a="1"/>
  <c r="Y19" i="3" s="1"/>
  <c r="X19" i="3" a="1"/>
  <c r="X19" i="3" s="1"/>
  <c r="W19" i="3" a="1"/>
  <c r="W19" i="3" s="1"/>
  <c r="V19" i="3" a="1"/>
  <c r="V19" i="3" s="1"/>
  <c r="U19" i="3" a="1"/>
  <c r="U19" i="3" s="1"/>
  <c r="T19" i="3" a="1"/>
  <c r="T19" i="3" s="1"/>
  <c r="S19" i="3" a="1"/>
  <c r="S19" i="3" s="1"/>
  <c r="R19" i="3" a="1"/>
  <c r="R19" i="3" s="1"/>
  <c r="Q19" i="3" a="1"/>
  <c r="Q19" i="3" s="1"/>
  <c r="P19" i="3" a="1"/>
  <c r="P19" i="3" s="1"/>
  <c r="O19" i="3" a="1"/>
  <c r="O19" i="3" s="1"/>
  <c r="N19" i="3" a="1"/>
  <c r="N19" i="3" s="1"/>
  <c r="M19" i="3" a="1"/>
  <c r="M19" i="3" s="1"/>
  <c r="L19" i="3" a="1"/>
  <c r="L19" i="3" s="1"/>
  <c r="K19" i="3" a="1"/>
  <c r="K19" i="3" s="1"/>
  <c r="J19" i="3" a="1"/>
  <c r="J19" i="3" s="1"/>
  <c r="H19" i="3"/>
  <c r="F19" i="3"/>
  <c r="E19" i="3"/>
  <c r="D19" i="3" a="1"/>
  <c r="D19" i="3"/>
  <c r="AH18" i="3" a="1"/>
  <c r="AH18" i="3" s="1"/>
  <c r="AG18" i="3" a="1"/>
  <c r="AG18" i="3" s="1"/>
  <c r="AF18" i="3" a="1"/>
  <c r="AF18" i="3" s="1"/>
  <c r="AE18" i="3" a="1"/>
  <c r="AE18" i="3" s="1"/>
  <c r="AD18" i="3" a="1"/>
  <c r="AD18" i="3" s="1"/>
  <c r="AC18" i="3" a="1"/>
  <c r="AC18" i="3" s="1"/>
  <c r="AB18" i="3" a="1"/>
  <c r="AB18" i="3" s="1"/>
  <c r="AA18" i="3" a="1"/>
  <c r="AA18" i="3" s="1"/>
  <c r="Z18" i="3" a="1"/>
  <c r="Z18" i="3" s="1"/>
  <c r="Y18" i="3" a="1"/>
  <c r="Y18" i="3" s="1"/>
  <c r="X18" i="3" a="1"/>
  <c r="X18" i="3" s="1"/>
  <c r="W18" i="3" a="1"/>
  <c r="W18" i="3" s="1"/>
  <c r="V18" i="3" a="1"/>
  <c r="V18" i="3" s="1"/>
  <c r="U18" i="3" a="1"/>
  <c r="U18" i="3" s="1"/>
  <c r="T18" i="3" a="1"/>
  <c r="T18" i="3" s="1"/>
  <c r="S18" i="3" a="1"/>
  <c r="S18" i="3" s="1"/>
  <c r="R18" i="3" a="1"/>
  <c r="R18" i="3" s="1"/>
  <c r="Q18" i="3" a="1"/>
  <c r="Q18" i="3" s="1"/>
  <c r="P18" i="3" a="1"/>
  <c r="P18" i="3" s="1"/>
  <c r="O18" i="3" a="1"/>
  <c r="O18" i="3" s="1"/>
  <c r="N18" i="3" a="1"/>
  <c r="N18" i="3" s="1"/>
  <c r="M18" i="3" a="1"/>
  <c r="M18" i="3" s="1"/>
  <c r="L18" i="3" a="1"/>
  <c r="L18" i="3" s="1"/>
  <c r="K18" i="3" a="1"/>
  <c r="K18" i="3" s="1"/>
  <c r="J18" i="3" a="1"/>
  <c r="J18" i="3" s="1"/>
  <c r="H18" i="3"/>
  <c r="F18" i="3"/>
  <c r="E18" i="3"/>
  <c r="D18" i="3" a="1"/>
  <c r="D18" i="3"/>
  <c r="AH17" i="3" a="1"/>
  <c r="AH17" i="3" s="1"/>
  <c r="AG17" i="3" a="1"/>
  <c r="AG17" i="3" s="1"/>
  <c r="AF17" i="3" a="1"/>
  <c r="AF17" i="3" s="1"/>
  <c r="AE17" i="3" a="1"/>
  <c r="AE17" i="3" s="1"/>
  <c r="AD17" i="3" a="1"/>
  <c r="AD17" i="3" s="1"/>
  <c r="AC17" i="3" a="1"/>
  <c r="AC17" i="3" s="1"/>
  <c r="AB17" i="3" a="1"/>
  <c r="AB17" i="3" s="1"/>
  <c r="AA17" i="3" a="1"/>
  <c r="AA17" i="3" s="1"/>
  <c r="Z17" i="3" a="1"/>
  <c r="Z17" i="3" s="1"/>
  <c r="Y17" i="3" a="1"/>
  <c r="Y17" i="3" s="1"/>
  <c r="X17" i="3" a="1"/>
  <c r="X17" i="3" s="1"/>
  <c r="W17" i="3" a="1"/>
  <c r="W17" i="3" s="1"/>
  <c r="V17" i="3" a="1"/>
  <c r="V17" i="3" s="1"/>
  <c r="U17" i="3" a="1"/>
  <c r="U17" i="3" s="1"/>
  <c r="T17" i="3" a="1"/>
  <c r="T17" i="3" s="1"/>
  <c r="S17" i="3" a="1"/>
  <c r="S17" i="3" s="1"/>
  <c r="R17" i="3" a="1"/>
  <c r="R17" i="3" s="1"/>
  <c r="Q17" i="3" a="1"/>
  <c r="Q17" i="3" s="1"/>
  <c r="P17" i="3" a="1"/>
  <c r="P17" i="3" s="1"/>
  <c r="O17" i="3" a="1"/>
  <c r="O17" i="3" s="1"/>
  <c r="N17" i="3" a="1"/>
  <c r="N17" i="3" s="1"/>
  <c r="M17" i="3" a="1"/>
  <c r="M17" i="3" s="1"/>
  <c r="L17" i="3" a="1"/>
  <c r="L17" i="3" s="1"/>
  <c r="K17" i="3" a="1"/>
  <c r="K17" i="3" s="1"/>
  <c r="J17" i="3" a="1"/>
  <c r="J17" i="3" s="1"/>
  <c r="H17" i="3"/>
  <c r="F17" i="3"/>
  <c r="E17" i="3"/>
  <c r="D17" i="3" a="1"/>
  <c r="D17" i="3"/>
  <c r="AH16" i="3" a="1"/>
  <c r="AH16" i="3" s="1"/>
  <c r="AG16" i="3" a="1"/>
  <c r="AG16" i="3" s="1"/>
  <c r="AF16" i="3" a="1"/>
  <c r="AF16" i="3" s="1"/>
  <c r="AE16" i="3" a="1"/>
  <c r="AE16" i="3" s="1"/>
  <c r="AD16" i="3" a="1"/>
  <c r="AD16" i="3" s="1"/>
  <c r="AC16" i="3" a="1"/>
  <c r="AC16" i="3" s="1"/>
  <c r="AB16" i="3" a="1"/>
  <c r="AB16" i="3" s="1"/>
  <c r="AA16" i="3" a="1"/>
  <c r="AA16" i="3" s="1"/>
  <c r="Z16" i="3" a="1"/>
  <c r="Z16" i="3" s="1"/>
  <c r="Y16" i="3" a="1"/>
  <c r="Y16" i="3" s="1"/>
  <c r="X16" i="3" a="1"/>
  <c r="X16" i="3" s="1"/>
  <c r="W16" i="3" a="1"/>
  <c r="W16" i="3" s="1"/>
  <c r="V16" i="3" a="1"/>
  <c r="V16" i="3" s="1"/>
  <c r="U16" i="3" a="1"/>
  <c r="U16" i="3" s="1"/>
  <c r="T16" i="3" a="1"/>
  <c r="T16" i="3" s="1"/>
  <c r="S16" i="3" a="1"/>
  <c r="S16" i="3" s="1"/>
  <c r="R16" i="3" a="1"/>
  <c r="R16" i="3" s="1"/>
  <c r="Q16" i="3" a="1"/>
  <c r="Q16" i="3" s="1"/>
  <c r="P16" i="3" a="1"/>
  <c r="P16" i="3" s="1"/>
  <c r="O16" i="3" a="1"/>
  <c r="O16" i="3" s="1"/>
  <c r="N16" i="3" a="1"/>
  <c r="N16" i="3" s="1"/>
  <c r="M16" i="3" a="1"/>
  <c r="M16" i="3" s="1"/>
  <c r="L16" i="3" a="1"/>
  <c r="L16" i="3" s="1"/>
  <c r="K16" i="3" a="1"/>
  <c r="K16" i="3" s="1"/>
  <c r="J16" i="3" a="1"/>
  <c r="J16" i="3" s="1"/>
  <c r="H16" i="3"/>
  <c r="F16" i="3"/>
  <c r="E16" i="3"/>
  <c r="D16" i="3" a="1"/>
  <c r="D16" i="3"/>
  <c r="AH15" i="3" a="1"/>
  <c r="AH15" i="3" s="1"/>
  <c r="AG15" i="3" a="1"/>
  <c r="AG15" i="3" s="1"/>
  <c r="AF15" i="3" a="1"/>
  <c r="AF15" i="3" s="1"/>
  <c r="AE15" i="3" a="1"/>
  <c r="AE15" i="3" s="1"/>
  <c r="AD15" i="3" a="1"/>
  <c r="AD15" i="3" s="1"/>
  <c r="AC15" i="3" a="1"/>
  <c r="AC15" i="3" s="1"/>
  <c r="AB15" i="3" a="1"/>
  <c r="AB15" i="3" s="1"/>
  <c r="AA15" i="3" a="1"/>
  <c r="AA15" i="3" s="1"/>
  <c r="Z15" i="3" a="1"/>
  <c r="Z15" i="3" s="1"/>
  <c r="Y15" i="3" a="1"/>
  <c r="Y15" i="3" s="1"/>
  <c r="X15" i="3" a="1"/>
  <c r="X15" i="3" s="1"/>
  <c r="W15" i="3" a="1"/>
  <c r="W15" i="3" s="1"/>
  <c r="V15" i="3" a="1"/>
  <c r="V15" i="3" s="1"/>
  <c r="U15" i="3" a="1"/>
  <c r="U15" i="3" s="1"/>
  <c r="T15" i="3" a="1"/>
  <c r="T15" i="3" s="1"/>
  <c r="S15" i="3" a="1"/>
  <c r="S15" i="3" s="1"/>
  <c r="R15" i="3" a="1"/>
  <c r="R15" i="3" s="1"/>
  <c r="Q15" i="3" a="1"/>
  <c r="Q15" i="3" s="1"/>
  <c r="P15" i="3" a="1"/>
  <c r="P15" i="3" s="1"/>
  <c r="O15" i="3" a="1"/>
  <c r="O15" i="3" s="1"/>
  <c r="N15" i="3" a="1"/>
  <c r="N15" i="3" s="1"/>
  <c r="M15" i="3" a="1"/>
  <c r="M15" i="3" s="1"/>
  <c r="L15" i="3" a="1"/>
  <c r="L15" i="3" s="1"/>
  <c r="K15" i="3" a="1"/>
  <c r="K15" i="3" s="1"/>
  <c r="J15" i="3" a="1"/>
  <c r="J15" i="3" s="1"/>
  <c r="H15" i="3"/>
  <c r="F15" i="3"/>
  <c r="E15" i="3"/>
  <c r="D15" i="3" a="1"/>
  <c r="D15" i="3"/>
  <c r="AH14" i="3" a="1"/>
  <c r="AH14" i="3" s="1"/>
  <c r="AG14" i="3" a="1"/>
  <c r="AG14" i="3" s="1"/>
  <c r="AF14" i="3" a="1"/>
  <c r="AF14" i="3" s="1"/>
  <c r="AE14" i="3" a="1"/>
  <c r="AE14" i="3" s="1"/>
  <c r="AD14" i="3" a="1"/>
  <c r="AD14" i="3" s="1"/>
  <c r="AC14" i="3" a="1"/>
  <c r="AC14" i="3" s="1"/>
  <c r="AB14" i="3" a="1"/>
  <c r="AB14" i="3" s="1"/>
  <c r="AA14" i="3" a="1"/>
  <c r="AA14" i="3" s="1"/>
  <c r="Z14" i="3" a="1"/>
  <c r="Z14" i="3" s="1"/>
  <c r="Y14" i="3" a="1"/>
  <c r="Y14" i="3" s="1"/>
  <c r="X14" i="3" a="1"/>
  <c r="X14" i="3" s="1"/>
  <c r="W14" i="3" a="1"/>
  <c r="W14" i="3" s="1"/>
  <c r="V14" i="3" a="1"/>
  <c r="V14" i="3" s="1"/>
  <c r="U14" i="3" a="1"/>
  <c r="U14" i="3" s="1"/>
  <c r="T14" i="3" a="1"/>
  <c r="T14" i="3" s="1"/>
  <c r="S14" i="3" a="1"/>
  <c r="S14" i="3" s="1"/>
  <c r="R14" i="3" a="1"/>
  <c r="R14" i="3" s="1"/>
  <c r="Q14" i="3" a="1"/>
  <c r="Q14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J14" i="3" a="1"/>
  <c r="J14" i="3" s="1"/>
  <c r="H14" i="3"/>
  <c r="F14" i="3"/>
  <c r="E14" i="3"/>
  <c r="D14" i="3" a="1"/>
  <c r="D14" i="3" s="1"/>
  <c r="AH13" i="3" a="1"/>
  <c r="AH13" i="3" s="1"/>
  <c r="AG13" i="3" a="1"/>
  <c r="AG13" i="3" s="1"/>
  <c r="AF13" i="3" a="1"/>
  <c r="AF13" i="3" s="1"/>
  <c r="AE13" i="3" a="1"/>
  <c r="AE13" i="3" s="1"/>
  <c r="AD13" i="3" a="1"/>
  <c r="AD13" i="3" s="1"/>
  <c r="AC13" i="3" a="1"/>
  <c r="AC13" i="3" s="1"/>
  <c r="AB13" i="3" a="1"/>
  <c r="AB13" i="3" s="1"/>
  <c r="AA13" i="3" a="1"/>
  <c r="AA13" i="3" s="1"/>
  <c r="Z13" i="3" a="1"/>
  <c r="Z13" i="3" s="1"/>
  <c r="Y13" i="3" a="1"/>
  <c r="Y13" i="3" s="1"/>
  <c r="X13" i="3" a="1"/>
  <c r="X13" i="3" s="1"/>
  <c r="W13" i="3" a="1"/>
  <c r="W13" i="3" s="1"/>
  <c r="V13" i="3" a="1"/>
  <c r="V13" i="3" s="1"/>
  <c r="U13" i="3" a="1"/>
  <c r="U13" i="3" s="1"/>
  <c r="T13" i="3" a="1"/>
  <c r="T13" i="3" s="1"/>
  <c r="S13" i="3" a="1"/>
  <c r="S13" i="3" s="1"/>
  <c r="R13" i="3" a="1"/>
  <c r="R13" i="3" s="1"/>
  <c r="Q13" i="3" a="1"/>
  <c r="Q13" i="3" s="1"/>
  <c r="P13" i="3" a="1"/>
  <c r="P13" i="3" s="1"/>
  <c r="O13" i="3" a="1"/>
  <c r="O13" i="3" s="1"/>
  <c r="N13" i="3" a="1"/>
  <c r="N13" i="3" s="1"/>
  <c r="M13" i="3" a="1"/>
  <c r="M13" i="3" s="1"/>
  <c r="L13" i="3" a="1"/>
  <c r="L13" i="3" s="1"/>
  <c r="K13" i="3" a="1"/>
  <c r="K13" i="3" s="1"/>
  <c r="J13" i="3" a="1"/>
  <c r="J13" i="3" s="1"/>
  <c r="H13" i="3"/>
  <c r="F13" i="3"/>
  <c r="E13" i="3"/>
  <c r="D13" i="3" a="1"/>
  <c r="D13" i="3" s="1"/>
  <c r="AH12" i="3" a="1"/>
  <c r="AH12" i="3" s="1"/>
  <c r="AG12" i="3" a="1"/>
  <c r="AG12" i="3" s="1"/>
  <c r="AF12" i="3" a="1"/>
  <c r="AF12" i="3" s="1"/>
  <c r="AE12" i="3" a="1"/>
  <c r="AE12" i="3" s="1"/>
  <c r="AD12" i="3" a="1"/>
  <c r="AD12" i="3" s="1"/>
  <c r="AC12" i="3" a="1"/>
  <c r="AC12" i="3" s="1"/>
  <c r="AB12" i="3" a="1"/>
  <c r="AB12" i="3" s="1"/>
  <c r="AA12" i="3" a="1"/>
  <c r="AA12" i="3" s="1"/>
  <c r="Z12" i="3" a="1"/>
  <c r="Z12" i="3" s="1"/>
  <c r="Y12" i="3" a="1"/>
  <c r="Y12" i="3" s="1"/>
  <c r="X12" i="3" a="1"/>
  <c r="X12" i="3" s="1"/>
  <c r="W12" i="3" a="1"/>
  <c r="W12" i="3" s="1"/>
  <c r="V12" i="3" a="1"/>
  <c r="V12" i="3" s="1"/>
  <c r="U12" i="3" a="1"/>
  <c r="U12" i="3" s="1"/>
  <c r="T12" i="3" a="1"/>
  <c r="T12" i="3" s="1"/>
  <c r="S12" i="3" a="1"/>
  <c r="S12" i="3" s="1"/>
  <c r="R12" i="3" a="1"/>
  <c r="R12" i="3" s="1"/>
  <c r="Q12" i="3" a="1"/>
  <c r="Q12" i="3" s="1"/>
  <c r="P12" i="3" a="1"/>
  <c r="P12" i="3" s="1"/>
  <c r="O12" i="3" a="1"/>
  <c r="O12" i="3" s="1"/>
  <c r="N12" i="3" a="1"/>
  <c r="N12" i="3" s="1"/>
  <c r="M12" i="3" a="1"/>
  <c r="M12" i="3" s="1"/>
  <c r="L12" i="3" a="1"/>
  <c r="L12" i="3" s="1"/>
  <c r="K12" i="3" a="1"/>
  <c r="K12" i="3" s="1"/>
  <c r="J12" i="3" a="1"/>
  <c r="J12" i="3" s="1"/>
  <c r="H12" i="3"/>
  <c r="F12" i="3"/>
  <c r="E12" i="3"/>
  <c r="D12" i="3" a="1"/>
  <c r="D12" i="3" s="1"/>
  <c r="AH11" i="3" a="1"/>
  <c r="AH11" i="3" s="1"/>
  <c r="AG11" i="3" a="1"/>
  <c r="AG11" i="3" s="1"/>
  <c r="AF11" i="3" a="1"/>
  <c r="AF11" i="3" s="1"/>
  <c r="AE11" i="3" a="1"/>
  <c r="AE11" i="3" s="1"/>
  <c r="AD11" i="3" a="1"/>
  <c r="AD11" i="3" s="1"/>
  <c r="AC11" i="3" a="1"/>
  <c r="AC11" i="3" s="1"/>
  <c r="AB11" i="3" a="1"/>
  <c r="AB11" i="3" s="1"/>
  <c r="AA11" i="3" a="1"/>
  <c r="AA11" i="3" s="1"/>
  <c r="Z11" i="3" a="1"/>
  <c r="Z11" i="3" s="1"/>
  <c r="Y11" i="3" a="1"/>
  <c r="Y11" i="3" s="1"/>
  <c r="X11" i="3" a="1"/>
  <c r="X11" i="3" s="1"/>
  <c r="W11" i="3" a="1"/>
  <c r="W11" i="3" s="1"/>
  <c r="V11" i="3" a="1"/>
  <c r="V11" i="3" s="1"/>
  <c r="U11" i="3" a="1"/>
  <c r="U11" i="3" s="1"/>
  <c r="T11" i="3" a="1"/>
  <c r="T11" i="3" s="1"/>
  <c r="S11" i="3" a="1"/>
  <c r="S11" i="3" s="1"/>
  <c r="R11" i="3" a="1"/>
  <c r="R11" i="3" s="1"/>
  <c r="Q11" i="3" a="1"/>
  <c r="Q11" i="3" s="1"/>
  <c r="P11" i="3" a="1"/>
  <c r="P11" i="3" s="1"/>
  <c r="O11" i="3" a="1"/>
  <c r="O11" i="3" s="1"/>
  <c r="N11" i="3" a="1"/>
  <c r="N11" i="3" s="1"/>
  <c r="M11" i="3" a="1"/>
  <c r="M11" i="3" s="1"/>
  <c r="L11" i="3" a="1"/>
  <c r="L11" i="3" s="1"/>
  <c r="K11" i="3" a="1"/>
  <c r="K11" i="3" s="1"/>
  <c r="J11" i="3" a="1"/>
  <c r="J11" i="3" s="1"/>
  <c r="H11" i="3"/>
  <c r="F11" i="3"/>
  <c r="E11" i="3"/>
  <c r="D11" i="3" a="1"/>
  <c r="D11" i="3" s="1"/>
  <c r="AH10" i="3" a="1"/>
  <c r="AH10" i="3" s="1"/>
  <c r="AG10" i="3" a="1"/>
  <c r="AG10" i="3" s="1"/>
  <c r="AF10" i="3" a="1"/>
  <c r="AF10" i="3" s="1"/>
  <c r="AE10" i="3" a="1"/>
  <c r="AE10" i="3" s="1"/>
  <c r="AD10" i="3" a="1"/>
  <c r="AD10" i="3" s="1"/>
  <c r="AC10" i="3" a="1"/>
  <c r="AC10" i="3" s="1"/>
  <c r="AB10" i="3" a="1"/>
  <c r="AB10" i="3" s="1"/>
  <c r="AA10" i="3" a="1"/>
  <c r="AA10" i="3" s="1"/>
  <c r="Z10" i="3" a="1"/>
  <c r="Z10" i="3" s="1"/>
  <c r="Y10" i="3" a="1"/>
  <c r="Y10" i="3" s="1"/>
  <c r="X10" i="3" a="1"/>
  <c r="X10" i="3" s="1"/>
  <c r="W10" i="3" a="1"/>
  <c r="W10" i="3" s="1"/>
  <c r="V10" i="3" a="1"/>
  <c r="V10" i="3" s="1"/>
  <c r="U10" i="3" a="1"/>
  <c r="U10" i="3" s="1"/>
  <c r="T10" i="3" a="1"/>
  <c r="T10" i="3" s="1"/>
  <c r="S10" i="3" a="1"/>
  <c r="S10" i="3" s="1"/>
  <c r="R10" i="3" a="1"/>
  <c r="R10" i="3" s="1"/>
  <c r="Q10" i="3" a="1"/>
  <c r="Q10" i="3" s="1"/>
  <c r="P10" i="3" a="1"/>
  <c r="P10" i="3" s="1"/>
  <c r="O10" i="3" a="1"/>
  <c r="O10" i="3" s="1"/>
  <c r="N10" i="3" a="1"/>
  <c r="N10" i="3" s="1"/>
  <c r="M10" i="3" a="1"/>
  <c r="M10" i="3" s="1"/>
  <c r="L10" i="3" a="1"/>
  <c r="L10" i="3" s="1"/>
  <c r="K10" i="3" a="1"/>
  <c r="K10" i="3" s="1"/>
  <c r="J10" i="3" a="1"/>
  <c r="J10" i="3" s="1"/>
  <c r="H10" i="3"/>
  <c r="F10" i="3"/>
  <c r="E10" i="3"/>
  <c r="D10" i="3" a="1"/>
  <c r="D10" i="3" s="1"/>
  <c r="AH9" i="3" a="1"/>
  <c r="AH9" i="3" s="1"/>
  <c r="AG9" i="3" a="1"/>
  <c r="AG9" i="3" s="1"/>
  <c r="AF9" i="3" a="1"/>
  <c r="AF9" i="3" s="1"/>
  <c r="AE9" i="3" a="1"/>
  <c r="AE9" i="3" s="1"/>
  <c r="AD9" i="3" a="1"/>
  <c r="AD9" i="3" s="1"/>
  <c r="AC9" i="3" a="1"/>
  <c r="AC9" i="3" s="1"/>
  <c r="AB9" i="3" a="1"/>
  <c r="AB9" i="3" s="1"/>
  <c r="AA9" i="3" a="1"/>
  <c r="AA9" i="3" s="1"/>
  <c r="Z9" i="3" a="1"/>
  <c r="Z9" i="3" s="1"/>
  <c r="Y9" i="3" a="1"/>
  <c r="Y9" i="3" s="1"/>
  <c r="X9" i="3" a="1"/>
  <c r="X9" i="3" s="1"/>
  <c r="W9" i="3" a="1"/>
  <c r="W9" i="3" s="1"/>
  <c r="V9" i="3" a="1"/>
  <c r="V9" i="3" s="1"/>
  <c r="U9" i="3" a="1"/>
  <c r="U9" i="3" s="1"/>
  <c r="T9" i="3" a="1"/>
  <c r="T9" i="3" s="1"/>
  <c r="S9" i="3" a="1"/>
  <c r="S9" i="3" s="1"/>
  <c r="R9" i="3" a="1"/>
  <c r="R9" i="3" s="1"/>
  <c r="Q9" i="3" a="1"/>
  <c r="Q9" i="3" s="1"/>
  <c r="P9" i="3" a="1"/>
  <c r="P9" i="3" s="1"/>
  <c r="O9" i="3" a="1"/>
  <c r="O9" i="3" s="1"/>
  <c r="N9" i="3" a="1"/>
  <c r="N9" i="3" s="1"/>
  <c r="M9" i="3" a="1"/>
  <c r="M9" i="3" s="1"/>
  <c r="L9" i="3" a="1"/>
  <c r="L9" i="3" s="1"/>
  <c r="K9" i="3" a="1"/>
  <c r="K9" i="3" s="1"/>
  <c r="J9" i="3" a="1"/>
  <c r="J9" i="3" s="1"/>
  <c r="H9" i="3"/>
  <c r="F9" i="3"/>
  <c r="E9" i="3"/>
  <c r="D9" i="3" a="1"/>
  <c r="D9" i="3" s="1"/>
  <c r="AH8" i="3" a="1"/>
  <c r="AH8" i="3" s="1"/>
  <c r="AG8" i="3" a="1"/>
  <c r="AG8" i="3" s="1"/>
  <c r="AF8" i="3" a="1"/>
  <c r="AF8" i="3" s="1"/>
  <c r="AE8" i="3" a="1"/>
  <c r="AE8" i="3" s="1"/>
  <c r="AD8" i="3" a="1"/>
  <c r="AD8" i="3" s="1"/>
  <c r="AC8" i="3" a="1"/>
  <c r="AC8" i="3" s="1"/>
  <c r="AB8" i="3" a="1"/>
  <c r="AB8" i="3" s="1"/>
  <c r="AA8" i="3" a="1"/>
  <c r="AA8" i="3" s="1"/>
  <c r="Z8" i="3" a="1"/>
  <c r="Z8" i="3" s="1"/>
  <c r="Y8" i="3" a="1"/>
  <c r="Y8" i="3" s="1"/>
  <c r="X8" i="3" a="1"/>
  <c r="X8" i="3" s="1"/>
  <c r="W8" i="3" a="1"/>
  <c r="W8" i="3" s="1"/>
  <c r="V8" i="3" a="1"/>
  <c r="V8" i="3" s="1"/>
  <c r="U8" i="3" a="1"/>
  <c r="U8" i="3" s="1"/>
  <c r="T8" i="3" a="1"/>
  <c r="T8" i="3" s="1"/>
  <c r="S8" i="3" a="1"/>
  <c r="S8" i="3" s="1"/>
  <c r="R8" i="3" a="1"/>
  <c r="R8" i="3" s="1"/>
  <c r="Q8" i="3" a="1"/>
  <c r="Q8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J8" i="3" a="1"/>
  <c r="J8" i="3" s="1"/>
  <c r="H8" i="3"/>
  <c r="F8" i="3"/>
  <c r="E8" i="3"/>
  <c r="D8" i="3" a="1"/>
  <c r="D8" i="3" s="1"/>
  <c r="AH7" i="3" a="1"/>
  <c r="AH7" i="3" s="1"/>
  <c r="AG7" i="3" a="1"/>
  <c r="AG7" i="3" s="1"/>
  <c r="AF7" i="3" a="1"/>
  <c r="AF7" i="3" s="1"/>
  <c r="AE7" i="3" a="1"/>
  <c r="AE7" i="3" s="1"/>
  <c r="AD7" i="3" a="1"/>
  <c r="AD7" i="3" s="1"/>
  <c r="AC7" i="3" a="1"/>
  <c r="AC7" i="3" s="1"/>
  <c r="AB7" i="3" a="1"/>
  <c r="AB7" i="3" s="1"/>
  <c r="AA7" i="3" a="1"/>
  <c r="AA7" i="3" s="1"/>
  <c r="Z7" i="3" a="1"/>
  <c r="Z7" i="3" s="1"/>
  <c r="Y7" i="3" a="1"/>
  <c r="Y7" i="3" s="1"/>
  <c r="X7" i="3" a="1"/>
  <c r="X7" i="3" s="1"/>
  <c r="W7" i="3" a="1"/>
  <c r="W7" i="3" s="1"/>
  <c r="V7" i="3" a="1"/>
  <c r="V7" i="3" s="1"/>
  <c r="U7" i="3" a="1"/>
  <c r="U7" i="3" s="1"/>
  <c r="T7" i="3" a="1"/>
  <c r="T7" i="3" s="1"/>
  <c r="S7" i="3" a="1"/>
  <c r="S7" i="3" s="1"/>
  <c r="R7" i="3" a="1"/>
  <c r="R7" i="3" s="1"/>
  <c r="Q7" i="3" a="1"/>
  <c r="Q7" i="3" s="1"/>
  <c r="P7" i="3" a="1"/>
  <c r="P7" i="3" s="1"/>
  <c r="O7" i="3" a="1"/>
  <c r="O7" i="3" s="1"/>
  <c r="N7" i="3" a="1"/>
  <c r="N7" i="3" s="1"/>
  <c r="M7" i="3" a="1"/>
  <c r="M7" i="3" s="1"/>
  <c r="L7" i="3" a="1"/>
  <c r="L7" i="3" s="1"/>
  <c r="K7" i="3" a="1"/>
  <c r="K7" i="3" s="1"/>
  <c r="J7" i="3" a="1"/>
  <c r="J7" i="3" s="1"/>
  <c r="H7" i="3"/>
  <c r="F7" i="3"/>
  <c r="E7" i="3"/>
  <c r="D7" i="3" a="1"/>
  <c r="D7" i="3" s="1"/>
  <c r="AH6" i="3" a="1"/>
  <c r="AH6" i="3" s="1"/>
  <c r="AG6" i="3" a="1"/>
  <c r="AG6" i="3" s="1"/>
  <c r="AF6" i="3" a="1"/>
  <c r="AF6" i="3" s="1"/>
  <c r="AE6" i="3" a="1"/>
  <c r="AE6" i="3" s="1"/>
  <c r="AD6" i="3" a="1"/>
  <c r="AD6" i="3" s="1"/>
  <c r="AC6" i="3" a="1"/>
  <c r="AC6" i="3" s="1"/>
  <c r="AB6" i="3" a="1"/>
  <c r="AB6" i="3" s="1"/>
  <c r="AA6" i="3" a="1"/>
  <c r="AA6" i="3" s="1"/>
  <c r="Z6" i="3" a="1"/>
  <c r="Z6" i="3" s="1"/>
  <c r="Y6" i="3" a="1"/>
  <c r="Y6" i="3" s="1"/>
  <c r="X6" i="3" a="1"/>
  <c r="X6" i="3" s="1"/>
  <c r="W6" i="3" a="1"/>
  <c r="W6" i="3" s="1"/>
  <c r="V6" i="3" a="1"/>
  <c r="V6" i="3" s="1"/>
  <c r="U6" i="3" a="1"/>
  <c r="U6" i="3" s="1"/>
  <c r="T6" i="3" a="1"/>
  <c r="T6" i="3" s="1"/>
  <c r="S6" i="3" a="1"/>
  <c r="S6" i="3" s="1"/>
  <c r="R6" i="3" a="1"/>
  <c r="R6" i="3" s="1"/>
  <c r="Q6" i="3" a="1"/>
  <c r="Q6" i="3" s="1"/>
  <c r="P6" i="3" a="1"/>
  <c r="P6" i="3" s="1"/>
  <c r="O6" i="3" a="1"/>
  <c r="O6" i="3" s="1"/>
  <c r="N6" i="3" a="1"/>
  <c r="N6" i="3" s="1"/>
  <c r="M6" i="3" a="1"/>
  <c r="M6" i="3" s="1"/>
  <c r="L6" i="3" a="1"/>
  <c r="L6" i="3" s="1"/>
  <c r="K6" i="3" a="1"/>
  <c r="K6" i="3" s="1"/>
  <c r="J6" i="3" a="1"/>
  <c r="J6" i="3" s="1"/>
  <c r="H6" i="3"/>
  <c r="F6" i="3"/>
  <c r="E6" i="3"/>
  <c r="D6" i="3" a="1"/>
  <c r="D6" i="3" s="1"/>
  <c r="AH5" i="3" a="1"/>
  <c r="AH5" i="3" s="1"/>
  <c r="AG5" i="3" a="1"/>
  <c r="AG5" i="3" s="1"/>
  <c r="AF5" i="3" a="1"/>
  <c r="AF5" i="3" s="1"/>
  <c r="AE5" i="3" a="1"/>
  <c r="AE5" i="3" s="1"/>
  <c r="AD5" i="3" a="1"/>
  <c r="AD5" i="3" s="1"/>
  <c r="AC5" i="3" a="1"/>
  <c r="AC5" i="3" s="1"/>
  <c r="AB5" i="3" a="1"/>
  <c r="AB5" i="3" s="1"/>
  <c r="AA5" i="3" a="1"/>
  <c r="AA5" i="3" s="1"/>
  <c r="Z5" i="3" a="1"/>
  <c r="Z5" i="3" s="1"/>
  <c r="Y5" i="3" a="1"/>
  <c r="Y5" i="3" s="1"/>
  <c r="X5" i="3" a="1"/>
  <c r="X5" i="3" s="1"/>
  <c r="W5" i="3" a="1"/>
  <c r="W5" i="3" s="1"/>
  <c r="V5" i="3" a="1"/>
  <c r="V5" i="3" s="1"/>
  <c r="U5" i="3" a="1"/>
  <c r="U5" i="3" s="1"/>
  <c r="T5" i="3" a="1"/>
  <c r="T5" i="3" s="1"/>
  <c r="S5" i="3" a="1"/>
  <c r="S5" i="3" s="1"/>
  <c r="R5" i="3" a="1"/>
  <c r="R5" i="3" s="1"/>
  <c r="Q5" i="3" a="1"/>
  <c r="Q5" i="3" s="1"/>
  <c r="P5" i="3" a="1"/>
  <c r="P5" i="3" s="1"/>
  <c r="O5" i="3" a="1"/>
  <c r="O5" i="3" s="1"/>
  <c r="N5" i="3" a="1"/>
  <c r="N5" i="3" s="1"/>
  <c r="M5" i="3" a="1"/>
  <c r="M5" i="3" s="1"/>
  <c r="L5" i="3" a="1"/>
  <c r="L5" i="3" s="1"/>
  <c r="K5" i="3" a="1"/>
  <c r="K5" i="3" s="1"/>
  <c r="J5" i="3" a="1"/>
  <c r="J5" i="3" s="1"/>
  <c r="H5" i="3"/>
  <c r="F5" i="3"/>
  <c r="E5" i="3"/>
  <c r="D5" i="3" a="1"/>
  <c r="D5" i="3" s="1"/>
  <c r="AK172" i="5"/>
  <c r="AJ172" i="5"/>
  <c r="AI172" i="5"/>
  <c r="AH172" i="5"/>
  <c r="AG172" i="5"/>
  <c r="AF172" i="5"/>
  <c r="AE172" i="5"/>
  <c r="AD172" i="5"/>
  <c r="AC172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 s="1"/>
  <c r="E172" i="5" a="1"/>
  <c r="E172" i="5" s="1"/>
  <c r="D172" i="5"/>
  <c r="C172" i="5"/>
  <c r="B172" i="5"/>
  <c r="AK171" i="5"/>
  <c r="AJ171" i="5"/>
  <c r="AI171" i="5"/>
  <c r="AH171" i="5"/>
  <c r="AG171" i="5"/>
  <c r="AF171" i="5"/>
  <c r="AE171" i="5"/>
  <c r="AD171" i="5"/>
  <c r="AC171" i="5"/>
  <c r="AB171" i="5"/>
  <c r="AA171" i="5"/>
  <c r="Z171" i="5"/>
  <c r="Y171" i="5"/>
  <c r="X171" i="5"/>
  <c r="W171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 s="1"/>
  <c r="E171" i="5" a="1"/>
  <c r="E171" i="5" s="1"/>
  <c r="D171" i="5"/>
  <c r="C171" i="5"/>
  <c r="B171" i="5"/>
  <c r="AK170" i="5"/>
  <c r="AJ170" i="5"/>
  <c r="AI170" i="5"/>
  <c r="AH170" i="5"/>
  <c r="AG170" i="5"/>
  <c r="AF170" i="5"/>
  <c r="AE170" i="5"/>
  <c r="AD170" i="5"/>
  <c r="AC170" i="5"/>
  <c r="AB170" i="5"/>
  <c r="AA170" i="5"/>
  <c r="Z170" i="5"/>
  <c r="Y170" i="5"/>
  <c r="X170" i="5"/>
  <c r="W170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 s="1"/>
  <c r="E170" i="5" a="1"/>
  <c r="E170" i="5" s="1"/>
  <c r="D170" i="5"/>
  <c r="C170" i="5"/>
  <c r="B170" i="5"/>
  <c r="AK169" i="5"/>
  <c r="AJ169" i="5"/>
  <c r="AI169" i="5"/>
  <c r="AH169" i="5"/>
  <c r="AG169" i="5"/>
  <c r="AF169" i="5"/>
  <c r="AE169" i="5"/>
  <c r="AD169" i="5"/>
  <c r="AC169" i="5"/>
  <c r="AB169" i="5"/>
  <c r="AA169" i="5"/>
  <c r="Z169" i="5"/>
  <c r="Y169" i="5"/>
  <c r="X169" i="5"/>
  <c r="W169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 s="1"/>
  <c r="E169" i="5" a="1"/>
  <c r="E169" i="5" s="1"/>
  <c r="D169" i="5"/>
  <c r="C169" i="5"/>
  <c r="B169" i="5"/>
  <c r="AK168" i="5"/>
  <c r="AJ168" i="5"/>
  <c r="AI168" i="5"/>
  <c r="AH168" i="5"/>
  <c r="AG168" i="5"/>
  <c r="AF168" i="5"/>
  <c r="AE168" i="5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 s="1"/>
  <c r="E168" i="5" a="1"/>
  <c r="E168" i="5" s="1"/>
  <c r="D168" i="5"/>
  <c r="C168" i="5"/>
  <c r="B168" i="5"/>
  <c r="AK167" i="5"/>
  <c r="AJ167" i="5"/>
  <c r="AI167" i="5"/>
  <c r="AH167" i="5"/>
  <c r="AG167" i="5"/>
  <c r="AF167" i="5"/>
  <c r="AE167" i="5"/>
  <c r="AD167" i="5"/>
  <c r="AC167" i="5"/>
  <c r="AB167" i="5"/>
  <c r="AA167" i="5"/>
  <c r="Z167" i="5"/>
  <c r="Y167" i="5"/>
  <c r="X167" i="5"/>
  <c r="W167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 s="1"/>
  <c r="E167" i="5" a="1"/>
  <c r="E167" i="5" s="1"/>
  <c r="D167" i="5"/>
  <c r="C167" i="5"/>
  <c r="B167" i="5"/>
  <c r="AK166" i="5"/>
  <c r="AJ166" i="5"/>
  <c r="AI166" i="5"/>
  <c r="AH166" i="5"/>
  <c r="AG166" i="5"/>
  <c r="AF166" i="5"/>
  <c r="AE166" i="5"/>
  <c r="AD166" i="5"/>
  <c r="AC166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 s="1"/>
  <c r="E166" i="5" a="1"/>
  <c r="E166" i="5" s="1"/>
  <c r="D166" i="5"/>
  <c r="C166" i="5"/>
  <c r="B166" i="5"/>
  <c r="AK165" i="5"/>
  <c r="AJ165" i="5"/>
  <c r="AI165" i="5"/>
  <c r="AH165" i="5"/>
  <c r="AG165" i="5"/>
  <c r="AF165" i="5"/>
  <c r="AE165" i="5"/>
  <c r="AD165" i="5"/>
  <c r="AC165" i="5"/>
  <c r="AB165" i="5"/>
  <c r="AA165" i="5"/>
  <c r="Z165" i="5"/>
  <c r="Y165" i="5"/>
  <c r="X165" i="5"/>
  <c r="W165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 s="1"/>
  <c r="E165" i="5" a="1"/>
  <c r="E165" i="5" s="1"/>
  <c r="D165" i="5"/>
  <c r="C165" i="5"/>
  <c r="B165" i="5"/>
  <c r="AK164" i="5"/>
  <c r="AJ164" i="5"/>
  <c r="AI164" i="5"/>
  <c r="AH164" i="5"/>
  <c r="AG164" i="5"/>
  <c r="AF164" i="5"/>
  <c r="AE164" i="5"/>
  <c r="AD164" i="5"/>
  <c r="AC164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 s="1"/>
  <c r="E164" i="5" a="1"/>
  <c r="E164" i="5" s="1"/>
  <c r="D164" i="5"/>
  <c r="C164" i="5"/>
  <c r="B164" i="5"/>
  <c r="AK163" i="5"/>
  <c r="AJ163" i="5"/>
  <c r="AI163" i="5"/>
  <c r="AH163" i="5"/>
  <c r="AG163" i="5"/>
  <c r="AF163" i="5"/>
  <c r="AE163" i="5"/>
  <c r="AD163" i="5"/>
  <c r="AC163" i="5"/>
  <c r="AB163" i="5"/>
  <c r="AA163" i="5"/>
  <c r="Z163" i="5"/>
  <c r="Y163" i="5"/>
  <c r="X163" i="5"/>
  <c r="W163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 s="1"/>
  <c r="E163" i="5" a="1"/>
  <c r="E163" i="5" s="1"/>
  <c r="D163" i="5"/>
  <c r="C163" i="5"/>
  <c r="B163" i="5"/>
  <c r="AK162" i="5"/>
  <c r="AJ162" i="5"/>
  <c r="AI162" i="5"/>
  <c r="AH162" i="5"/>
  <c r="AG162" i="5"/>
  <c r="AF162" i="5"/>
  <c r="AE162" i="5"/>
  <c r="AD162" i="5"/>
  <c r="AC162" i="5"/>
  <c r="AB162" i="5"/>
  <c r="AA162" i="5"/>
  <c r="Z162" i="5"/>
  <c r="Y162" i="5"/>
  <c r="X162" i="5"/>
  <c r="W162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 s="1"/>
  <c r="E162" i="5" a="1"/>
  <c r="E162" i="5" s="1"/>
  <c r="D162" i="5"/>
  <c r="C162" i="5"/>
  <c r="B162" i="5"/>
  <c r="AK161" i="5"/>
  <c r="AJ161" i="5"/>
  <c r="AI161" i="5"/>
  <c r="AH161" i="5"/>
  <c r="AG161" i="5"/>
  <c r="AF161" i="5"/>
  <c r="AE161" i="5"/>
  <c r="AD161" i="5"/>
  <c r="AC161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 s="1"/>
  <c r="E161" i="5" a="1"/>
  <c r="E161" i="5" s="1"/>
  <c r="D161" i="5"/>
  <c r="C161" i="5"/>
  <c r="B161" i="5"/>
  <c r="AK160" i="5"/>
  <c r="AJ160" i="5"/>
  <c r="AI160" i="5"/>
  <c r="AH160" i="5"/>
  <c r="AG160" i="5"/>
  <c r="AF160" i="5"/>
  <c r="AE160" i="5"/>
  <c r="AD160" i="5"/>
  <c r="AC160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 s="1"/>
  <c r="E160" i="5" a="1"/>
  <c r="E160" i="5" s="1"/>
  <c r="D160" i="5"/>
  <c r="C160" i="5"/>
  <c r="B160" i="5"/>
  <c r="AK159" i="5"/>
  <c r="AJ159" i="5"/>
  <c r="AI159" i="5"/>
  <c r="AH159" i="5"/>
  <c r="AG159" i="5"/>
  <c r="AF159" i="5"/>
  <c r="AE159" i="5"/>
  <c r="AD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 s="1"/>
  <c r="E159" i="5" a="1"/>
  <c r="E159" i="5" s="1"/>
  <c r="D159" i="5"/>
  <c r="C159" i="5"/>
  <c r="B159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 s="1"/>
  <c r="E158" i="5" a="1"/>
  <c r="E158" i="5" s="1"/>
  <c r="D158" i="5"/>
  <c r="C158" i="5"/>
  <c r="B158" i="5"/>
  <c r="AK157" i="5"/>
  <c r="AJ157" i="5"/>
  <c r="AI157" i="5"/>
  <c r="AH157" i="5"/>
  <c r="AG157" i="5"/>
  <c r="AF157" i="5"/>
  <c r="AE157" i="5"/>
  <c r="AD157" i="5"/>
  <c r="AC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 s="1"/>
  <c r="E157" i="5" a="1"/>
  <c r="E157" i="5" s="1"/>
  <c r="D157" i="5"/>
  <c r="C157" i="5"/>
  <c r="B157" i="5"/>
  <c r="AK156" i="5"/>
  <c r="AJ156" i="5"/>
  <c r="AI156" i="5"/>
  <c r="AH156" i="5"/>
  <c r="AG156" i="5"/>
  <c r="AF156" i="5"/>
  <c r="AE156" i="5"/>
  <c r="AD156" i="5"/>
  <c r="AC156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 s="1"/>
  <c r="E156" i="5" a="1"/>
  <c r="E156" i="5" s="1"/>
  <c r="D156" i="5"/>
  <c r="C156" i="5"/>
  <c r="B156" i="5"/>
  <c r="AK155" i="5"/>
  <c r="AJ155" i="5"/>
  <c r="AI155" i="5"/>
  <c r="AH155" i="5"/>
  <c r="AG155" i="5"/>
  <c r="AF155" i="5"/>
  <c r="AE155" i="5"/>
  <c r="AD155" i="5"/>
  <c r="AC155" i="5"/>
  <c r="AB155" i="5"/>
  <c r="AA155" i="5"/>
  <c r="Z155" i="5"/>
  <c r="Y155" i="5"/>
  <c r="X155" i="5"/>
  <c r="W155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 s="1"/>
  <c r="E155" i="5" a="1"/>
  <c r="E155" i="5" s="1"/>
  <c r="D155" i="5"/>
  <c r="C155" i="5"/>
  <c r="B155" i="5"/>
  <c r="AK154" i="5"/>
  <c r="AJ154" i="5"/>
  <c r="AI154" i="5"/>
  <c r="AH154" i="5"/>
  <c r="AG154" i="5"/>
  <c r="AF154" i="5"/>
  <c r="AE154" i="5"/>
  <c r="AD154" i="5"/>
  <c r="AC154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 s="1"/>
  <c r="E154" i="5" a="1"/>
  <c r="E154" i="5" s="1"/>
  <c r="D154" i="5"/>
  <c r="C154" i="5"/>
  <c r="B154" i="5"/>
  <c r="AK153" i="5"/>
  <c r="AJ153" i="5"/>
  <c r="AI153" i="5"/>
  <c r="AH153" i="5"/>
  <c r="AG153" i="5"/>
  <c r="AF153" i="5"/>
  <c r="AE153" i="5"/>
  <c r="AD153" i="5"/>
  <c r="AC153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 s="1"/>
  <c r="E153" i="5" a="1"/>
  <c r="E153" i="5" s="1"/>
  <c r="D153" i="5"/>
  <c r="C153" i="5"/>
  <c r="B153" i="5"/>
  <c r="AK152" i="5"/>
  <c r="AJ152" i="5"/>
  <c r="AI152" i="5"/>
  <c r="AH152" i="5"/>
  <c r="AG152" i="5"/>
  <c r="AF152" i="5"/>
  <c r="AE152" i="5"/>
  <c r="AD152" i="5"/>
  <c r="AC152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 s="1"/>
  <c r="E152" i="5" a="1"/>
  <c r="E152" i="5" s="1"/>
  <c r="D152" i="5"/>
  <c r="C152" i="5"/>
  <c r="B152" i="5"/>
  <c r="AK151" i="5"/>
  <c r="AJ151" i="5"/>
  <c r="AI151" i="5"/>
  <c r="AH151" i="5"/>
  <c r="AG151" i="5"/>
  <c r="AF151" i="5"/>
  <c r="AE151" i="5"/>
  <c r="AD151" i="5"/>
  <c r="AC151" i="5"/>
  <c r="AB151" i="5"/>
  <c r="AA151" i="5"/>
  <c r="Z151" i="5"/>
  <c r="Y151" i="5"/>
  <c r="X151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 s="1"/>
  <c r="E151" i="5" a="1"/>
  <c r="E151" i="5" s="1"/>
  <c r="D151" i="5"/>
  <c r="C151" i="5"/>
  <c r="B151" i="5"/>
  <c r="AK150" i="5"/>
  <c r="AJ150" i="5"/>
  <c r="AI150" i="5"/>
  <c r="AH150" i="5"/>
  <c r="AG150" i="5"/>
  <c r="AF150" i="5"/>
  <c r="AE150" i="5"/>
  <c r="AD150" i="5"/>
  <c r="AC150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 s="1"/>
  <c r="E150" i="5" a="1"/>
  <c r="E150" i="5" s="1"/>
  <c r="D150" i="5"/>
  <c r="C150" i="5"/>
  <c r="B150" i="5"/>
  <c r="AK149" i="5"/>
  <c r="AJ149" i="5"/>
  <c r="AI149" i="5"/>
  <c r="AH149" i="5"/>
  <c r="AG149" i="5"/>
  <c r="AF149" i="5"/>
  <c r="AE149" i="5"/>
  <c r="AD149" i="5"/>
  <c r="AC149" i="5"/>
  <c r="AB149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 s="1"/>
  <c r="E149" i="5" a="1"/>
  <c r="E149" i="5" s="1"/>
  <c r="D149" i="5"/>
  <c r="C149" i="5"/>
  <c r="B149" i="5"/>
  <c r="AK148" i="5"/>
  <c r="AJ148" i="5"/>
  <c r="AI148" i="5"/>
  <c r="AH148" i="5"/>
  <c r="AG148" i="5"/>
  <c r="AF148" i="5"/>
  <c r="AE148" i="5"/>
  <c r="AD148" i="5"/>
  <c r="AC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 s="1"/>
  <c r="E148" i="5" a="1"/>
  <c r="E148" i="5" s="1"/>
  <c r="D148" i="5"/>
  <c r="C148" i="5"/>
  <c r="B148" i="5"/>
  <c r="AK147" i="5"/>
  <c r="AJ147" i="5"/>
  <c r="AI147" i="5"/>
  <c r="AH147" i="5"/>
  <c r="AG147" i="5"/>
  <c r="AF147" i="5"/>
  <c r="AE147" i="5"/>
  <c r="AD147" i="5"/>
  <c r="AC147" i="5"/>
  <c r="AB147" i="5"/>
  <c r="AA147" i="5"/>
  <c r="Z147" i="5"/>
  <c r="Y147" i="5"/>
  <c r="X147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 s="1"/>
  <c r="E147" i="5" a="1"/>
  <c r="E147" i="5" s="1"/>
  <c r="D147" i="5"/>
  <c r="C147" i="5"/>
  <c r="B147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 s="1"/>
  <c r="E146" i="5" a="1"/>
  <c r="E146" i="5" s="1"/>
  <c r="D146" i="5"/>
  <c r="C146" i="5"/>
  <c r="B146" i="5"/>
  <c r="AK145" i="5"/>
  <c r="AJ145" i="5"/>
  <c r="AI145" i="5"/>
  <c r="AH145" i="5"/>
  <c r="AG145" i="5"/>
  <c r="AF145" i="5"/>
  <c r="AE145" i="5"/>
  <c r="AD145" i="5"/>
  <c r="AC145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 s="1"/>
  <c r="E145" i="5" a="1"/>
  <c r="E145" i="5" s="1"/>
  <c r="D145" i="5"/>
  <c r="C145" i="5"/>
  <c r="B145" i="5"/>
  <c r="AK144" i="5"/>
  <c r="AJ144" i="5"/>
  <c r="AI144" i="5"/>
  <c r="AH144" i="5"/>
  <c r="AG144" i="5"/>
  <c r="AF144" i="5"/>
  <c r="AE144" i="5"/>
  <c r="AD144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 s="1"/>
  <c r="E144" i="5" a="1"/>
  <c r="E144" i="5" s="1"/>
  <c r="D144" i="5"/>
  <c r="C144" i="5"/>
  <c r="B144" i="5"/>
  <c r="AK143" i="5"/>
  <c r="AJ143" i="5"/>
  <c r="AI143" i="5"/>
  <c r="AH143" i="5"/>
  <c r="AG143" i="5"/>
  <c r="AF143" i="5"/>
  <c r="AE143" i="5"/>
  <c r="AD143" i="5"/>
  <c r="AC143" i="5"/>
  <c r="AB143" i="5"/>
  <c r="AA143" i="5"/>
  <c r="Z143" i="5"/>
  <c r="Y143" i="5"/>
  <c r="X143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 s="1"/>
  <c r="E143" i="5" a="1"/>
  <c r="E143" i="5" s="1"/>
  <c r="D143" i="5"/>
  <c r="C143" i="5"/>
  <c r="B143" i="5"/>
  <c r="AK142" i="5"/>
  <c r="AJ142" i="5"/>
  <c r="AI142" i="5"/>
  <c r="AH142" i="5"/>
  <c r="AG142" i="5"/>
  <c r="AF142" i="5"/>
  <c r="AE142" i="5"/>
  <c r="AD142" i="5"/>
  <c r="AC142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 s="1"/>
  <c r="E142" i="5" a="1"/>
  <c r="E142" i="5" s="1"/>
  <c r="D142" i="5"/>
  <c r="C142" i="5"/>
  <c r="B142" i="5"/>
  <c r="AK141" i="5"/>
  <c r="AJ141" i="5"/>
  <c r="AI141" i="5"/>
  <c r="AH141" i="5"/>
  <c r="AG141" i="5"/>
  <c r="AF141" i="5"/>
  <c r="AE141" i="5"/>
  <c r="AD141" i="5"/>
  <c r="AC141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 s="1"/>
  <c r="E141" i="5" a="1"/>
  <c r="E141" i="5" s="1"/>
  <c r="D141" i="5"/>
  <c r="C141" i="5"/>
  <c r="B141" i="5"/>
  <c r="AK140" i="5"/>
  <c r="AJ140" i="5"/>
  <c r="AI140" i="5"/>
  <c r="AH140" i="5"/>
  <c r="AG140" i="5"/>
  <c r="AF140" i="5"/>
  <c r="AE140" i="5"/>
  <c r="AD140" i="5"/>
  <c r="AC140" i="5"/>
  <c r="AB140" i="5"/>
  <c r="AA140" i="5"/>
  <c r="Z140" i="5"/>
  <c r="Y140" i="5"/>
  <c r="X140" i="5"/>
  <c r="W140" i="5"/>
  <c r="V140" i="5"/>
  <c r="U140" i="5"/>
  <c r="E140" i="5" a="1"/>
  <c r="E140" i="5"/>
  <c r="D140" i="5"/>
  <c r="C140" i="5"/>
  <c r="B140" i="5"/>
  <c r="AK139" i="5"/>
  <c r="AJ139" i="5"/>
  <c r="AI139" i="5"/>
  <c r="AH139" i="5"/>
  <c r="AG139" i="5"/>
  <c r="AF139" i="5"/>
  <c r="AE139" i="5"/>
  <c r="AD139" i="5"/>
  <c r="AC139" i="5"/>
  <c r="AB139" i="5"/>
  <c r="AA139" i="5"/>
  <c r="Z139" i="5"/>
  <c r="Y139" i="5"/>
  <c r="X139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 a="1"/>
  <c r="E139" i="5"/>
  <c r="D139" i="5"/>
  <c r="C139" i="5"/>
  <c r="B139" i="5"/>
  <c r="AK138" i="5"/>
  <c r="AJ138" i="5"/>
  <c r="AI138" i="5"/>
  <c r="AH138" i="5"/>
  <c r="AG138" i="5"/>
  <c r="AF138" i="5"/>
  <c r="AE138" i="5"/>
  <c r="AD138" i="5"/>
  <c r="AC138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 a="1"/>
  <c r="E138" i="5"/>
  <c r="D138" i="5"/>
  <c r="C138" i="5"/>
  <c r="B138" i="5"/>
  <c r="AK137" i="5"/>
  <c r="AJ137" i="5"/>
  <c r="AI137" i="5"/>
  <c r="AH137" i="5"/>
  <c r="AG137" i="5"/>
  <c r="AF137" i="5"/>
  <c r="AE137" i="5"/>
  <c r="AD137" i="5"/>
  <c r="AC137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 a="1"/>
  <c r="E137" i="5"/>
  <c r="D137" i="5"/>
  <c r="C137" i="5"/>
  <c r="B137" i="5"/>
  <c r="AK136" i="5"/>
  <c r="AJ136" i="5"/>
  <c r="AI136" i="5"/>
  <c r="AH136" i="5"/>
  <c r="AG136" i="5"/>
  <c r="AF136" i="5"/>
  <c r="AE136" i="5"/>
  <c r="AD136" i="5"/>
  <c r="AC136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 a="1"/>
  <c r="E136" i="5"/>
  <c r="D136" i="5"/>
  <c r="C136" i="5"/>
  <c r="B136" i="5"/>
  <c r="AK135" i="5"/>
  <c r="AJ135" i="5"/>
  <c r="AI135" i="5"/>
  <c r="AH135" i="5"/>
  <c r="AG135" i="5"/>
  <c r="AF135" i="5"/>
  <c r="AE135" i="5"/>
  <c r="AD135" i="5"/>
  <c r="AC135" i="5"/>
  <c r="AB135" i="5"/>
  <c r="AA135" i="5"/>
  <c r="Z135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 a="1"/>
  <c r="E135" i="5"/>
  <c r="D135" i="5"/>
  <c r="C135" i="5"/>
  <c r="B135" i="5"/>
  <c r="AK134" i="5"/>
  <c r="AJ134" i="5"/>
  <c r="AI134" i="5"/>
  <c r="AH134" i="5"/>
  <c r="AG134" i="5"/>
  <c r="AF134" i="5"/>
  <c r="AE134" i="5"/>
  <c r="AD134" i="5"/>
  <c r="AC134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 a="1"/>
  <c r="E134" i="5"/>
  <c r="D134" i="5"/>
  <c r="C134" i="5"/>
  <c r="B134" i="5"/>
  <c r="AK133" i="5"/>
  <c r="AJ133" i="5"/>
  <c r="AI133" i="5"/>
  <c r="AH133" i="5"/>
  <c r="AG133" i="5"/>
  <c r="AF133" i="5"/>
  <c r="AE133" i="5"/>
  <c r="AD133" i="5"/>
  <c r="AC133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 a="1"/>
  <c r="E133" i="5"/>
  <c r="D133" i="5"/>
  <c r="C133" i="5"/>
  <c r="B133" i="5"/>
  <c r="AK132" i="5"/>
  <c r="AJ132" i="5"/>
  <c r="AI132" i="5"/>
  <c r="AH132" i="5"/>
  <c r="AG132" i="5"/>
  <c r="AF132" i="5"/>
  <c r="AE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 a="1"/>
  <c r="E132" i="5"/>
  <c r="D132" i="5"/>
  <c r="C132" i="5"/>
  <c r="B132" i="5"/>
  <c r="AK131" i="5"/>
  <c r="AJ131" i="5"/>
  <c r="AI131" i="5"/>
  <c r="AH131" i="5"/>
  <c r="AG131" i="5"/>
  <c r="AF131" i="5"/>
  <c r="AE131" i="5"/>
  <c r="AD131" i="5"/>
  <c r="AC131" i="5"/>
  <c r="AB131" i="5"/>
  <c r="AA131" i="5"/>
  <c r="Z131" i="5"/>
  <c r="Y131" i="5"/>
  <c r="X131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 a="1"/>
  <c r="E131" i="5"/>
  <c r="D131" i="5"/>
  <c r="C131" i="5"/>
  <c r="B131" i="5"/>
  <c r="AK130" i="5"/>
  <c r="AJ130" i="5"/>
  <c r="AI130" i="5"/>
  <c r="AH130" i="5"/>
  <c r="AG130" i="5"/>
  <c r="AF130" i="5"/>
  <c r="AE130" i="5"/>
  <c r="AD130" i="5"/>
  <c r="AC130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 a="1"/>
  <c r="E130" i="5"/>
  <c r="D130" i="5"/>
  <c r="C130" i="5"/>
  <c r="B130" i="5"/>
  <c r="AK129" i="5"/>
  <c r="AJ129" i="5"/>
  <c r="AI129" i="5"/>
  <c r="AH129" i="5"/>
  <c r="AG129" i="5"/>
  <c r="AF129" i="5"/>
  <c r="AE129" i="5"/>
  <c r="AD129" i="5"/>
  <c r="AC129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 a="1"/>
  <c r="E129" i="5"/>
  <c r="D129" i="5"/>
  <c r="C129" i="5"/>
  <c r="B129" i="5"/>
  <c r="AK128" i="5"/>
  <c r="AJ128" i="5"/>
  <c r="AI128" i="5"/>
  <c r="AH128" i="5"/>
  <c r="AG128" i="5"/>
  <c r="AF128" i="5"/>
  <c r="AE128" i="5"/>
  <c r="AD128" i="5"/>
  <c r="AC128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 a="1"/>
  <c r="E128" i="5"/>
  <c r="D128" i="5"/>
  <c r="C128" i="5"/>
  <c r="B128" i="5"/>
  <c r="AK127" i="5"/>
  <c r="AJ127" i="5"/>
  <c r="AI127" i="5"/>
  <c r="AH127" i="5"/>
  <c r="AG127" i="5"/>
  <c r="AF127" i="5"/>
  <c r="AE127" i="5"/>
  <c r="AD127" i="5"/>
  <c r="AC127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 a="1"/>
  <c r="E127" i="5"/>
  <c r="D127" i="5"/>
  <c r="C127" i="5"/>
  <c r="B127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 a="1"/>
  <c r="E126" i="5"/>
  <c r="D126" i="5"/>
  <c r="C126" i="5"/>
  <c r="B126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 a="1"/>
  <c r="E125" i="5"/>
  <c r="D125" i="5"/>
  <c r="C125" i="5"/>
  <c r="B125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 a="1"/>
  <c r="E124" i="5"/>
  <c r="D124" i="5"/>
  <c r="C124" i="5"/>
  <c r="B124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 a="1"/>
  <c r="E123" i="5"/>
  <c r="D123" i="5"/>
  <c r="C123" i="5"/>
  <c r="B123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 a="1"/>
  <c r="E122" i="5"/>
  <c r="D122" i="5"/>
  <c r="C122" i="5"/>
  <c r="B122" i="5"/>
  <c r="AK121" i="5"/>
  <c r="AJ121" i="5"/>
  <c r="AI121" i="5"/>
  <c r="AH121" i="5"/>
  <c r="AG121" i="5"/>
  <c r="AF121" i="5"/>
  <c r="AE121" i="5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 a="1"/>
  <c r="E121" i="5"/>
  <c r="D121" i="5"/>
  <c r="C121" i="5"/>
  <c r="B121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 a="1"/>
  <c r="E120" i="5"/>
  <c r="D120" i="5"/>
  <c r="C120" i="5"/>
  <c r="B120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 a="1"/>
  <c r="E119" i="5"/>
  <c r="D119" i="5"/>
  <c r="C119" i="5"/>
  <c r="B119" i="5"/>
  <c r="AK118" i="5"/>
  <c r="AJ118" i="5"/>
  <c r="AI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 a="1"/>
  <c r="E118" i="5"/>
  <c r="D118" i="5"/>
  <c r="C118" i="5"/>
  <c r="B118" i="5"/>
  <c r="AK117" i="5"/>
  <c r="AJ117" i="5"/>
  <c r="AI117" i="5"/>
  <c r="AH117" i="5"/>
  <c r="AG117" i="5"/>
  <c r="AF117" i="5"/>
  <c r="AE117" i="5"/>
  <c r="AD117" i="5"/>
  <c r="AC117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 a="1"/>
  <c r="E117" i="5"/>
  <c r="D117" i="5"/>
  <c r="C117" i="5"/>
  <c r="B117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 a="1"/>
  <c r="E116" i="5"/>
  <c r="D116" i="5"/>
  <c r="C116" i="5"/>
  <c r="B116" i="5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 a="1"/>
  <c r="E115" i="5"/>
  <c r="D115" i="5"/>
  <c r="C115" i="5"/>
  <c r="B115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 a="1"/>
  <c r="E114" i="5"/>
  <c r="D114" i="5"/>
  <c r="C114" i="5"/>
  <c r="B114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 a="1"/>
  <c r="E113" i="5"/>
  <c r="D113" i="5"/>
  <c r="C113" i="5"/>
  <c r="B113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 a="1"/>
  <c r="E112" i="5"/>
  <c r="D112" i="5"/>
  <c r="C112" i="5"/>
  <c r="B112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 a="1"/>
  <c r="E111" i="5"/>
  <c r="D111" i="5"/>
  <c r="C111" i="5"/>
  <c r="B111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 a="1"/>
  <c r="E110" i="5"/>
  <c r="D110" i="5"/>
  <c r="C110" i="5"/>
  <c r="B110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 a="1"/>
  <c r="E109" i="5"/>
  <c r="D109" i="5"/>
  <c r="C109" i="5"/>
  <c r="B109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 a="1"/>
  <c r="E108" i="5"/>
  <c r="D108" i="5"/>
  <c r="C108" i="5"/>
  <c r="B108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 a="1"/>
  <c r="E107" i="5"/>
  <c r="D107" i="5"/>
  <c r="C107" i="5"/>
  <c r="B107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 a="1"/>
  <c r="E106" i="5"/>
  <c r="D106" i="5"/>
  <c r="C106" i="5"/>
  <c r="B106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 a="1"/>
  <c r="E105" i="5"/>
  <c r="D105" i="5"/>
  <c r="C105" i="5"/>
  <c r="B105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 a="1"/>
  <c r="E104" i="5"/>
  <c r="D104" i="5"/>
  <c r="C104" i="5"/>
  <c r="B104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 a="1"/>
  <c r="E103" i="5"/>
  <c r="D103" i="5"/>
  <c r="C103" i="5"/>
  <c r="B103" i="5"/>
  <c r="AK102" i="5"/>
  <c r="AJ102" i="5"/>
  <c r="AI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 a="1"/>
  <c r="E102" i="5"/>
  <c r="D102" i="5"/>
  <c r="C102" i="5"/>
  <c r="B102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 a="1"/>
  <c r="E101" i="5"/>
  <c r="D101" i="5"/>
  <c r="C101" i="5"/>
  <c r="B101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 a="1"/>
  <c r="E100" i="5"/>
  <c r="D100" i="5"/>
  <c r="C100" i="5"/>
  <c r="B100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 s="1"/>
  <c r="E99" i="5" a="1"/>
  <c r="E99" i="5" s="1"/>
  <c r="D99" i="5"/>
  <c r="C99" i="5"/>
  <c r="B99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 s="1"/>
  <c r="E98" i="5" a="1"/>
  <c r="E98" i="5" s="1"/>
  <c r="D98" i="5"/>
  <c r="C98" i="5"/>
  <c r="B98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 s="1"/>
  <c r="E97" i="5" a="1"/>
  <c r="E97" i="5" s="1"/>
  <c r="D97" i="5"/>
  <c r="C97" i="5"/>
  <c r="B97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 s="1"/>
  <c r="E96" i="5" a="1"/>
  <c r="E96" i="5" s="1"/>
  <c r="D96" i="5"/>
  <c r="C96" i="5"/>
  <c r="B96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 s="1"/>
  <c r="E95" i="5" a="1"/>
  <c r="E95" i="5" s="1"/>
  <c r="D95" i="5"/>
  <c r="C95" i="5"/>
  <c r="B95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 s="1"/>
  <c r="E94" i="5" a="1"/>
  <c r="E94" i="5" s="1"/>
  <c r="D94" i="5"/>
  <c r="C94" i="5"/>
  <c r="B94" i="5"/>
  <c r="AK93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 s="1"/>
  <c r="E93" i="5" a="1"/>
  <c r="E93" i="5" s="1"/>
  <c r="D93" i="5"/>
  <c r="C93" i="5"/>
  <c r="B93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 s="1"/>
  <c r="E92" i="5" a="1"/>
  <c r="E92" i="5" s="1"/>
  <c r="D92" i="5"/>
  <c r="C92" i="5"/>
  <c r="B92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 s="1"/>
  <c r="E91" i="5" a="1"/>
  <c r="E91" i="5" s="1"/>
  <c r="D91" i="5"/>
  <c r="C91" i="5"/>
  <c r="B91" i="5"/>
  <c r="AK90" i="5"/>
  <c r="AJ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 s="1"/>
  <c r="E90" i="5" a="1"/>
  <c r="E90" i="5" s="1"/>
  <c r="D90" i="5"/>
  <c r="C90" i="5"/>
  <c r="B90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 s="1"/>
  <c r="E89" i="5" a="1"/>
  <c r="E89" i="5" s="1"/>
  <c r="D89" i="5"/>
  <c r="C89" i="5"/>
  <c r="B89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 s="1"/>
  <c r="E88" i="5" a="1"/>
  <c r="E88" i="5" s="1"/>
  <c r="D88" i="5"/>
  <c r="C88" i="5"/>
  <c r="B88" i="5"/>
  <c r="AK87" i="5"/>
  <c r="AJ87" i="5"/>
  <c r="AI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 s="1"/>
  <c r="E87" i="5" a="1"/>
  <c r="E87" i="5" s="1"/>
  <c r="D87" i="5"/>
  <c r="C87" i="5"/>
  <c r="B87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 s="1"/>
  <c r="E86" i="5" a="1"/>
  <c r="E86" i="5" s="1"/>
  <c r="D86" i="5"/>
  <c r="C86" i="5"/>
  <c r="B86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 s="1"/>
  <c r="E85" i="5" a="1"/>
  <c r="E85" i="5" s="1"/>
  <c r="D85" i="5"/>
  <c r="C85" i="5"/>
  <c r="B85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 s="1"/>
  <c r="E84" i="5" a="1"/>
  <c r="E84" i="5" s="1"/>
  <c r="D84" i="5"/>
  <c r="C84" i="5"/>
  <c r="B84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O83" i="5"/>
  <c r="N83" i="5"/>
  <c r="M83" i="5"/>
  <c r="L83" i="5"/>
  <c r="K83" i="5"/>
  <c r="J83" i="5"/>
  <c r="I83" i="5"/>
  <c r="H83" i="5"/>
  <c r="G83" i="5"/>
  <c r="E83" i="5" a="1"/>
  <c r="E83" i="5"/>
  <c r="D83" i="5"/>
  <c r="C83" i="5"/>
  <c r="B83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 a="1"/>
  <c r="E82" i="5"/>
  <c r="D82" i="5"/>
  <c r="C82" i="5"/>
  <c r="B82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 a="1"/>
  <c r="E81" i="5"/>
  <c r="D81" i="5"/>
  <c r="C81" i="5"/>
  <c r="B81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 a="1"/>
  <c r="E80" i="5"/>
  <c r="D80" i="5"/>
  <c r="C80" i="5"/>
  <c r="B80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 a="1"/>
  <c r="E79" i="5"/>
  <c r="D79" i="5"/>
  <c r="C79" i="5"/>
  <c r="B79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 a="1"/>
  <c r="E78" i="5"/>
  <c r="D78" i="5"/>
  <c r="C78" i="5"/>
  <c r="B78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 a="1"/>
  <c r="E77" i="5"/>
  <c r="D77" i="5"/>
  <c r="C77" i="5"/>
  <c r="B77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 a="1"/>
  <c r="E76" i="5"/>
  <c r="D76" i="5"/>
  <c r="C76" i="5"/>
  <c r="B76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 a="1"/>
  <c r="E75" i="5"/>
  <c r="D75" i="5"/>
  <c r="C75" i="5"/>
  <c r="B75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 a="1"/>
  <c r="E74" i="5"/>
  <c r="D74" i="5"/>
  <c r="C74" i="5"/>
  <c r="B74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 a="1"/>
  <c r="E73" i="5"/>
  <c r="D73" i="5"/>
  <c r="C73" i="5"/>
  <c r="B73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 a="1"/>
  <c r="E72" i="5"/>
  <c r="D72" i="5"/>
  <c r="C72" i="5"/>
  <c r="B72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 a="1"/>
  <c r="E71" i="5"/>
  <c r="D71" i="5"/>
  <c r="C71" i="5"/>
  <c r="B71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 a="1"/>
  <c r="E70" i="5"/>
  <c r="D70" i="5"/>
  <c r="C70" i="5"/>
  <c r="B70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 s="1"/>
  <c r="E69" i="5" a="1"/>
  <c r="E69" i="5" s="1"/>
  <c r="D69" i="5"/>
  <c r="C69" i="5"/>
  <c r="B69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 s="1"/>
  <c r="E68" i="5" a="1"/>
  <c r="E68" i="5" s="1"/>
  <c r="D68" i="5"/>
  <c r="C68" i="5"/>
  <c r="B68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 s="1"/>
  <c r="E67" i="5" a="1"/>
  <c r="E67" i="5" s="1"/>
  <c r="D67" i="5"/>
  <c r="C67" i="5"/>
  <c r="B67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 s="1"/>
  <c r="E66" i="5" a="1"/>
  <c r="E66" i="5" s="1"/>
  <c r="D66" i="5"/>
  <c r="C66" i="5"/>
  <c r="B66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 s="1"/>
  <c r="E65" i="5" a="1"/>
  <c r="E65" i="5" s="1"/>
  <c r="D65" i="5"/>
  <c r="C65" i="5"/>
  <c r="B65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 s="1"/>
  <c r="E64" i="5" a="1"/>
  <c r="E64" i="5" s="1"/>
  <c r="D64" i="5"/>
  <c r="C64" i="5"/>
  <c r="B64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 s="1"/>
  <c r="E63" i="5" a="1"/>
  <c r="E63" i="5" s="1"/>
  <c r="D63" i="5"/>
  <c r="C63" i="5"/>
  <c r="B63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 s="1"/>
  <c r="E62" i="5" a="1"/>
  <c r="E62" i="5" s="1"/>
  <c r="D62" i="5"/>
  <c r="C62" i="5"/>
  <c r="B62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 s="1"/>
  <c r="E61" i="5" a="1"/>
  <c r="E61" i="5" s="1"/>
  <c r="D61" i="5"/>
  <c r="C61" i="5"/>
  <c r="B61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 s="1"/>
  <c r="E60" i="5" a="1"/>
  <c r="E60" i="5" s="1"/>
  <c r="D60" i="5"/>
  <c r="C60" i="5"/>
  <c r="B60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 s="1"/>
  <c r="E59" i="5" a="1"/>
  <c r="E59" i="5" s="1"/>
  <c r="D59" i="5"/>
  <c r="C59" i="5"/>
  <c r="B59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 s="1"/>
  <c r="E58" i="5" a="1"/>
  <c r="E58" i="5" s="1"/>
  <c r="D58" i="5"/>
  <c r="C58" i="5"/>
  <c r="B58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 s="1"/>
  <c r="E57" i="5" a="1"/>
  <c r="E57" i="5" s="1"/>
  <c r="D57" i="5"/>
  <c r="C57" i="5"/>
  <c r="B57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 s="1"/>
  <c r="E56" i="5" a="1"/>
  <c r="E56" i="5" s="1"/>
  <c r="D56" i="5"/>
  <c r="C56" i="5"/>
  <c r="B56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 s="1"/>
  <c r="E55" i="5" a="1"/>
  <c r="E55" i="5" s="1"/>
  <c r="D55" i="5"/>
  <c r="C55" i="5"/>
  <c r="B55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 s="1"/>
  <c r="E54" i="5" a="1"/>
  <c r="E54" i="5" s="1"/>
  <c r="D54" i="5"/>
  <c r="C54" i="5"/>
  <c r="B54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 s="1"/>
  <c r="E53" i="5" a="1"/>
  <c r="E53" i="5" s="1"/>
  <c r="D53" i="5"/>
  <c r="C53" i="5"/>
  <c r="B53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 s="1"/>
  <c r="E52" i="5" a="1"/>
  <c r="E52" i="5" s="1"/>
  <c r="D52" i="5"/>
  <c r="C52" i="5"/>
  <c r="B52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 s="1"/>
  <c r="E51" i="5" a="1"/>
  <c r="E51" i="5" s="1"/>
  <c r="D51" i="5"/>
  <c r="C51" i="5"/>
  <c r="B51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 s="1"/>
  <c r="E50" i="5" a="1"/>
  <c r="E50" i="5" s="1"/>
  <c r="D50" i="5"/>
  <c r="C50" i="5"/>
  <c r="B50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 s="1"/>
  <c r="E49" i="5" a="1"/>
  <c r="E49" i="5" s="1"/>
  <c r="D49" i="5"/>
  <c r="C49" i="5"/>
  <c r="B49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 s="1"/>
  <c r="E48" i="5" a="1"/>
  <c r="E48" i="5" s="1"/>
  <c r="D48" i="5"/>
  <c r="C48" i="5"/>
  <c r="B48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 s="1"/>
  <c r="E47" i="5" a="1"/>
  <c r="E47" i="5" s="1"/>
  <c r="D47" i="5"/>
  <c r="C47" i="5"/>
  <c r="B47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 s="1"/>
  <c r="E46" i="5" a="1"/>
  <c r="E46" i="5" s="1"/>
  <c r="D46" i="5"/>
  <c r="C46" i="5"/>
  <c r="B46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 s="1"/>
  <c r="E45" i="5" a="1"/>
  <c r="E45" i="5" s="1"/>
  <c r="D45" i="5"/>
  <c r="C45" i="5"/>
  <c r="B45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 s="1"/>
  <c r="E44" i="5" a="1"/>
  <c r="E44" i="5" s="1"/>
  <c r="D44" i="5"/>
  <c r="C44" i="5"/>
  <c r="B44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 s="1"/>
  <c r="E43" i="5" a="1"/>
  <c r="E43" i="5" s="1"/>
  <c r="D43" i="5"/>
  <c r="C43" i="5"/>
  <c r="B43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 s="1"/>
  <c r="E42" i="5" a="1"/>
  <c r="E42" i="5" s="1"/>
  <c r="D42" i="5"/>
  <c r="C42" i="5"/>
  <c r="B42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 s="1"/>
  <c r="E41" i="5" a="1"/>
  <c r="E41" i="5" s="1"/>
  <c r="D41" i="5"/>
  <c r="C41" i="5"/>
  <c r="B41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 s="1"/>
  <c r="E40" i="5" a="1"/>
  <c r="E40" i="5" s="1"/>
  <c r="D40" i="5"/>
  <c r="C40" i="5"/>
  <c r="B40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 s="1"/>
  <c r="E39" i="5" a="1"/>
  <c r="E39" i="5" s="1"/>
  <c r="D39" i="5"/>
  <c r="C39" i="5"/>
  <c r="B39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 s="1"/>
  <c r="E38" i="5" a="1"/>
  <c r="E38" i="5" s="1"/>
  <c r="D38" i="5"/>
  <c r="C38" i="5"/>
  <c r="B38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 s="1"/>
  <c r="E37" i="5" a="1"/>
  <c r="E37" i="5" s="1"/>
  <c r="D37" i="5"/>
  <c r="C37" i="5"/>
  <c r="B37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 s="1"/>
  <c r="E36" i="5" a="1"/>
  <c r="E36" i="5" s="1"/>
  <c r="D36" i="5"/>
  <c r="C36" i="5"/>
  <c r="B36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 s="1"/>
  <c r="E35" i="5" a="1"/>
  <c r="E35" i="5" s="1"/>
  <c r="D35" i="5"/>
  <c r="C35" i="5"/>
  <c r="B35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 s="1"/>
  <c r="E34" i="5" a="1"/>
  <c r="E34" i="5" s="1"/>
  <c r="D34" i="5"/>
  <c r="C34" i="5"/>
  <c r="B34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 s="1"/>
  <c r="E33" i="5" a="1"/>
  <c r="E33" i="5" s="1"/>
  <c r="D33" i="5"/>
  <c r="C33" i="5"/>
  <c r="B33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 s="1"/>
  <c r="E32" i="5" a="1"/>
  <c r="E32" i="5" s="1"/>
  <c r="D32" i="5"/>
  <c r="C32" i="5"/>
  <c r="B32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 s="1"/>
  <c r="E31" i="5" a="1"/>
  <c r="E31" i="5" s="1"/>
  <c r="D31" i="5"/>
  <c r="C31" i="5"/>
  <c r="B31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 s="1"/>
  <c r="E30" i="5" a="1"/>
  <c r="E30" i="5" s="1"/>
  <c r="D30" i="5"/>
  <c r="C30" i="5"/>
  <c r="B30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 s="1"/>
  <c r="E29" i="5" a="1"/>
  <c r="E29" i="5" s="1"/>
  <c r="D29" i="5"/>
  <c r="C29" i="5"/>
  <c r="B29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 s="1"/>
  <c r="E28" i="5" a="1"/>
  <c r="E28" i="5" s="1"/>
  <c r="D28" i="5"/>
  <c r="C28" i="5"/>
  <c r="B28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 s="1"/>
  <c r="E27" i="5" a="1"/>
  <c r="E27" i="5" s="1"/>
  <c r="D27" i="5"/>
  <c r="C27" i="5"/>
  <c r="B27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E26" i="5" a="1"/>
  <c r="E26" i="5"/>
  <c r="D26" i="5"/>
  <c r="C26" i="5"/>
  <c r="B26" i="5"/>
  <c r="H25" i="5"/>
  <c r="G25" i="5"/>
  <c r="E25" i="5" a="1"/>
  <c r="E25" i="5"/>
  <c r="D25" i="5"/>
  <c r="C25" i="5"/>
  <c r="B25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 a="1"/>
  <c r="E24" i="5"/>
  <c r="D24" i="5"/>
  <c r="C24" i="5"/>
  <c r="B24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 a="1"/>
  <c r="E23" i="5"/>
  <c r="D23" i="5"/>
  <c r="C23" i="5"/>
  <c r="B23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 a="1"/>
  <c r="E22" i="5"/>
  <c r="D22" i="5"/>
  <c r="C22" i="5"/>
  <c r="B22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 a="1"/>
  <c r="E21" i="5"/>
  <c r="D21" i="5"/>
  <c r="C21" i="5"/>
  <c r="B21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 a="1"/>
  <c r="E20" i="5"/>
  <c r="D20" i="5"/>
  <c r="C20" i="5"/>
  <c r="B20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 a="1"/>
  <c r="E19" i="5"/>
  <c r="D19" i="5"/>
  <c r="C19" i="5"/>
  <c r="B19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 a="1"/>
  <c r="E18" i="5"/>
  <c r="D18" i="5"/>
  <c r="C18" i="5"/>
  <c r="B18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 a="1"/>
  <c r="E17" i="5"/>
  <c r="D17" i="5"/>
  <c r="C17" i="5"/>
  <c r="B17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 a="1"/>
  <c r="E16" i="5"/>
  <c r="D16" i="5"/>
  <c r="C16" i="5"/>
  <c r="B16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 a="1"/>
  <c r="E15" i="5"/>
  <c r="D15" i="5"/>
  <c r="C15" i="5"/>
  <c r="B15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 a="1"/>
  <c r="E14" i="5"/>
  <c r="D14" i="5"/>
  <c r="C14" i="5"/>
  <c r="B14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 a="1"/>
  <c r="E13" i="5"/>
  <c r="D13" i="5"/>
  <c r="C13" i="5"/>
  <c r="B13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 a="1"/>
  <c r="E12" i="5"/>
  <c r="D12" i="5"/>
  <c r="C12" i="5"/>
  <c r="B12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 a="1"/>
  <c r="E11" i="5"/>
  <c r="D11" i="5"/>
  <c r="C11" i="5"/>
  <c r="B11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 a="1"/>
  <c r="E10" i="5"/>
  <c r="D10" i="5"/>
  <c r="C10" i="5"/>
  <c r="B10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 a="1"/>
  <c r="E9" i="5"/>
  <c r="D9" i="5"/>
  <c r="C9" i="5"/>
  <c r="B9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 a="1"/>
  <c r="E8" i="5"/>
  <c r="D8" i="5"/>
  <c r="C8" i="5"/>
  <c r="B8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 a="1"/>
  <c r="E7" i="5"/>
  <c r="D7" i="5"/>
  <c r="C7" i="5"/>
  <c r="B7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 a="1"/>
  <c r="E6" i="5"/>
  <c r="D6" i="5"/>
  <c r="C6" i="5"/>
  <c r="B6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 a="1"/>
  <c r="E5" i="5"/>
  <c r="D5" i="5"/>
  <c r="C5" i="5"/>
  <c r="B5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 a="1"/>
  <c r="E4" i="5"/>
  <c r="D4" i="5"/>
  <c r="C4" i="5"/>
  <c r="B4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 a="1"/>
  <c r="E3" i="5"/>
  <c r="D3" i="5"/>
  <c r="C3" i="5"/>
  <c r="B3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 a="1"/>
  <c r="E2" i="5"/>
  <c r="D2" i="5"/>
  <c r="C2" i="5"/>
  <c r="B2" i="5"/>
  <c r="M140" i="5" l="1"/>
  <c r="L140" i="5"/>
  <c r="K140" i="5"/>
  <c r="T140" i="5"/>
  <c r="I140" i="5"/>
  <c r="O140" i="5"/>
  <c r="N140" i="5"/>
  <c r="H239" i="6"/>
  <c r="J140" i="5"/>
  <c r="H140" i="5"/>
  <c r="G140" i="5"/>
  <c r="S140" i="5"/>
  <c r="P140" i="5"/>
  <c r="Q140" i="5"/>
  <c r="R140" i="5"/>
  <c r="T83" i="5"/>
  <c r="S83" i="5"/>
  <c r="H157" i="6"/>
  <c r="R83" i="5"/>
  <c r="Q83" i="5"/>
  <c r="P83" i="5"/>
  <c r="M26" i="5"/>
  <c r="N26" i="5"/>
  <c r="O26" i="5"/>
  <c r="H50" i="6"/>
  <c r="Q26" i="5"/>
  <c r="R26" i="5"/>
  <c r="T26" i="5"/>
  <c r="G26" i="5"/>
  <c r="S26" i="5"/>
  <c r="P26" i="5"/>
  <c r="H26" i="5"/>
  <c r="I26" i="5"/>
  <c r="J26" i="5"/>
  <c r="K26" i="5"/>
  <c r="L26" i="5"/>
  <c r="H48" i="6"/>
  <c r="AE25" i="5"/>
  <c r="I25" i="5"/>
  <c r="AG25" i="5"/>
  <c r="AH25" i="5"/>
  <c r="AI25" i="5"/>
  <c r="R25" i="5"/>
  <c r="S25" i="5"/>
  <c r="T25" i="5"/>
  <c r="U25" i="5"/>
  <c r="V25" i="5"/>
  <c r="AJ25" i="5"/>
  <c r="X25" i="5"/>
  <c r="Y25" i="5"/>
  <c r="Z25" i="5"/>
  <c r="AA25" i="5"/>
  <c r="AK25" i="5"/>
  <c r="J25" i="5"/>
  <c r="K25" i="5"/>
  <c r="L25" i="5"/>
  <c r="M25" i="5"/>
  <c r="O25" i="5"/>
  <c r="W25" i="5"/>
  <c r="AF25" i="5"/>
  <c r="N25" i="5"/>
  <c r="AB25" i="5"/>
  <c r="P25" i="5"/>
  <c r="Q25" i="5"/>
  <c r="AC25" i="5"/>
  <c r="AD25" i="5"/>
  <c r="I7" i="4" l="1" a="1"/>
  <c r="I7" i="4" s="1"/>
  <c r="G174" i="5"/>
  <c r="F7" i="4" s="1"/>
  <c r="G175" i="5"/>
  <c r="G7" i="4" s="1"/>
  <c r="H7" i="4" s="1"/>
  <c r="F26" i="5"/>
  <c r="I8" i="4" a="1"/>
  <c r="I8" i="4" s="1"/>
  <c r="H175" i="5"/>
  <c r="G8" i="4" s="1"/>
  <c r="H8" i="4" s="1"/>
  <c r="H174" i="5"/>
  <c r="F8" i="4" s="1"/>
  <c r="I31" i="4" a="1"/>
  <c r="I31" i="4" s="1"/>
  <c r="AE175" i="5"/>
  <c r="G31" i="4" s="1"/>
  <c r="H31" i="4" s="1"/>
  <c r="AE174" i="5"/>
  <c r="F31" i="4" s="1"/>
  <c r="I9" i="4" a="1"/>
  <c r="I9" i="4" s="1"/>
  <c r="I175" i="5"/>
  <c r="G9" i="4" s="1"/>
  <c r="H9" i="4" s="1"/>
  <c r="I174" i="5"/>
  <c r="F9" i="4" s="1"/>
  <c r="F25" i="5"/>
  <c r="I33" i="4" a="1"/>
  <c r="I33" i="4" s="1"/>
  <c r="AG174" i="5"/>
  <c r="F33" i="4" s="1"/>
  <c r="AG175" i="5"/>
  <c r="G33" i="4" s="1"/>
  <c r="H33" i="4" s="1"/>
  <c r="I34" i="4" a="1"/>
  <c r="I34" i="4" s="1"/>
  <c r="AH175" i="5"/>
  <c r="G34" i="4" s="1"/>
  <c r="H34" i="4" s="1"/>
  <c r="AH174" i="5"/>
  <c r="F34" i="4" s="1"/>
  <c r="I35" i="4" a="1"/>
  <c r="I35" i="4" s="1"/>
  <c r="AI174" i="5"/>
  <c r="F35" i="4" s="1"/>
  <c r="AI175" i="5"/>
  <c r="G35" i="4" s="1"/>
  <c r="H35" i="4" s="1"/>
  <c r="I18" i="4" a="1"/>
  <c r="I18" i="4" s="1"/>
  <c r="R174" i="5"/>
  <c r="F18" i="4" s="1"/>
  <c r="R175" i="5"/>
  <c r="G18" i="4" s="1"/>
  <c r="H18" i="4" s="1"/>
  <c r="I19" i="4" a="1"/>
  <c r="I19" i="4" s="1"/>
  <c r="S175" i="5"/>
  <c r="G19" i="4" s="1"/>
  <c r="H19" i="4" s="1"/>
  <c r="S174" i="5"/>
  <c r="F19" i="4" s="1"/>
  <c r="I20" i="4" a="1"/>
  <c r="I20" i="4" s="1"/>
  <c r="T175" i="5"/>
  <c r="G20" i="4" s="1"/>
  <c r="H20" i="4" s="1"/>
  <c r="T174" i="5"/>
  <c r="F20" i="4" s="1"/>
  <c r="I21" i="4" a="1"/>
  <c r="I21" i="4" s="1"/>
  <c r="U174" i="5"/>
  <c r="F21" i="4" s="1"/>
  <c r="U175" i="5"/>
  <c r="G21" i="4" s="1"/>
  <c r="H21" i="4" s="1"/>
  <c r="I22" i="4" a="1"/>
  <c r="I22" i="4" s="1"/>
  <c r="V174" i="5"/>
  <c r="F22" i="4" s="1"/>
  <c r="V175" i="5"/>
  <c r="G22" i="4" s="1"/>
  <c r="H22" i="4" s="1"/>
  <c r="I36" i="4" a="1"/>
  <c r="I36" i="4" s="1"/>
  <c r="AJ175" i="5"/>
  <c r="G36" i="4" s="1"/>
  <c r="H36" i="4" s="1"/>
  <c r="AJ174" i="5"/>
  <c r="F36" i="4" s="1"/>
  <c r="I24" i="4" a="1"/>
  <c r="I24" i="4" s="1"/>
  <c r="X175" i="5"/>
  <c r="G24" i="4" s="1"/>
  <c r="H24" i="4" s="1"/>
  <c r="X174" i="5"/>
  <c r="F24" i="4" s="1"/>
  <c r="I25" i="4" a="1"/>
  <c r="I25" i="4" s="1"/>
  <c r="Y174" i="5"/>
  <c r="F25" i="4" s="1"/>
  <c r="Y175" i="5"/>
  <c r="G25" i="4" s="1"/>
  <c r="H25" i="4" s="1"/>
  <c r="I26" i="4" a="1"/>
  <c r="I26" i="4" s="1"/>
  <c r="Z174" i="5"/>
  <c r="F26" i="4" s="1"/>
  <c r="Z175" i="5"/>
  <c r="G26" i="4" s="1"/>
  <c r="H26" i="4" s="1"/>
  <c r="I27" i="4" a="1"/>
  <c r="I27" i="4" s="1"/>
  <c r="AA175" i="5"/>
  <c r="G27" i="4" s="1"/>
  <c r="H27" i="4" s="1"/>
  <c r="AA174" i="5"/>
  <c r="F27" i="4" s="1"/>
  <c r="I37" i="4" a="1"/>
  <c r="I37" i="4" s="1"/>
  <c r="AK174" i="5"/>
  <c r="F37" i="4" s="1"/>
  <c r="AK175" i="5"/>
  <c r="G37" i="4" s="1"/>
  <c r="H37" i="4" s="1"/>
  <c r="I10" i="4" a="1"/>
  <c r="I10" i="4" s="1"/>
  <c r="J174" i="5"/>
  <c r="F10" i="4" s="1"/>
  <c r="J175" i="5"/>
  <c r="G10" i="4" s="1"/>
  <c r="H10" i="4" s="1"/>
  <c r="I11" i="4" a="1"/>
  <c r="I11" i="4" s="1"/>
  <c r="K175" i="5"/>
  <c r="G11" i="4" s="1"/>
  <c r="H11" i="4" s="1"/>
  <c r="K174" i="5"/>
  <c r="F11" i="4" s="1"/>
  <c r="I12" i="4" a="1"/>
  <c r="I12" i="4" s="1"/>
  <c r="L175" i="5"/>
  <c r="G12" i="4" s="1"/>
  <c r="H12" i="4" s="1"/>
  <c r="L174" i="5"/>
  <c r="F12" i="4" s="1"/>
  <c r="I13" i="4" a="1"/>
  <c r="I13" i="4" s="1"/>
  <c r="M174" i="5"/>
  <c r="F13" i="4" s="1"/>
  <c r="M175" i="5"/>
  <c r="G13" i="4" s="1"/>
  <c r="H13" i="4" s="1"/>
  <c r="I15" i="4" a="1"/>
  <c r="I15" i="4" s="1"/>
  <c r="O175" i="5"/>
  <c r="G15" i="4" s="1"/>
  <c r="H15" i="4" s="1"/>
  <c r="O174" i="5"/>
  <c r="F15" i="4" s="1"/>
  <c r="I23" i="4" a="1"/>
  <c r="I23" i="4" s="1"/>
  <c r="W175" i="5"/>
  <c r="G23" i="4" s="1"/>
  <c r="H23" i="4" s="1"/>
  <c r="W174" i="5"/>
  <c r="F23" i="4" s="1"/>
  <c r="I32" i="4" a="1"/>
  <c r="I32" i="4" s="1"/>
  <c r="AF174" i="5"/>
  <c r="F32" i="4" s="1"/>
  <c r="AF175" i="5"/>
  <c r="G32" i="4" s="1"/>
  <c r="H32" i="4" s="1"/>
  <c r="I14" i="4" a="1"/>
  <c r="I14" i="4" s="1"/>
  <c r="N174" i="5"/>
  <c r="F14" i="4" s="1"/>
  <c r="N175" i="5"/>
  <c r="G14" i="4" s="1"/>
  <c r="H14" i="4" s="1"/>
  <c r="I28" i="4" a="1"/>
  <c r="I28" i="4" s="1"/>
  <c r="AB175" i="5"/>
  <c r="G28" i="4" s="1"/>
  <c r="H28" i="4" s="1"/>
  <c r="AB174" i="5"/>
  <c r="F28" i="4" s="1"/>
  <c r="I16" i="4" a="1"/>
  <c r="I16" i="4" s="1"/>
  <c r="P174" i="5"/>
  <c r="F16" i="4" s="1"/>
  <c r="P175" i="5"/>
  <c r="G16" i="4" s="1"/>
  <c r="H16" i="4" s="1"/>
  <c r="I17" i="4" a="1"/>
  <c r="I17" i="4" s="1"/>
  <c r="Q174" i="5"/>
  <c r="F17" i="4" s="1"/>
  <c r="Q175" i="5"/>
  <c r="G17" i="4" s="1"/>
  <c r="H17" i="4" s="1"/>
  <c r="I29" i="4" a="1"/>
  <c r="I29" i="4" s="1"/>
  <c r="AC175" i="5"/>
  <c r="G29" i="4" s="1"/>
  <c r="H29" i="4" s="1"/>
  <c r="AC174" i="5"/>
  <c r="F29" i="4" s="1"/>
  <c r="I30" i="4" a="1"/>
  <c r="I30" i="4" s="1"/>
  <c r="AD174" i="5"/>
  <c r="F30" i="4" s="1"/>
  <c r="AD175" i="5"/>
  <c r="G30" i="4" s="1"/>
  <c r="H30" i="4" s="1"/>
  <c r="F83" i="5"/>
  <c r="F140" i="5"/>
  <c r="F4" i="4" l="1"/>
  <c r="I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 Clark</author>
  </authors>
  <commentList>
    <comment ref="A5" authorId="0" shapeId="0" xr:uid="{1AF9D401-CD23-1A48-9DB4-6585AEEC1836}">
      <text>
        <r>
          <rPr>
            <b/>
            <sz val="10"/>
            <color rgb="FF000000"/>
            <rFont val="Tahoma"/>
            <family val="2"/>
          </rPr>
          <t>Rob Clark:</t>
        </r>
        <r>
          <rPr>
            <sz val="10"/>
            <color rgb="FF000000"/>
            <rFont val="Tahoma"/>
            <family val="2"/>
          </rPr>
          <t xml:space="preserve">
Source: Advantedge Operations KPI Catalog v9.xlsx (KPI Catalog tab), uploaded 2026-09-28. Columns A-E and J from v9; Status, closest match, gap, report need and proposed Frequency/Tier/Priority are Claude's mapping against KPI_Master.</t>
        </r>
      </text>
    </comment>
  </commentList>
</comments>
</file>

<file path=xl/sharedStrings.xml><?xml version="1.0" encoding="utf-8"?>
<sst xmlns="http://schemas.openxmlformats.org/spreadsheetml/2006/main" count="3181" uniqueCount="1438">
  <si>
    <t>Sr. No.</t>
  </si>
  <si>
    <t>KPI ID</t>
  </si>
  <si>
    <t>Department</t>
  </si>
  <si>
    <t>KPI Name</t>
  </si>
  <si>
    <t>Formula</t>
  </si>
  <si>
    <t>Source System</t>
  </si>
  <si>
    <t>Source Documents / Records</t>
  </si>
  <si>
    <t>Frequency</t>
  </si>
  <si>
    <t>Direction</t>
  </si>
  <si>
    <t>Dashboard Tier</t>
  </si>
  <si>
    <t>Adoption Priority</t>
  </si>
  <si>
    <t>Priority Rationale</t>
  </si>
  <si>
    <t>Found in Other Files</t>
  </si>
  <si>
    <t>DINF-01</t>
  </si>
  <si>
    <t>Dining / Food Service</t>
  </si>
  <si>
    <t>Raw Food Cost per Resident Day (PRD)</t>
  </si>
  <si>
    <t>Total Raw Food Purchase Cost / Total Resident Days</t>
  </si>
  <si>
    <t>Dining/Food service system, Finance GL</t>
  </si>
  <si>
    <t>Vendor invoices; Inventory count sheets; Daily census report</t>
  </si>
  <si>
    <t>Monthly</t>
  </si>
  <si>
    <t>Lower is better</t>
  </si>
  <si>
    <t>Executive</t>
  </si>
  <si>
    <t>1 - Core</t>
  </si>
  <si>
    <t>Largest controllable non-labour cost</t>
  </si>
  <si>
    <t>Both files</t>
  </si>
  <si>
    <t>DINF-02</t>
  </si>
  <si>
    <t>Total Dining Cost per Resident Day</t>
  </si>
  <si>
    <t>(Food Cost + Dining Labor + Supplies) / Total Resident Days</t>
  </si>
  <si>
    <t>Finance GL, Payroll</t>
  </si>
  <si>
    <t>GL department expense report; Payroll register; Census report</t>
  </si>
  <si>
    <t>2 - Standard</t>
  </si>
  <si>
    <t>Explains movement in a Tier 1 KPI - add in phase 2</t>
  </si>
  <si>
    <t>DINF-03</t>
  </si>
  <si>
    <t>Dining Labor as % of Dining Expense</t>
  </si>
  <si>
    <t>(Dining Labor Cost / Total Dining Department Cost) * 100</t>
  </si>
  <si>
    <t>Payroll, Finance GL</t>
  </si>
  <si>
    <t>Payroll register; Department P&amp;L</t>
  </si>
  <si>
    <t>Operational</t>
  </si>
  <si>
    <t>Cross-Source only</t>
  </si>
  <si>
    <t>DINF-04</t>
  </si>
  <si>
    <t>Meal Participation Rate</t>
  </si>
  <si>
    <t>(Meals Actually Served / Meals Forecast for Census) * 100</t>
  </si>
  <si>
    <t>Dining POS / meal tracking system</t>
  </si>
  <si>
    <t>Meal count sheets; POS transaction log; Census report</t>
  </si>
  <si>
    <t>Weekly</t>
  </si>
  <si>
    <t>Higher is better</t>
  </si>
  <si>
    <t>Advantedge only</t>
  </si>
  <si>
    <t>DINF-06</t>
  </si>
  <si>
    <t>Resident Dining Satisfaction Score</t>
  </si>
  <si>
    <t>Sum of Dining Satisfaction Ratings / Number of Responses</t>
  </si>
  <si>
    <t>Survey platform, Resident engagement system</t>
  </si>
  <si>
    <t>Resident satisfaction survey; Food committee minutes; Comment cards</t>
  </si>
  <si>
    <t>Quarterly</t>
  </si>
  <si>
    <t>Drives referrals and retention</t>
  </si>
  <si>
    <t>DINF-07</t>
  </si>
  <si>
    <t>Therapeutic Diet Accuracy Rate</t>
  </si>
  <si>
    <t>(Trays Matching Prescribed Diet Order / Total Trays Audited) * 100</t>
  </si>
  <si>
    <t>PCC (diet orders), Dining system</t>
  </si>
  <si>
    <t>Diet order report; Tray line audit sheet; Dietitian audit log</t>
  </si>
  <si>
    <t>DINF-08</t>
  </si>
  <si>
    <t>Food Safety / Sanitation Audit Score</t>
  </si>
  <si>
    <t>(Points Earned on Sanitation Audit / Total Possible Points) * 100</t>
  </si>
  <si>
    <t>Compliance/QAPI system</t>
  </si>
  <si>
    <t>Health department inspection report; Internal sanitation audit; Temperature logs</t>
  </si>
  <si>
    <t>DINF-12</t>
  </si>
  <si>
    <t>Nutritional Assessment Completion Rate</t>
  </si>
  <si>
    <t>(Nutritional Assessments Completed On Time / Nutritional Assessments Due) * 100</t>
  </si>
  <si>
    <t>PCC (dietitian assessments), Dining system</t>
  </si>
  <si>
    <t>Dietitian assessment records; MDS Section K; Admission nutrition screen</t>
  </si>
  <si>
    <t>Regulatory - survey exposure (F-692)</t>
  </si>
  <si>
    <t>Advantedge KPI Matrix v8</t>
  </si>
  <si>
    <t>DINF-13</t>
  </si>
  <si>
    <t>Hydration Monitoring Compliance Rate</t>
  </si>
  <si>
    <t>(At-Risk Residents Monitored per Protocol / Residents Requiring Hydration Monitoring) * 100</t>
  </si>
  <si>
    <t>PCC, Dining system</t>
  </si>
  <si>
    <t>Intake &amp; output records; Hydration risk list; Care plans</t>
  </si>
  <si>
    <t>DINF-14</t>
  </si>
  <si>
    <t>Raw Food Cost per Meal</t>
  </si>
  <si>
    <t>Total Raw Food Purchase Cost / Total Meals Served</t>
  </si>
  <si>
    <t>Food purchase invoices; Meal count / POS report</t>
  </si>
  <si>
    <t>Target range</t>
  </si>
  <si>
    <t>Largest controllable non-labour cost (per-meal view of DINF-01)</t>
  </si>
  <si>
    <t>Cross-Source Benchmark 2025</t>
  </si>
  <si>
    <t>DINF-15</t>
  </si>
  <si>
    <t>Meals per Labor Hour</t>
  </si>
  <si>
    <t>Total Meals Served / Total Dining Labor Hours</t>
  </si>
  <si>
    <t>Payroll / Time &amp; Attendance, Dining POS</t>
  </si>
  <si>
    <t>Dining timecards; Meal count / POS report</t>
  </si>
  <si>
    <t>Explains movement in a Tier 1 KPI - add in phase 2 (DINF-03)</t>
  </si>
  <si>
    <t>FINA-01</t>
  </si>
  <si>
    <t>Finance / Accounting</t>
  </si>
  <si>
    <t>Occupancy Rate</t>
  </si>
  <si>
    <t>(Occupied Units / Total Available Units) * 100</t>
  </si>
  <si>
    <t>CRM, Finance / Billing system</t>
  </si>
  <si>
    <t>Daily census report; Unit inventory schedule; Rent roll</t>
  </si>
  <si>
    <t>Daily</t>
  </si>
  <si>
    <t>The single number the business runs on</t>
  </si>
  <si>
    <t>FINA-03</t>
  </si>
  <si>
    <t>Revenue per Occupied Unit (RevPOU)</t>
  </si>
  <si>
    <t>Total Resident Revenue / Number of Occupied Units</t>
  </si>
  <si>
    <t>Billing system, Finance GL</t>
  </si>
  <si>
    <t>Rent roll; Revenue GL detail; Occupancy report</t>
  </si>
  <si>
    <t>Core revenue driver</t>
  </si>
  <si>
    <t>FINA-04</t>
  </si>
  <si>
    <t>Net Operating Income (NOI) Margin</t>
  </si>
  <si>
    <t>((Total Revenue - Total Operating Expense) / Total Revenue) * 100</t>
  </si>
  <si>
    <t>Finance GL / ERP</t>
  </si>
  <si>
    <t>Monthly P&amp;L; Trial balance; Budget file</t>
  </si>
  <si>
    <t>Core profitability measure</t>
  </si>
  <si>
    <t>FINA-06</t>
  </si>
  <si>
    <t>Days in Accounts Receivable (DSO)</t>
  </si>
  <si>
    <t>(Accounts Receivable Balance / Total Credit Revenue) * Number of Days in Period</t>
  </si>
  <si>
    <t>Billing / AR system</t>
  </si>
  <si>
    <t>AR aging report; Revenue GL; Payer remittance advices</t>
  </si>
  <si>
    <t>Cash conversion / working capital</t>
  </si>
  <si>
    <t>FINA-07</t>
  </si>
  <si>
    <t>AR Over 90 Days Percentage</t>
  </si>
  <si>
    <t>(AR Balance Over 90 Days / Total AR Balance) * 100</t>
  </si>
  <si>
    <t>AR aging report; Collection notes</t>
  </si>
  <si>
    <t>FINA-08</t>
  </si>
  <si>
    <t>Bad Debt as % of Revenue</t>
  </si>
  <si>
    <t>(Bad Debt Write-Offs / Total Revenue) * 100</t>
  </si>
  <si>
    <t>Finance GL</t>
  </si>
  <si>
    <t>Write-off approval forms; GL bad debt account detail</t>
  </si>
  <si>
    <t>FINA-10</t>
  </si>
  <si>
    <t>Budget Variance Percentage</t>
  </si>
  <si>
    <t>((Actual Amount - Budgeted Amount) / Budgeted Amount) * 100</t>
  </si>
  <si>
    <t>Budget file; Monthly P&amp;L; Variance commentary</t>
  </si>
  <si>
    <t>Budget control</t>
  </si>
  <si>
    <t>FINA-11</t>
  </si>
  <si>
    <t>Labor Cost as % of Revenue</t>
  </si>
  <si>
    <t>(Total Labor Cost including Benefits / Total Revenue) * 100</t>
  </si>
  <si>
    <t>Payroll register; Benefits invoices; Revenue GL</t>
  </si>
  <si>
    <t>Largest single expense line</t>
  </si>
  <si>
    <t>FINA-12</t>
  </si>
  <si>
    <t>Days Cash on Hand</t>
  </si>
  <si>
    <t>Unrestricted Cash and Investments / ((Total Operating Expense - Depreciation) / 365)</t>
  </si>
  <si>
    <t>Finance GL / Treasury</t>
  </si>
  <si>
    <t>Balance sheet; Bank statements; P&amp;L</t>
  </si>
  <si>
    <t>Solvency / covenant exposure</t>
  </si>
  <si>
    <t>FINA-13</t>
  </si>
  <si>
    <t>Debt Service Coverage Ratio (DSCR)</t>
  </si>
  <si>
    <t>Net Operating Income / Total Annual Debt Service</t>
  </si>
  <si>
    <t>Loan amortization schedule; P&amp;L; Covenant compliance certificate</t>
  </si>
  <si>
    <t>FINA-16</t>
  </si>
  <si>
    <t>Payer Mix Percentage</t>
  </si>
  <si>
    <t>(Resident Days by Payer Type / Total Resident Days) * 100</t>
  </si>
  <si>
    <t>Billing system, PCC</t>
  </si>
  <si>
    <t>Census by payer; Rent roll; Medicaid/Medicare eligibility records</t>
  </si>
  <si>
    <t>Context (monitor)</t>
  </si>
  <si>
    <t>FINA-18</t>
  </si>
  <si>
    <t>Skilled Revenue per Patient Day</t>
  </si>
  <si>
    <t>Total Skilled Revenue / Total Skilled Patient Days</t>
  </si>
  <si>
    <t>Billing revenue by payer; Skilled census register</t>
  </si>
  <si>
    <t>Core revenue driver (SNF)</t>
  </si>
  <si>
    <t>FINA-19</t>
  </si>
  <si>
    <t>SNF Occupancy - 5-Star Benchmark</t>
  </si>
  <si>
    <t>(Occupied SNF Beds / Available SNF Beds) * 100  [compare to 5-star facilities]</t>
  </si>
  <si>
    <t>PCC, Census system</t>
  </si>
  <si>
    <t>Census register; Licensed bed count</t>
  </si>
  <si>
    <t>3 - Optional</t>
  </si>
  <si>
    <t>Benchmark reference for FINA-01 - not a separate KPI</t>
  </si>
  <si>
    <t>FINA-20</t>
  </si>
  <si>
    <t>SNF Occupancy - 1-Star Benchmark</t>
  </si>
  <si>
    <t>(Occupied SNF Beds / Available SNF Beds) * 100  [compare to 1-star facilities]</t>
  </si>
  <si>
    <t>FINA-21</t>
  </si>
  <si>
    <t>SNF Net Margin</t>
  </si>
  <si>
    <t>(Net Income / Total Revenue) * 100</t>
  </si>
  <si>
    <t>Income statement</t>
  </si>
  <si>
    <t>Core profitability measure (after non-operating items)</t>
  </si>
  <si>
    <t>FINA-22</t>
  </si>
  <si>
    <t>SNF Operating Margin - 5-Star Benchmark</t>
  </si>
  <si>
    <t>(Operating Income / Total Revenue) * 100  [compare to 5-star facilities]</t>
  </si>
  <si>
    <t>Benchmark reference for FINA-04 - not a separate KPI</t>
  </si>
  <si>
    <t>FINA-23</t>
  </si>
  <si>
    <t>SNF Operating Margin - 1-Star Benchmark</t>
  </si>
  <si>
    <t>(Operating Income / Total Revenue) * 100  [compare to 1-star facilities]</t>
  </si>
  <si>
    <t>FINA-24</t>
  </si>
  <si>
    <t>EBITDAR Margin (IL)</t>
  </si>
  <si>
    <t>(EBITDAR / Total Revenue) * 100  where EBITDAR = Net Income + Interest + Taxes + Depreciation + Amortisation + Rent</t>
  </si>
  <si>
    <t>Income statement; Lease schedule</t>
  </si>
  <si>
    <t>Core profitability measure - for-profit / leased operators</t>
  </si>
  <si>
    <t>FINA-25</t>
  </si>
  <si>
    <t>Days in Accounts Payable (DPO)</t>
  </si>
  <si>
    <t>Accounts Payable Balance / ((Total Operating Expense - Depreciation) / 365)</t>
  </si>
  <si>
    <t>Finance GL / ERP, AP system</t>
  </si>
  <si>
    <t>AP aging report; Income statement</t>
  </si>
  <si>
    <t>Explains movement in a Tier 1 KPI - add in phase 2 (FINA-12)</t>
  </si>
  <si>
    <t>FINA-26</t>
  </si>
  <si>
    <t>Capital Expenditure as % of Depreciation</t>
  </si>
  <si>
    <t>(Capital Expenditures / Depreciation Expense) * 100</t>
  </si>
  <si>
    <t>Finance GL / ERP, Fixed-asset register</t>
  </si>
  <si>
    <t>Cash-flow statement; Fixed-asset register</t>
  </si>
  <si>
    <t>Annual</t>
  </si>
  <si>
    <t>Leading indicator of building failure - reinvestment below 100% ages the plant</t>
  </si>
  <si>
    <t>FINA-27</t>
  </si>
  <si>
    <t>Capital Expenditure per Available Unit</t>
  </si>
  <si>
    <t>Total Capital Expenditures / Total Available Units</t>
  </si>
  <si>
    <t>Cash-flow statement; Unit inventory</t>
  </si>
  <si>
    <t>Diagnostic - pull ad hoc when a Tier 1 KPI moves</t>
  </si>
  <si>
    <t>FINA-28</t>
  </si>
  <si>
    <t>Management Fees as % of Revenue</t>
  </si>
  <si>
    <t>(Management Fees / Total Revenue) * 100</t>
  </si>
  <si>
    <t>Management agreement; Income statement</t>
  </si>
  <si>
    <t>Programme-dependent - only for managed communities</t>
  </si>
  <si>
    <t>FINA-29</t>
  </si>
  <si>
    <t>IT Expense as % of Revenue</t>
  </si>
  <si>
    <t>(Total IT Expense / Total Revenue) * 100</t>
  </si>
  <si>
    <t>IT cost centre; Income statement</t>
  </si>
  <si>
    <t>FINA-30</t>
  </si>
  <si>
    <t>Operating Margin (CARF, Entity)</t>
  </si>
  <si>
    <t>(Income from Operations / Total Operating Revenue) * 100  [CARF definition, entity level]</t>
  </si>
  <si>
    <t>Audited financial statements; Trial balance</t>
  </si>
  <si>
    <t>Solvency / covenant exposure - CCRC entity measure</t>
  </si>
  <si>
    <t>Advantedge Catalog v9</t>
  </si>
  <si>
    <t>FINA-31</t>
  </si>
  <si>
    <t>Net Operating Margin (CARF, Entity)</t>
  </si>
  <si>
    <t>((Resident Revenue - Resident Expense) / Resident Revenue) * 100  [CARF definition, excludes entrance fee amortisation]</t>
  </si>
  <si>
    <t>Diagnostic - pull ad hoc when a Tier 1 KPI moves (FINA-30)</t>
  </si>
  <si>
    <t>FINA-32</t>
  </si>
  <si>
    <t>Entrance Fee Refund Liability Funding</t>
  </si>
  <si>
    <t>(Funded Refund Obligation / Total Refundable Entrance Fee Liability) * 100</t>
  </si>
  <si>
    <t>Finance GL / ERP, Actuarial study</t>
  </si>
  <si>
    <t>Trial balance; Residency agreements; Actuarial report</t>
  </si>
  <si>
    <t>Solvency / regulator exposure - CCRC with refundable contracts only</t>
  </si>
  <si>
    <t>FINA-33</t>
  </si>
  <si>
    <t>Current Return on Investment (Unleveraged)</t>
  </si>
  <si>
    <t>(Net Operating Income / Total Property Investment at Cost) * 100</t>
  </si>
  <si>
    <t>Income statement; Fixed-asset register / property cost basis</t>
  </si>
  <si>
    <t>Programme-dependent - for-profit owners and investors</t>
  </si>
  <si>
    <t>SOSH 2025</t>
  </si>
  <si>
    <t>FINA-34</t>
  </si>
  <si>
    <t>Property &amp; Liability Insurance Cost per Available Unit</t>
  </si>
  <si>
    <t>Annual Property and General Liability Insurance Cost / Total Available Units</t>
  </si>
  <si>
    <t>Insurance invoices / policy schedule; Unit inventory</t>
  </si>
  <si>
    <t>Insurance and liability exposure</t>
  </si>
  <si>
    <t>FINA-35</t>
  </si>
  <si>
    <t>Professional Liability Insurance Cost per Available Unit</t>
  </si>
  <si>
    <t>Annual Professional Liability Insurance Cost / Total Available Units</t>
  </si>
  <si>
    <t>Finance GL / ERP, Risk management</t>
  </si>
  <si>
    <t>Professional liability policy; Unit inventory</t>
  </si>
  <si>
    <t>Insurance and liability exposure - moves with claims history</t>
  </si>
  <si>
    <t>FINA-36</t>
  </si>
  <si>
    <t>Average Level-of-Care Fee per AL / MC Resident</t>
  </si>
  <si>
    <t>Total Level-of-Care (Care Fee) Revenue per Month / Occupied AL (or MC) Units</t>
  </si>
  <si>
    <t>Billing system, AL Advantage / Eldermark (care levels)</t>
  </si>
  <si>
    <t>Monthly billing by charge code; Care level assessments; Census register</t>
  </si>
  <si>
    <t>Core revenue driver - checks that care revenue keeps pace with acuity</t>
  </si>
  <si>
    <t>HOUL-11</t>
  </si>
  <si>
    <t>Housekeeping / Laundry</t>
  </si>
  <si>
    <t>Square Feet per Housekeeping FTE</t>
  </si>
  <si>
    <t>Total Cleanable Square Footage / Housekeeping FTEs</t>
  </si>
  <si>
    <t>Finance GL, HRIS, Facility records</t>
  </si>
  <si>
    <t>Cleanable square-footage schedule; Housekeeping headcount</t>
  </si>
  <si>
    <t>HOUL-12</t>
  </si>
  <si>
    <t>Laundry Pounds per Labor Hour</t>
  </si>
  <si>
    <t>Total Pounds of Laundry Processed / Laundry Labor Hours</t>
  </si>
  <si>
    <t>Laundry logs, Payroll / Time &amp; Attendance</t>
  </si>
  <si>
    <t>Laundry weight log; Laundry timecards</t>
  </si>
  <si>
    <t>Manual capture - needs weighed laundry data</t>
  </si>
  <si>
    <t>SBC v4</t>
  </si>
  <si>
    <t>HRP-01</t>
  </si>
  <si>
    <t>HR / Payroll / Workforce</t>
  </si>
  <si>
    <t>Voluntary Turnover Rate</t>
  </si>
  <si>
    <t>(Voluntary Separations in Period / Average Number of Employees) * 100</t>
  </si>
  <si>
    <t>HRIS / Payroll system</t>
  </si>
  <si>
    <t>Termination records; Exit interview forms; Headcount report</t>
  </si>
  <si>
    <t>HRP-02</t>
  </si>
  <si>
    <t>Total Turnover Rate</t>
  </si>
  <si>
    <t>(Total Separations / Average Number of Employees) * 100</t>
  </si>
  <si>
    <t>Separation records; Headcount report</t>
  </si>
  <si>
    <t>Top operating cost and quality driver</t>
  </si>
  <si>
    <t>HRP-03</t>
  </si>
  <si>
    <t>90-Day New Hire Retention Rate</t>
  </si>
  <si>
    <t>(New Hires Still Employed at 90 Days / Total New Hires) * 100</t>
  </si>
  <si>
    <t>HRIS</t>
  </si>
  <si>
    <t>New hire roster; Termination records; Onboarding checklist</t>
  </si>
  <si>
    <t>Leading indicator of turnover</t>
  </si>
  <si>
    <t>HRP-04</t>
  </si>
  <si>
    <t>Open Position Vacancy Rate</t>
  </si>
  <si>
    <t>(Open Positions / Total Budgeted Positions) * 100</t>
  </si>
  <si>
    <t>HRIS / ATS</t>
  </si>
  <si>
    <t>Approved staffing plan; Requisition log; Headcount report</t>
  </si>
  <si>
    <t>HRP-05</t>
  </si>
  <si>
    <t>Time to Fill</t>
  </si>
  <si>
    <t>Sum of Days from Requisition Open to Offer Accepted / Number of Positions Filled</t>
  </si>
  <si>
    <t>ATS / HRIS</t>
  </si>
  <si>
    <t>Job requisition records; Offer letters</t>
  </si>
  <si>
    <t>HRP-06</t>
  </si>
  <si>
    <t>Overtime Hours as % of Total Hours</t>
  </si>
  <si>
    <t>(Overtime Hours / Total Hours Worked) * 100</t>
  </si>
  <si>
    <t>Payroll / Time &amp; Attendance</t>
  </si>
  <si>
    <t>Timecards; Payroll register; Schedule</t>
  </si>
  <si>
    <t>Direct, immediate cost leakage</t>
  </si>
  <si>
    <t>HRP-07</t>
  </si>
  <si>
    <t>Agency / Contract Labor as % of Labor Cost</t>
  </si>
  <si>
    <t>(Agency Labor Cost / Total Labor Cost) * 100</t>
  </si>
  <si>
    <t>Payroll, Finance GL, AP</t>
  </si>
  <si>
    <t>Agency invoices; Payroll register</t>
  </si>
  <si>
    <t>HRP-08</t>
  </si>
  <si>
    <t>Absenteeism Rate</t>
  </si>
  <si>
    <t>(Unscheduled Absence Days / Total Scheduled Work Days) * 100</t>
  </si>
  <si>
    <t>Time &amp; Attendance system</t>
  </si>
  <si>
    <t>Attendance records; Call-out log; Schedule</t>
  </si>
  <si>
    <t>HRP-10</t>
  </si>
  <si>
    <t>Labor Hours per Resident Day</t>
  </si>
  <si>
    <t>Total Hours Worked (All Departments) / Total Resident Days</t>
  </si>
  <si>
    <t>Payroll, Census system</t>
  </si>
  <si>
    <t>Payroll hours report; Daily census</t>
  </si>
  <si>
    <t>HRP-12</t>
  </si>
  <si>
    <t>Workers' Compensation Claim Rate</t>
  </si>
  <si>
    <t>(Number of WC Claims / Average Number of Employees) * 100</t>
  </si>
  <si>
    <t>HRIS, Risk Management</t>
  </si>
  <si>
    <t>Incident reports; OSHA 300 log; Insurance claim records</t>
  </si>
  <si>
    <t>HRP-14</t>
  </si>
  <si>
    <t>Employee Engagement / Satisfaction Score</t>
  </si>
  <si>
    <t>Sum of Engagement Survey Ratings / Number of Responses</t>
  </si>
  <si>
    <t>HRIS / Survey platform</t>
  </si>
  <si>
    <t>Employee engagement survey results; Pulse survey exports</t>
  </si>
  <si>
    <t>HRP-17</t>
  </si>
  <si>
    <t>Administrator Turnover</t>
  </si>
  <si>
    <t>Count of Administrator Changes in Trailing 12 Months</t>
  </si>
  <si>
    <t>HRIS, Payroll/PBJ system</t>
  </si>
  <si>
    <t>PBJ administrator job-class data; HR separation records</t>
  </si>
  <si>
    <t>Leadership stability - feeds CMS Staffing star (SNF)</t>
  </si>
  <si>
    <t>HRP-18</t>
  </si>
  <si>
    <t>RN Average Hourly Wage</t>
  </si>
  <si>
    <t>Total RN Wages Paid / Total RN Hours Paid</t>
  </si>
  <si>
    <t>Payroll system</t>
  </si>
  <si>
    <t>Payroll register by job class</t>
  </si>
  <si>
    <t>Labour cost driver - market wage check for recruitment</t>
  </si>
  <si>
    <t>HRP-19</t>
  </si>
  <si>
    <t>LPN Average Hourly Wage</t>
  </si>
  <si>
    <t>Total LPN Wages Paid / Total LPN Hours Paid</t>
  </si>
  <si>
    <t>HRP-20</t>
  </si>
  <si>
    <t>CNA Average Hourly Wage</t>
  </si>
  <si>
    <t>Total CNA Wages Paid / Total CNA Hours Paid</t>
  </si>
  <si>
    <t>HRP-21</t>
  </si>
  <si>
    <t>Administrative Average Annual Wage per FTE</t>
  </si>
  <si>
    <t>Total Administrative Wages / Administrative FTEs</t>
  </si>
  <si>
    <t>Payroll system, HRIS</t>
  </si>
  <si>
    <t>Payroll register by department</t>
  </si>
  <si>
    <t>HRP-22</t>
  </si>
  <si>
    <t>Dietary Average Annual Wage per FTE</t>
  </si>
  <si>
    <t>Total Dietary Wages / Dietary FTEs</t>
  </si>
  <si>
    <t>HRP-23</t>
  </si>
  <si>
    <t>Maintenance Average Annual Wage per FTE</t>
  </si>
  <si>
    <t>Total Maintenance Wages / Maintenance FTEs</t>
  </si>
  <si>
    <t>HRP-24</t>
  </si>
  <si>
    <t>Benefits as % of Salaries and Wages</t>
  </si>
  <si>
    <t>(Total Employee Benefits Cost excl. Workers' Comp / Total Salaries and Wages) * 100</t>
  </si>
  <si>
    <t>Benefits invoices; Payroll register</t>
  </si>
  <si>
    <t>Explains movement in a Tier 1 KPI - add in phase 2 (FINA-11)</t>
  </si>
  <si>
    <t>HRP-25</t>
  </si>
  <si>
    <t>Benefits Cost per FTE</t>
  </si>
  <si>
    <t>Total Employee Benefits Cost / Total FTEs</t>
  </si>
  <si>
    <t>Payroll, Finance GL, HRIS</t>
  </si>
  <si>
    <t>Benefits invoices; FTE report</t>
  </si>
  <si>
    <t>HRP-26</t>
  </si>
  <si>
    <t>Employees per HR Staff Member</t>
  </si>
  <si>
    <t>Total Employees / HR Department FTEs</t>
  </si>
  <si>
    <t>Headcount report; HR department roster</t>
  </si>
  <si>
    <t>HRP-27</t>
  </si>
  <si>
    <t>RN Turnover Rate</t>
  </si>
  <si>
    <t>(RN Separations in Trailing 12 Months / Average RN Headcount) * 100</t>
  </si>
  <si>
    <t>HRIS / Payroll system; CMS PBJ (SNF)</t>
  </si>
  <si>
    <t>Separation records by job class; PBJ (SNF, 90-day zero-hours rule)</t>
  </si>
  <si>
    <t>Labour cost + staffing regulation - feeds CMS Staffing star (SNF)</t>
  </si>
  <si>
    <t>HRP-28</t>
  </si>
  <si>
    <t>Workers' Compensation Cost as % of Wages</t>
  </si>
  <si>
    <t>((Workers' Comp Premium + Claims Cost) / Total Wages) * 100</t>
  </si>
  <si>
    <t>Finance GL, Payroll system, Risk management</t>
  </si>
  <si>
    <t>WC premium invoices; Claims loss runs; Payroll register</t>
  </si>
  <si>
    <t>Advantedge v9 + SOSH 2025</t>
  </si>
  <si>
    <t>HRP-29</t>
  </si>
  <si>
    <t>Staffing Variance to Recommended FTE</t>
  </si>
  <si>
    <t>((Current FTEs - Recommended FTEs) / Recommended FTEs) * 100  [by department and in total]</t>
  </si>
  <si>
    <t>Payroll / HRIS, Staffing Base Calculator</t>
  </si>
  <si>
    <t>Payroll FTE report; SBC recommended FTE by position</t>
  </si>
  <si>
    <t>Labour cost driver - shows over- or under-staffing against the staffing model</t>
  </si>
  <si>
    <t>HRP-30</t>
  </si>
  <si>
    <t>Housekeeping / Laundry Average Annual Wage per FTE</t>
  </si>
  <si>
    <t>Total Housekeeping and Laundry Wages / Housekeeping and Laundry FTEs</t>
  </si>
  <si>
    <t>HRP-31</t>
  </si>
  <si>
    <t>Marketing Average Annual Wage per FTE</t>
  </si>
  <si>
    <t>Total Marketing Wages / Marketing FTEs</t>
  </si>
  <si>
    <t>HRP-32</t>
  </si>
  <si>
    <t>Assisted Living Care Staff Average Annual Wage per FTE</t>
  </si>
  <si>
    <t>Total AL / MC Care Staff Wages / AL / MC Care Staff FTEs</t>
  </si>
  <si>
    <t>HRP-33</t>
  </si>
  <si>
    <t>Activities Average Annual Wage per FTE</t>
  </si>
  <si>
    <t>Total Activities / Life Enrichment Wages / Activities FTEs</t>
  </si>
  <si>
    <t>HRP-34</t>
  </si>
  <si>
    <t>Average Compensation per FTE (All Staff)</t>
  </si>
  <si>
    <t>Total Compensation (Wages + Benefits) / Total FTEs</t>
  </si>
  <si>
    <t>Payroll system, Finance GL, HRIS</t>
  </si>
  <si>
    <t>Payroll register; Benefits invoices; FTE report</t>
  </si>
  <si>
    <t>Labour cost driver - year-on-year wage pressure check</t>
  </si>
  <si>
    <t>LEAT-01</t>
  </si>
  <si>
    <t>Learning / Training / LMS</t>
  </si>
  <si>
    <t>Mandatory Training Completion Rate</t>
  </si>
  <si>
    <t>(Employees Completing Required Training / Total Employees Assigned) * 100</t>
  </si>
  <si>
    <t>LMS (Relias, HealthStream)</t>
  </si>
  <si>
    <t>LMS assignment and completion report; Course transcripts</t>
  </si>
  <si>
    <t>Regulatory - mandatory training</t>
  </si>
  <si>
    <t>LIFE-01</t>
  </si>
  <si>
    <t>Life Enrichment / Activities</t>
  </si>
  <si>
    <t>Activity Participation Rate</t>
  </si>
  <si>
    <t>(Total Resident Attendances / (Number of Activities x Total Residents)) * 100</t>
  </si>
  <si>
    <t>Activity tracking module (Eldermark, MatrixCare)</t>
  </si>
  <si>
    <t>Activity attendance sheets; Program calendar; Census report</t>
  </si>
  <si>
    <t>Regulatory - resident quality of life</t>
  </si>
  <si>
    <t>LIFE-02</t>
  </si>
  <si>
    <t>Unique Resident Participation Rate</t>
  </si>
  <si>
    <t>(Residents Attending at Least One Activity / Total Residents) * 100</t>
  </si>
  <si>
    <t>Activity tracking module</t>
  </si>
  <si>
    <t>Attendance records; Census report</t>
  </si>
  <si>
    <t>LIFE-08</t>
  </si>
  <si>
    <t>Resident Program Satisfaction Score</t>
  </si>
  <si>
    <t>Sum of Activity Satisfaction Ratings / Number of Responses</t>
  </si>
  <si>
    <t>Survey platform</t>
  </si>
  <si>
    <t>Resident satisfaction survey; Program feedback forms</t>
  </si>
  <si>
    <t>LIFE-11</t>
  </si>
  <si>
    <t>Memory Care Structured Engagement Hours per Resident per Day</t>
  </si>
  <si>
    <t>Total Structured MC Engagement Hours / Memory Care Resident Days</t>
  </si>
  <si>
    <t>Activity tracking module, PCC</t>
  </si>
  <si>
    <t>MC activity attendance logs; MC census register</t>
  </si>
  <si>
    <t>Regulatory - resident quality of life (memory care)</t>
  </si>
  <si>
    <t>LIFE-12</t>
  </si>
  <si>
    <t>Programs Offered per Resident per Week</t>
  </si>
  <si>
    <t>Distinct Programs Offered in the Week / Occupied Units</t>
  </si>
  <si>
    <t>Activity calendar system, Census system</t>
  </si>
  <si>
    <t>Activity calendar; Census register</t>
  </si>
  <si>
    <t>Diagnostic - read against participation (LIFE-02)</t>
  </si>
  <si>
    <t>LIFE-13</t>
  </si>
  <si>
    <t>Participation Mix by Wellness Dimension</t>
  </si>
  <si>
    <t>(Attendances in Each Wellness Dimension / Total Attendances) * 100  [one value per dimension: physical, social, intellectual, spiritual, emotional, vocational, environmental]</t>
  </si>
  <si>
    <t>Activity calendar tagged by dimension; Attendance logs</t>
  </si>
  <si>
    <t>Diagnostic - finds programming blind spots</t>
  </si>
  <si>
    <t>LIFE-14</t>
  </si>
  <si>
    <t>Life Enrichment Programming Coverage (Hours per Day)</t>
  </si>
  <si>
    <t>Total Structured Programming Hours Delivered / Days in Period  [also report days per week with programming]</t>
  </si>
  <si>
    <t>Activity calendar system</t>
  </si>
  <si>
    <t>Activity calendar with start and end times; Weekend / evening schedule</t>
  </si>
  <si>
    <t>Regulatory - resident quality of life; unstructured time drives behavioural events</t>
  </si>
  <si>
    <t>NURC-01</t>
  </si>
  <si>
    <t>Nursing / Clinical</t>
  </si>
  <si>
    <t>Falls per 1,000 Resident Days</t>
  </si>
  <si>
    <t>(Total Falls / Total Resident Days) * 1000</t>
  </si>
  <si>
    <t>PointClickCare (PCC), MatrixCare</t>
  </si>
  <si>
    <t>Incident/Accident reports; Census (resident day) register; eINTERACT fall logs</t>
  </si>
  <si>
    <t>Safety / liability exposure</t>
  </si>
  <si>
    <t>NURC-02</t>
  </si>
  <si>
    <t>Fall with Major Injury Rate</t>
  </si>
  <si>
    <t>(Falls Resulting in Major Injury / Total Falls) * 100</t>
  </si>
  <si>
    <t>PointClickCare (PCC)</t>
  </si>
  <si>
    <t>Incident reports with injury classification; Nursing progress notes; ER transfer records</t>
  </si>
  <si>
    <t>NURC-03</t>
  </si>
  <si>
    <t>Pressure Injury Prevalence Rate</t>
  </si>
  <si>
    <t>(Residents with Stage 2+ Pressure Injury / Total Residents Assessed) * 100</t>
  </si>
  <si>
    <t>Skin &amp; wound assessments; Braden Scale scores; Weekly wound rounds sheet</t>
  </si>
  <si>
    <t>Regulatory - CMS quality measure</t>
  </si>
  <si>
    <t>NURC-04</t>
  </si>
  <si>
    <t>Facility-Acquired Pressure Injury Rate</t>
  </si>
  <si>
    <t>(New Pressure Injuries Developed In-House / Total Resident Days) * 1000</t>
  </si>
  <si>
    <t>Admission skin assessment vs. current wound log; Wound care charting</t>
  </si>
  <si>
    <t>NURC-05</t>
  </si>
  <si>
    <t>Medication Error Rate</t>
  </si>
  <si>
    <t>(Number of Medication Errors / Total Doses Administered) * 100</t>
  </si>
  <si>
    <t>PCC eMAR, MatrixCare</t>
  </si>
  <si>
    <t>eMAR exception report; Medication error incident forms; Pharmacy consultant report</t>
  </si>
  <si>
    <t>NURC-07</t>
  </si>
  <si>
    <t>30-Day Hospital Readmission Rate</t>
  </si>
  <si>
    <t>(Residents Readmitted to Hospital within 30 Days / Total Discharges to Facility) * 100</t>
  </si>
  <si>
    <t>Transfer/discharge log; Hospital discharge summaries; Admission records</t>
  </si>
  <si>
    <t>Payer / value-based payment exposure</t>
  </si>
  <si>
    <t>NURC-08</t>
  </si>
  <si>
    <t>Unplanned Hospital Transfer Rate</t>
  </si>
  <si>
    <t>(Unplanned Transfers to Acute Care / Total Resident Days) * 1000</t>
  </si>
  <si>
    <t>Transfer log; SBAR / eINTERACT transfer forms; Ambulance call records</t>
  </si>
  <si>
    <t>NURC-09</t>
  </si>
  <si>
    <t>Infection Rate per 1,000 Resident Days</t>
  </si>
  <si>
    <t>(Total Confirmed Infections / Total Resident Days) * 1000</t>
  </si>
  <si>
    <t>PCC Infection Control module</t>
  </si>
  <si>
    <t>Infection surveillance line listing; Lab culture reports; Antibiotic start log</t>
  </si>
  <si>
    <t>NURC-10</t>
  </si>
  <si>
    <t>UTI Rate per 1,000 Resident Days</t>
  </si>
  <si>
    <t>(Confirmed UTIs / Total Resident Days) * 1000</t>
  </si>
  <si>
    <t>Urine culture results; McGeer criteria worksheet; Infection log</t>
  </si>
  <si>
    <t>NURC-12</t>
  </si>
  <si>
    <t>Unplanned Weight Loss Rate</t>
  </si>
  <si>
    <t>(Residents with &gt;5% Weight Loss in 30 Days / Total Residents Weighed) * 100</t>
  </si>
  <si>
    <t>Monthly weight record; Nutrition assessments; Dietitian notes</t>
  </si>
  <si>
    <t>NURC-13</t>
  </si>
  <si>
    <t>Antipsychotic Medication Use Rate</t>
  </si>
  <si>
    <t>(Residents on Antipsychotics without Qualifying Diagnosis / Total Residents) * 100</t>
  </si>
  <si>
    <t>Medication administration record; Diagnosis list; Gradual dose reduction documentation</t>
  </si>
  <si>
    <t>NURC-14</t>
  </si>
  <si>
    <t>Care Plan Timeliness Compliance</t>
  </si>
  <si>
    <t>(Care Plans Completed within Required Timeframe / Total Care Plans Due) * 100</t>
  </si>
  <si>
    <t>PointClickCare (PCC), AL Advantage</t>
  </si>
  <si>
    <t>Care plan due-date report; Assessment schedule; MDS/service plan records</t>
  </si>
  <si>
    <t>NURC-15</t>
  </si>
  <si>
    <t>Assessment Completion Rate (MDS / Service Plan)</t>
  </si>
  <si>
    <t>(Assessments Completed On Time / Total Assessments Due) * 100</t>
  </si>
  <si>
    <t>PCC, AL Advantage, Eldermark</t>
  </si>
  <si>
    <t>MDS submission log; Assessment due report; State service-plan records</t>
  </si>
  <si>
    <t>NURC-16</t>
  </si>
  <si>
    <t>Average Acuity Score per Resident</t>
  </si>
  <si>
    <t>Total Acuity Points of All Residents / Total Number of Residents</t>
  </si>
  <si>
    <t>AL Advantage, Eldermark, MatrixCare</t>
  </si>
  <si>
    <t>Acuity/level-of-care assessments; Care level billing tier records</t>
  </si>
  <si>
    <t>Diagnostic - only if acuity-based staffing is in play</t>
  </si>
  <si>
    <t>NURC-17</t>
  </si>
  <si>
    <t>Nursing Hours per Resident Day (HPRD)</t>
  </si>
  <si>
    <t>Total Nursing Care Hours Worked / Total Resident Days</t>
  </si>
  <si>
    <t>PCC, Payroll/PBJ system</t>
  </si>
  <si>
    <t>Payroll-Based Journal (PBJ) file; Timecards; Daily census report</t>
  </si>
  <si>
    <t>Labour cost + staffing regulation</t>
  </si>
  <si>
    <t>NURC-19</t>
  </si>
  <si>
    <t>ARD Accuracy Rate</t>
  </si>
  <si>
    <t>(Assessments with Correct ARD / Total Assessments Audited) * 100</t>
  </si>
  <si>
    <t>PointClickCare (PCC), MDS submission system</t>
  </si>
  <si>
    <t>MDS assessment ARD field; Regulatory assessment window calendar; MDS audit log</t>
  </si>
  <si>
    <t>Payer / value-based payment exposure - ARD errors change PDPM reimbursement</t>
  </si>
  <si>
    <t>NURC-20</t>
  </si>
  <si>
    <t>PRN Psychotropic Medication Use Rate</t>
  </si>
  <si>
    <t>(Residents Receiving PRN Psychotropics / Total Residents) * 100</t>
  </si>
  <si>
    <t>eMAR PRN administration log; Pharmacy consultant report; Gradual dose reduction records</t>
  </si>
  <si>
    <t>Explains movement in a Tier 1 KPI - add in phase 2 (NURC-13)</t>
  </si>
  <si>
    <t>NURC-21</t>
  </si>
  <si>
    <t>Weekend Staffing Ratio</t>
  </si>
  <si>
    <t>(Weekend Nursing HPRD / Weekday Nursing HPRD) * 100</t>
  </si>
  <si>
    <t>PBJ submission; Time &amp; attendance by day of week; Census register</t>
  </si>
  <si>
    <t>Labour cost + staffing regulation - feeds CMS Staffing star</t>
  </si>
  <si>
    <t>NURC-22</t>
  </si>
  <si>
    <t>Long-Stay Indwelling Catheter Rate (CMS QM)</t>
  </si>
  <si>
    <t>(Long-Stay Residents with Indwelling Catheter / Total Long-Stay Residents) * 100  [CMS risk-adjusted]</t>
  </si>
  <si>
    <t>CMS Care Compare (tool-fetched), PCC MDS</t>
  </si>
  <si>
    <t>MDS Section H; CMS Care Compare quarterly QM file</t>
  </si>
  <si>
    <t>Regulatory - CMS quality measure (SNF)</t>
  </si>
  <si>
    <t>NURC-23</t>
  </si>
  <si>
    <t>Short-Stay Outpatient ED Visit Rate (CMS QM)</t>
  </si>
  <si>
    <t>(Short-Stay Residents with Outpatient ED Visit / Total Short-Stay Residents) * 100  [claims-based]</t>
  </si>
  <si>
    <t>CMS Care Compare (tool-fetched)</t>
  </si>
  <si>
    <t>Medicare claims (CMS annual calculation)</t>
  </si>
  <si>
    <t>NURC-24</t>
  </si>
  <si>
    <t>Short-Stay Moderate-to-Severe Pain Rate (CMS QM)</t>
  </si>
  <si>
    <t>(Short-Stay Residents Self-Reporting Moderate/Severe Pain / Short-Stay Residents Interviewed) * 100</t>
  </si>
  <si>
    <t>MDS Section J pain interview</t>
  </si>
  <si>
    <t>NURC-25</t>
  </si>
  <si>
    <t>Short-Stay Discharge to Community Rate (CMS QM)</t>
  </si>
  <si>
    <t>(Short-Stay Residents Discharged to Community / Total Short-Stay Discharges) * 100  [claims-based]</t>
  </si>
  <si>
    <t>Payer / value-based payment exposure - referral hospitals watch this</t>
  </si>
  <si>
    <t>NURC-26</t>
  </si>
  <si>
    <t>Hospital Length of Stay Before SNF Admission</t>
  </si>
  <si>
    <t>Sum of Hospital Inpatient Days for Admitted Residents / Number of Hospital-to-SNF Admissions</t>
  </si>
  <si>
    <t>PCC admission records, Hospital discharge summaries</t>
  </si>
  <si>
    <t>Hospital discharge summaries; Admission face sheets</t>
  </si>
  <si>
    <t>Diagnostic - explains acuity and SNF LOS</t>
  </si>
  <si>
    <t>NURC-27</t>
  </si>
  <si>
    <t>PDPM Case Mix Index by Component</t>
  </si>
  <si>
    <t>Sum of PDPM Component CMI for Medicare Part A Residents / Number of Medicare Part A Residents  [one value each for PT, OT, SLP, Nursing, NTA]</t>
  </si>
  <si>
    <t>PointClickCare (PCC) MDS, PDPM calculator</t>
  </si>
  <si>
    <t>MDS 3.0 assessments; PDPM HIPPS codes; Medicare Part A census</t>
  </si>
  <si>
    <t>Payer / value-based payment exposure - documentation drives the PDPM rate</t>
  </si>
  <si>
    <t>NURC-28</t>
  </si>
  <si>
    <t>Case-Mix Adjusted RN Hours per Resident Day (CMS)</t>
  </si>
  <si>
    <t>RN Hours per Resident Day (PBJ job codes 5, 6, 7), case-mix adjusted by CMS, quarterly, all days</t>
  </si>
  <si>
    <t>CMS Care Compare (tool-fetched), Payroll/PBJ system</t>
  </si>
  <si>
    <t>PBJ quarterly submission; CMS Care Compare staffing file</t>
  </si>
  <si>
    <t>Labour cost + staffing regulation - RN hours carry the steepest points curve in the CMS Staffing star</t>
  </si>
  <si>
    <t>NURC-29</t>
  </si>
  <si>
    <t>Long-Stay: Need for Help with Daily Activities Increased (CMS QM)</t>
  </si>
  <si>
    <t>(Long-Stay Residents Whose ADL Help Need Increased / Long-Stay Residents Assessed) * 100  [CMS-calculated]</t>
  </si>
  <si>
    <t>MDS Section GG / G; CMS Care Compare quarterly QM file</t>
  </si>
  <si>
    <t>Regulatory - CMS quality measure (SNF), 150 of the QM points</t>
  </si>
  <si>
    <t>NURC-30</t>
  </si>
  <si>
    <t>Long-Stay: Ability to Walk Independently Worsened (CMS QM)</t>
  </si>
  <si>
    <t>(Long-Stay Residents Whose Independent Walking Worsened / Long-Stay Residents Assessed) * 100  [CMS risk-adjusted]</t>
  </si>
  <si>
    <t>MDS Section GG; CMS Care Compare quarterly QM file</t>
  </si>
  <si>
    <t>NURC-31</t>
  </si>
  <si>
    <t>Long-Stay: Outpatient ED Visits per 1,000 Resident Days (CMS QM)</t>
  </si>
  <si>
    <t>(Outpatient ED Visits by Long-Stay Residents / Long-Stay Resident Days) * 1000  [claims-based, risk-adjusted]</t>
  </si>
  <si>
    <t>Medicare claims (CMS calculation)</t>
  </si>
  <si>
    <t>Payer / value-based payment exposure - catches avoidable sends that are not admitted</t>
  </si>
  <si>
    <t>NURC-32</t>
  </si>
  <si>
    <t>Short-Stay: First-Time Antipsychotic Medication (CMS QM)</t>
  </si>
  <si>
    <t>(Short-Stay Residents Receiving an Antipsychotic for the First Time / Short-Stay Residents) * 100  [CMS-calculated]</t>
  </si>
  <si>
    <t>MDS Section N; CMS Care Compare quarterly QM file</t>
  </si>
  <si>
    <t>NURC-33</t>
  </si>
  <si>
    <t>Residents per Direct Care Staff Member by Shift</t>
  </si>
  <si>
    <t>Residents on the Unit / Direct Care Staff (CNA / aide, or nurse / med aide) Working the Shift  [one value per shift and level of care]</t>
  </si>
  <si>
    <t>Scheduling / Time &amp; Attendance, PCC or AL census</t>
  </si>
  <si>
    <t>Daily staffing sheets; Shift schedules; Midnight / shift census</t>
  </si>
  <si>
    <t>Labour cost + staffing regulation - state AL/MC ratio rules</t>
  </si>
  <si>
    <t>PLAO-01</t>
  </si>
  <si>
    <t>Plant Operations / Maintenance</t>
  </si>
  <si>
    <t>Preventive Maintenance (PM) Completion Rate</t>
  </si>
  <si>
    <t>(PM Work Orders Completed On Time / Total PM Work Orders Scheduled) * 100</t>
  </si>
  <si>
    <t>MicroMain CMMS</t>
  </si>
  <si>
    <t>PM schedule report; Completed work order records; Asset register</t>
  </si>
  <si>
    <t>Regulatory - life safety and asset risk</t>
  </si>
  <si>
    <t>PLAO-02</t>
  </si>
  <si>
    <t>Work Order Backlog</t>
  </si>
  <si>
    <t>Number of Open Work Orders Past Due Date</t>
  </si>
  <si>
    <t>Open work order aging report</t>
  </si>
  <si>
    <t>Leading indicator of building failure</t>
  </si>
  <si>
    <t>PLAO-07</t>
  </si>
  <si>
    <t>Maintenance Cost per Occupied Unit</t>
  </si>
  <si>
    <t>Total Maintenance Department Cost / Number of Occupied Units</t>
  </si>
  <si>
    <t>MicroMain CMMS, Finance GL</t>
  </si>
  <si>
    <t>Department P&amp;L; Parts and labor cost report; Occupancy report</t>
  </si>
  <si>
    <t>PLAO-08</t>
  </si>
  <si>
    <t>Energy Cost per Square Foot</t>
  </si>
  <si>
    <t>Total Utility Cost / Total Building Square Footage</t>
  </si>
  <si>
    <t>Finance GL, Utility bills</t>
  </si>
  <si>
    <t>Electric, gas, water invoices; Building floor plan / area schedule</t>
  </si>
  <si>
    <t>PLAO-09</t>
  </si>
  <si>
    <t>Utility Consumption per Resident Day</t>
  </si>
  <si>
    <t>Total Energy Consumed (kWh or Therms) / Total Resident Days</t>
  </si>
  <si>
    <t>Utility provider portal, Finance</t>
  </si>
  <si>
    <t>Utility bills; Meter readings; Census report</t>
  </si>
  <si>
    <t>PLAO-10</t>
  </si>
  <si>
    <t>Life Safety Inspection Compliance</t>
  </si>
  <si>
    <t>(Required Inspections Completed On Time / Total Inspections Due) * 100</t>
  </si>
  <si>
    <t>MicroMain CMMS, Compliance system</t>
  </si>
  <si>
    <t>Fire alarm, sprinkler, generator, elevator inspection certificates; Life safety binder</t>
  </si>
  <si>
    <t>Regulatory - survey exposure</t>
  </si>
  <si>
    <t>PLAO-13</t>
  </si>
  <si>
    <t>Average Age of Plant</t>
  </si>
  <si>
    <t>Accumulated Depreciation / Annual Depreciation Expense</t>
  </si>
  <si>
    <t>Finance GL, Fixed-asset register</t>
  </si>
  <si>
    <t>Fixed-asset register; Audited financial statements</t>
  </si>
  <si>
    <t>Leading indicator of building failure and credit concern</t>
  </si>
  <si>
    <t>PLAO-14</t>
  </si>
  <si>
    <t>Emergency / Unplanned Repair Rate</t>
  </si>
  <si>
    <t>(Emergency-Priority Work Orders / Total Work Orders) * 100</t>
  </si>
  <si>
    <t>Emergency work orders; AP invoices for emergency repairs</t>
  </si>
  <si>
    <t>ELIMINATED in Advantedge v8.3 - listed for completeness only</t>
  </si>
  <si>
    <t>PLAO-15</t>
  </si>
  <si>
    <t>Square Feet per Maintenance FTE</t>
  </si>
  <si>
    <t>Total Building Square Footage / Maintenance FTEs</t>
  </si>
  <si>
    <t>Building square-footage schedule; Maintenance headcount</t>
  </si>
  <si>
    <t>PLAO-16</t>
  </si>
  <si>
    <t>Grounds Cost per Developed Acre</t>
  </si>
  <si>
    <t>Total Grounds Maintenance Cost / Developed Acres</t>
  </si>
  <si>
    <t>Grounds contract invoices; Site plan (developed acreage)</t>
  </si>
  <si>
    <t>Programme-dependent - only if grounds are managed in-house</t>
  </si>
  <si>
    <t>PLAO-17</t>
  </si>
  <si>
    <t>Work Orders per Resident Unit</t>
  </si>
  <si>
    <t>Total Work Orders (Annualised) / Resident Units  [split ad hoc and preventive]</t>
  </si>
  <si>
    <t>Work order log with type; Unit inventory</t>
  </si>
  <si>
    <t>Leading indicator of building failure - volume shows deferred capital</t>
  </si>
  <si>
    <t>PLAO-18</t>
  </si>
  <si>
    <t>Work Order On-Time Completion Rate</t>
  </si>
  <si>
    <t>(Work Orders Completed by Due Date / Total Work Orders Completed) * 100</t>
  </si>
  <si>
    <t>Work order log (due and completion dates)</t>
  </si>
  <si>
    <t>Explains movement in a Tier 1 KPI - add in phase 2 (PLAO-02)</t>
  </si>
  <si>
    <t>PLAO-19</t>
  </si>
  <si>
    <t>Maintenance Labor Hours per Resident Unit</t>
  </si>
  <si>
    <t>Total Tracked Maintenance Labor Hours (Annualised) / Resident Units  [split ad hoc and preventive]</t>
  </si>
  <si>
    <t>MicroMain CMMS, Payroll</t>
  </si>
  <si>
    <t>Work order labor hours; Unit inventory</t>
  </si>
  <si>
    <t>PLAO-20</t>
  </si>
  <si>
    <t>Average Days Overdue per Overdue Work Order</t>
  </si>
  <si>
    <t>Total Days Overdue / Number of Overdue Work Orders  [report PM and ad hoc separately]</t>
  </si>
  <si>
    <t>Open work order list with due dates</t>
  </si>
  <si>
    <t>PLAO-21</t>
  </si>
  <si>
    <t>Average Days Open per Work Order</t>
  </si>
  <si>
    <t>Sum of (Completion Date - Request Date) / Number of Completed Work Orders</t>
  </si>
  <si>
    <t>Work order log (request and completion dates)</t>
  </si>
  <si>
    <t>Explains movement in a Tier 1 KPI - resident-facing responsiveness</t>
  </si>
  <si>
    <t>PLAO-22</t>
  </si>
  <si>
    <t>Resident Billings per Resident Unit</t>
  </si>
  <si>
    <t>Resident-Chargeable Work Order Billings ($, Annualised) / Resident Units</t>
  </si>
  <si>
    <t>MicroMain CMMS, Billing system, Finance GL</t>
  </si>
  <si>
    <t>Chargeable work orders; Resident invoices</t>
  </si>
  <si>
    <t>Diagnostic - lost revenue inside maintenance</t>
  </si>
  <si>
    <t>QUAC-01</t>
  </si>
  <si>
    <t>Quality / Compliance / QAPI</t>
  </si>
  <si>
    <t>Survey Deficiency Count</t>
  </si>
  <si>
    <t>Number of Deficiencies Cited on Most Recent Regulatory Survey</t>
  </si>
  <si>
    <t>Compliance / QAPI system</t>
  </si>
  <si>
    <t>State survey report (CMS Form 2567); Statement of deficiencies</t>
  </si>
  <si>
    <t>Per survey</t>
  </si>
  <si>
    <t>Regulatory - survey outcome</t>
  </si>
  <si>
    <t>QUAC-12</t>
  </si>
  <si>
    <t>Infection Prevention Audit Score</t>
  </si>
  <si>
    <t>(IP Audit Points Earned / Total Possible Points) * 100</t>
  </si>
  <si>
    <t>QAPI, Infection Control</t>
  </si>
  <si>
    <t>Hand hygiene observation forms; PPE audit sheets; IP rounding logs</t>
  </si>
  <si>
    <t>QUAC-15</t>
  </si>
  <si>
    <t>Life Safety Code Survey Deficiencies</t>
  </si>
  <si>
    <t>Count of Life Safety Code Deficiencies Cited (by scope and severity) on Most Recent Survey</t>
  </si>
  <si>
    <t>CMS Care Compare (tool-fetched), Compliance system</t>
  </si>
  <si>
    <t>CMS-2567 LSC survey; Fire marshal inspection reports</t>
  </si>
  <si>
    <t>Regulatory - life safety and survey exposure</t>
  </si>
  <si>
    <t>QUAC-16</t>
  </si>
  <si>
    <t>CMS Five-Star Overall Rating</t>
  </si>
  <si>
    <t>CMS Composite Star Rating (Health Inspection + Staffing + Quality Measures)</t>
  </si>
  <si>
    <t>CMS Care Compare monthly data download</t>
  </si>
  <si>
    <t>Regulatory - CMS quality measure; drives referrals and census</t>
  </si>
  <si>
    <t>QUAC-17</t>
  </si>
  <si>
    <t>CMS Health Inspection Star Rating</t>
  </si>
  <si>
    <t>CMS Star (1-5) from the State Percentile Rank of the Weighted Health Inspection Score</t>
  </si>
  <si>
    <t>CMS Care Compare monthly data download; CMS-2567 survey reports</t>
  </si>
  <si>
    <t>Explains movement in a Tier 1 KPI - add in phase 2 (QUAC-16)</t>
  </si>
  <si>
    <t>QUAC-18</t>
  </si>
  <si>
    <t>CMS Staffing Star Rating</t>
  </si>
  <si>
    <t>CMS Star (1-5) from the 380-Point Staffing Score (PBJ-based)</t>
  </si>
  <si>
    <t>QUAC-19</t>
  </si>
  <si>
    <t>CMS Quality Measure Star Rating</t>
  </si>
  <si>
    <t>CMS Star (1-5) from the Combined Long-Stay and Short-Stay QM Score</t>
  </si>
  <si>
    <t>CMS Care Compare quarterly QM file</t>
  </si>
  <si>
    <t>QUAC-20</t>
  </si>
  <si>
    <t>Weighted Health Inspection Score (CMS)</t>
  </si>
  <si>
    <t>(Cycle 1 Points * 0.75) + (Cycle 2 Points * 0.25), where each cycle = standard + complaint + infection control + revisit points</t>
  </si>
  <si>
    <t>CMS-2567 survey reports; CMS Care Compare health inspection file</t>
  </si>
  <si>
    <t>Explains movement in a Tier 1 KPI - add in phase 2 (QUAC-17)</t>
  </si>
  <si>
    <t>QUAC-21</t>
  </si>
  <si>
    <t>Complaint Survey Deficiency Points (CMS)</t>
  </si>
  <si>
    <t>Sum of Complaint Survey Deficiency Points, Most Recent 36 Months (months 0-12 weighted 3/4, months 13-36 weighted 1/4)</t>
  </si>
  <si>
    <t>CMS-2567 complaint survey reports; State complaint log</t>
  </si>
  <si>
    <t>Regulatory - survey exposure; complaints reflect family and staff relationships</t>
  </si>
  <si>
    <t>QUAC-22</t>
  </si>
  <si>
    <t>Focused Infection Control Survey Deficiency Points (CMS)</t>
  </si>
  <si>
    <t>Sum of Infection Control Survey Deficiency Points, Most Recent 36 Months (3/4 and 1/4 weighting)</t>
  </si>
  <si>
    <t>CMS-2567 infection control survey reports</t>
  </si>
  <si>
    <t>QUAC-23</t>
  </si>
  <si>
    <t>Survey Revisit Points (CMS)</t>
  </si>
  <si>
    <t>Points Added for Repeat Revisits Within a Survey Cycle</t>
  </si>
  <si>
    <t>CMS-2567 revisit records</t>
  </si>
  <si>
    <t>QUAC-24</t>
  </si>
  <si>
    <t>Substandard Quality of Care Citations</t>
  </si>
  <si>
    <t>Count of Deficiencies Cited as Substandard Quality of Care (SQC) on Current Survey Cycle</t>
  </si>
  <si>
    <t>CMS-2567 survey reports</t>
  </si>
  <si>
    <t>Regulatory - survey outcome; SQC raises point values at nearly every severity</t>
  </si>
  <si>
    <t>QUAC-25</t>
  </si>
  <si>
    <t>Immediate Jeopardy Citations</t>
  </si>
  <si>
    <t>Count of Deficiencies Cited at Scope and Severity J, K or L</t>
  </si>
  <si>
    <t>Safety / liability exposure - immediate jeopardy is a sentinel regulatory event</t>
  </si>
  <si>
    <t>QUAC-26</t>
  </si>
  <si>
    <t>CMS Abuse Icon Status</t>
  </si>
  <si>
    <t>Flag: 1 = CMS Abuse Icon Displayed, 0 = Not Displayed (set from F600 / F602 / F603 citations)</t>
  </si>
  <si>
    <t>CMS Care Compare provider information file</t>
  </si>
  <si>
    <t>Regulatory - referral-stopping flag; caps health inspection at 2 stars and overall at 4</t>
  </si>
  <si>
    <t>QUAC-27</t>
  </si>
  <si>
    <t>Special Focus Facility (SFF) Status</t>
  </si>
  <si>
    <t>Flag: 2 = SFF Participant, 1 = SFF Candidate, 0 = Neither</t>
  </si>
  <si>
    <t>CMS SFF list (published monthly)</t>
  </si>
  <si>
    <t>Regulatory - SFF participants receive no star ratings and are often dropped from managed-care networks</t>
  </si>
  <si>
    <t>QUAC-28</t>
  </si>
  <si>
    <t>PBJ Submission and RN Coverage Exceptions</t>
  </si>
  <si>
    <t>Count of Staffing-Rating Exceptions Triggered in the Quarter (late PBJ submission; 4+ days with zero RN hours; failed or unanswered PBJ audit)</t>
  </si>
  <si>
    <t>Payroll/PBJ system, CMS Care Compare (tool-fetched)</t>
  </si>
  <si>
    <t>PBJ submission confirmations; Daily RN coverage report; PBJ audit correspondence</t>
  </si>
  <si>
    <t>Regulatory - any exception forces the Staffing star to 1</t>
  </si>
  <si>
    <t>QUAC-29</t>
  </si>
  <si>
    <t>Schizophrenia Coding Audit Status</t>
  </si>
  <si>
    <t>Flag: 1 = CMS Audit Found Schizophrenia Coding Inaccuracies (penalty active), 0 = No</t>
  </si>
  <si>
    <t>CMS audit correspondence; MDS Section I coding</t>
  </si>
  <si>
    <t>Regulatory - coding-integrity flag with a rating consequence</t>
  </si>
  <si>
    <t>QUAC-30</t>
  </si>
  <si>
    <t>Reportable Incident Rate per 1,000 Resident Days</t>
  </si>
  <si>
    <t>(Total Reportable Incidents / Total Resident Days) * 1000</t>
  </si>
  <si>
    <t>Incident / risk management system, PCC, Census system</t>
  </si>
  <si>
    <t>Incident and accident reports; State reportable incident log; Census (resident day) register</t>
  </si>
  <si>
    <t>Safety / liability exposure - composite view across all incident types</t>
  </si>
  <si>
    <t>REHT-04</t>
  </si>
  <si>
    <t>Rehabilitation / Therapy</t>
  </si>
  <si>
    <t>Functional Improvement Rate</t>
  </si>
  <si>
    <t>(Residents Achieving Functional Goal / Residents Discharged from Therapy) * 100</t>
  </si>
  <si>
    <t>Therapy system, PCC</t>
  </si>
  <si>
    <t>Initial and discharge functional assessments; Section GG scores; Discharge summaries</t>
  </si>
  <si>
    <t>Payer-facing outcome measure</t>
  </si>
  <si>
    <t>RESE-01</t>
  </si>
  <si>
    <t>Resident Engagement / Communication</t>
  </si>
  <si>
    <t>Resident Satisfaction Score (Overall)</t>
  </si>
  <si>
    <t>Sum of Overall Satisfaction Ratings / Number of Responses</t>
  </si>
  <si>
    <t>Survey platform, Engagement app</t>
  </si>
  <si>
    <t>Annual resident satisfaction survey; Pulse survey exports</t>
  </si>
  <si>
    <t>Regulatory + reputational</t>
  </si>
  <si>
    <t>RESE-03</t>
  </si>
  <si>
    <t>Family Satisfaction Score</t>
  </si>
  <si>
    <t>Sum of Family Satisfaction Ratings / Number of Family Responses</t>
  </si>
  <si>
    <t>Family survey results; Family council minutes</t>
  </si>
  <si>
    <t>Family decision-makers drive referrals</t>
  </si>
  <si>
    <t>RESE-05</t>
  </si>
  <si>
    <t>Grievance Volume</t>
  </si>
  <si>
    <t>Count of Formal Grievances Filed in Period</t>
  </si>
  <si>
    <t>Grievance / QAPI system</t>
  </si>
  <si>
    <t>Grievance forms; Resident council minutes</t>
  </si>
  <si>
    <t>Regulatory - grievance log is surveyed</t>
  </si>
  <si>
    <t>RESE-06</t>
  </si>
  <si>
    <t>Grievance Resolution Rate Within SLA</t>
  </si>
  <si>
    <t>(Grievances Resolved Within Required Days / Total Grievances) * 100</t>
  </si>
  <si>
    <t>Grievance log with open/close dates; Resolution letters</t>
  </si>
  <si>
    <t>RESE-07</t>
  </si>
  <si>
    <t>Average Grievance Resolution Time</t>
  </si>
  <si>
    <t>Sum of Days to Resolve / Number of Grievances Closed</t>
  </si>
  <si>
    <t>Grievance system</t>
  </si>
  <si>
    <t>Grievance log timestamps</t>
  </si>
  <si>
    <t>RESE-12</t>
  </si>
  <si>
    <t>Resident Length of Stay (Average)</t>
  </si>
  <si>
    <t>Sum of Days Resided by Departed Residents / Number of Departures</t>
  </si>
  <si>
    <t>Move-in and move-out dates; Census history</t>
  </si>
  <si>
    <t>RESE-13</t>
  </si>
  <si>
    <t>Medicare Advantage SNF Length of Stay</t>
  </si>
  <si>
    <t>Sum of SNF Days for Discharged MA Residents / Number of MA Discharges</t>
  </si>
  <si>
    <t>PCC, Billing system</t>
  </si>
  <si>
    <t>Discharge register by payer</t>
  </si>
  <si>
    <t>Payer cut of an existing KPI - pull ad hoc</t>
  </si>
  <si>
    <t>RESE-14</t>
  </si>
  <si>
    <t>Resident Technology Engagement Rate</t>
  </si>
  <si>
    <t>(Residents Actively Using the Resident Engagement Platform / Occupied Units) * 100</t>
  </si>
  <si>
    <t>Resident engagement platform (e.g. Touchtown, iN2L), Census system</t>
  </si>
  <si>
    <t>Platform active-user report; Census register</t>
  </si>
  <si>
    <t>Programme-dependent - only if a resident engagement platform is deployed</t>
  </si>
  <si>
    <t>SALM-01</t>
  </si>
  <si>
    <t>Sales / Marketing / CRM</t>
  </si>
  <si>
    <t>Lead Volume (New Inquiries)</t>
  </si>
  <si>
    <t>Count of New Inquiries Created in Period</t>
  </si>
  <si>
    <t>CRM (Eldermark, Sherpa, Salesforce)</t>
  </si>
  <si>
    <t>Inquiry records; Call tracking log; Web form submissions</t>
  </si>
  <si>
    <t>Top of the occupancy funnel</t>
  </si>
  <si>
    <t>SALM-02</t>
  </si>
  <si>
    <t>Lead to Tour Conversion Rate</t>
  </si>
  <si>
    <t>(Number of Tours Conducted / Number of Qualified Leads) * 100</t>
  </si>
  <si>
    <t>CRM</t>
  </si>
  <si>
    <t>Lead records; Tour activity log; Sales counselor notes</t>
  </si>
  <si>
    <t>SALM-03</t>
  </si>
  <si>
    <t>Tour to Deposit Conversion Rate</t>
  </si>
  <si>
    <t>(Number of Deposits Received / Number of Tours Conducted) * 100</t>
  </si>
  <si>
    <t>Tour log; Deposit agreements; Reservation records</t>
  </si>
  <si>
    <t>Conversion step that decides occupancy</t>
  </si>
  <si>
    <t>SALM-04</t>
  </si>
  <si>
    <t>Lead to Move-In Conversion Rate</t>
  </si>
  <si>
    <t>(Number of Move-Ins / Number of Qualified Leads) * 100</t>
  </si>
  <si>
    <t>CRM, Billing system</t>
  </si>
  <si>
    <t>Lead records; Move-in agreements; Census report</t>
  </si>
  <si>
    <t>SALM-08</t>
  </si>
  <si>
    <t>Net Move-Ins</t>
  </si>
  <si>
    <t>Number of Move-Ins - Number of Move-Outs</t>
  </si>
  <si>
    <t>Move-in and move-out logs; Census report</t>
  </si>
  <si>
    <t>Net census movement</t>
  </si>
  <si>
    <t>SALM-09</t>
  </si>
  <si>
    <t>Move-Out Rate (Attrition)</t>
  </si>
  <si>
    <t>(Number of Move-Outs / Average Occupied Units) * 100</t>
  </si>
  <si>
    <t>Billing system, CRM</t>
  </si>
  <si>
    <t>Move-out notices; Discharge records; Occupancy report</t>
  </si>
  <si>
    <t>Attrition - the other half of occupancy</t>
  </si>
  <si>
    <t>SALM-10</t>
  </si>
  <si>
    <t>Occupancy Pipeline Coverage</t>
  </si>
  <si>
    <t>Number of Deposits and Reservations / Number of Vacant Units</t>
  </si>
  <si>
    <t>Deposit log; Unit availability report</t>
  </si>
  <si>
    <t>SALM-14</t>
  </si>
  <si>
    <t>Referral Source Contribution</t>
  </si>
  <si>
    <t>(Move-Ins from Referral Source / Total Move-Ins) * 100</t>
  </si>
  <si>
    <t>Referral source field on lead records; Referral partner agreements</t>
  </si>
  <si>
    <t>SALM-16</t>
  </si>
  <si>
    <t>Move-Out Reason Distribution</t>
  </si>
  <si>
    <t>(Move-Outs for Each Reason / Total Move-Outs) * 100  [one value per reason]</t>
  </si>
  <si>
    <t>CRM, Census system</t>
  </si>
  <si>
    <t>Move-out forms with reason code; Census register</t>
  </si>
  <si>
    <t>Explains movement in a Tier 1 KPI - add in phase 2 (SALM-09)</t>
  </si>
  <si>
    <t>SALM-17</t>
  </si>
  <si>
    <t>Online Reputation Score</t>
  </si>
  <si>
    <t>Average Star Rating Across Declared Review Platforms (record platform used)</t>
  </si>
  <si>
    <t>Review platforms (Google, Caring.com), CRM</t>
  </si>
  <si>
    <t>Review platform exports; Review response log</t>
  </si>
  <si>
    <t>Drives referrals and lead volume</t>
  </si>
  <si>
    <t>SALM-18</t>
  </si>
  <si>
    <t>Marketing Cost as % of Operating Expense</t>
  </si>
  <si>
    <t>(Total Marketing Expense / Total Operating Expense) * 100</t>
  </si>
  <si>
    <t>Finance GL, CRM</t>
  </si>
  <si>
    <t>Marketing cost centre; Income statement</t>
  </si>
  <si>
    <t>SALM-19</t>
  </si>
  <si>
    <t>Rate Realization (Achieved vs Published Rate)</t>
  </si>
  <si>
    <t>(Average Monthly Rate Achieved on New Move-Ins / Published Street Rate for the Same Unit Types) * 100</t>
  </si>
  <si>
    <t>CRM, Billing system, Rate sheet</t>
  </si>
  <si>
    <t>Move-in contracts; Published rate sheet; Concession log</t>
  </si>
  <si>
    <t>Core revenue driver - shows whether census is being bought with discounts</t>
  </si>
  <si>
    <t>SALM-20</t>
  </si>
  <si>
    <t>Tours per 100 Units per Month</t>
  </si>
  <si>
    <t>Total Tours / (Total Units / 100) / Months in Period</t>
  </si>
  <si>
    <t>CRM (Aline / Sherpa, Salesforce)</t>
  </si>
  <si>
    <t>CRM tour activity log; Unit inventory</t>
  </si>
  <si>
    <t>Explains movement in a Tier 1 KPI - add in phase 2 (SALM-02)</t>
  </si>
  <si>
    <t>SALM-21</t>
  </si>
  <si>
    <t>Move-Ins per 100 Units per Month</t>
  </si>
  <si>
    <t>Total Move-Ins / (Total Units / 100) / Months in Period</t>
  </si>
  <si>
    <t>Move-in register; Unit inventory</t>
  </si>
  <si>
    <t>Conversion step that decides occupancy - gross move-in volume</t>
  </si>
  <si>
    <t>SALM-22</t>
  </si>
  <si>
    <t>Deposit to Move-In Conversion Rate</t>
  </si>
  <si>
    <t>(Move-Ins Originating from Deposits / Deposits Taken) * 100</t>
  </si>
  <si>
    <t>CRM deposit records; Move-in register; Deposit refund log</t>
  </si>
  <si>
    <t>Conversion step that decides occupancy - late-stage fallout</t>
  </si>
  <si>
    <t>SEC-01</t>
  </si>
  <si>
    <t>Security</t>
  </si>
  <si>
    <t>Security Incident Rate</t>
  </si>
  <si>
    <t>(Number of Security Incidents / Total Resident Days) * 1000</t>
  </si>
  <si>
    <t>Security incident system</t>
  </si>
  <si>
    <t>Security incident reports; Shift logs</t>
  </si>
  <si>
    <t>SEC-02</t>
  </si>
  <si>
    <t>Elopement / Wandering Incident Count</t>
  </si>
  <si>
    <t>Number of Elopement or Unauthorized Exit Events in Period</t>
  </si>
  <si>
    <t>Security, Nurse Call / Wander management system</t>
  </si>
  <si>
    <t>Elopement incident reports; Door alarm logs; WanderGuard reports</t>
  </si>
  <si>
    <t>Life safety - elopement is a sentinel event</t>
  </si>
  <si>
    <t>TRA-07</t>
  </si>
  <si>
    <t>Transportation</t>
  </si>
  <si>
    <t>Vehicle Preventive Maintenance Compliance</t>
  </si>
  <si>
    <t>(Vehicle PM Services Completed On Time / PM Services Due) * 100</t>
  </si>
  <si>
    <t>MicroMain CMMS, Fleet records</t>
  </si>
  <si>
    <t>Vehicle service records; Fleet PM schedule</t>
  </si>
  <si>
    <t>Common Formula Elements - which formula inputs are shared, and by which Sr. Nos.</t>
  </si>
  <si>
    <t>Each row is one input that appears in KPI formulas. "Used in Sr. No." lists the KPI_Master serial numbers that use it. Each element is fed by ONE document (column G, blue = editable). Change a Doc ID here and the map, matrix and document counts all update. Click any Sr. No. in columns J onward to jump straight to that KPI's row (formula, sources, documents) in KPI_Master.</t>
  </si>
  <si>
    <t>Element ID</t>
  </si>
  <si>
    <t>Common Data Element (formula input)</t>
  </si>
  <si>
    <t>Standard Definition (use the same everywhere)</t>
  </si>
  <si>
    <t>Used in Sr. No.</t>
  </si>
  <si>
    <t>No. of KPIs Using It</t>
  </si>
  <si>
    <t>Of which Tier 1 - Core</t>
  </si>
  <si>
    <t>Doc ID</t>
  </si>
  <si>
    <t>Single Source Document</t>
  </si>
  <si>
    <t>Go to KPI_Master - click a Sr. No. to jump to that KPI row</t>
  </si>
  <si>
    <t>E01</t>
  </si>
  <si>
    <t>Total Resident Days</t>
  </si>
  <si>
    <t>Sum of daily (midnight) census over the period</t>
  </si>
  <si>
    <t>D01</t>
  </si>
  <si>
    <t>E02</t>
  </si>
  <si>
    <t>Occupied Units / Beds</t>
  </si>
  <si>
    <t>Average occupied units (or beds) for the period, from daily census</t>
  </si>
  <si>
    <t>E03</t>
  </si>
  <si>
    <t>Total Residents (headcount)</t>
  </si>
  <si>
    <t>Residents in house (average or point-in-time, state which)</t>
  </si>
  <si>
    <t>E04</t>
  </si>
  <si>
    <t>Resident Days by Payer</t>
  </si>
  <si>
    <t>Resident days split by payer type</t>
  </si>
  <si>
    <t>E05</t>
  </si>
  <si>
    <t>Skilled / Medicare Part A Days &amp; Census</t>
  </si>
  <si>
    <t>Skilled patient days and Part A census</t>
  </si>
  <si>
    <t>E06</t>
  </si>
  <si>
    <t>Census by Level of Care (AL / MC / SNF)</t>
  </si>
  <si>
    <t>Occupied units and resident days by care level</t>
  </si>
  <si>
    <t>E07</t>
  </si>
  <si>
    <t>Move-Ins / Admissions</t>
  </si>
  <si>
    <t>Count and dates of move-ins / admissions (incl. admission source)</t>
  </si>
  <si>
    <t>E08</t>
  </si>
  <si>
    <t>Move-Outs / Discharges</t>
  </si>
  <si>
    <t>Count, dates, reason code, destination and payer of each departure</t>
  </si>
  <si>
    <t>E09</t>
  </si>
  <si>
    <t>Hospital Transfers &amp; Readmissions</t>
  </si>
  <si>
    <t>Transfer-to-hospital events with date, planned / unplanned flag and return</t>
  </si>
  <si>
    <t>E10</t>
  </si>
  <si>
    <t>Prior Hospital Stay Dates</t>
  </si>
  <si>
    <t>Hospital admit / discharge dates captured on the admission record</t>
  </si>
  <si>
    <t>E11</t>
  </si>
  <si>
    <t>Total Available Units / Licensed Beds</t>
  </si>
  <si>
    <t>Units (or licensed beds) available to occupy</t>
  </si>
  <si>
    <t>D02</t>
  </si>
  <si>
    <t>E12</t>
  </si>
  <si>
    <t>Square Footage (building / cleanable)</t>
  </si>
  <si>
    <t>Gross building and cleanable square feet</t>
  </si>
  <si>
    <t>E13</t>
  </si>
  <si>
    <t>Developed Acreage</t>
  </si>
  <si>
    <t>Developed site acres maintained</t>
  </si>
  <si>
    <t>E14</t>
  </si>
  <si>
    <t>Published Street Rates</t>
  </si>
  <si>
    <t>Current published monthly rate by unit type</t>
  </si>
  <si>
    <t>E15</t>
  </si>
  <si>
    <t>Total Revenue / Operating Revenue</t>
  </si>
  <si>
    <t>Total revenue from the P&amp;L (also resident / operating revenue subtotals)</t>
  </si>
  <si>
    <t>D03</t>
  </si>
  <si>
    <t>E16</t>
  </si>
  <si>
    <t>Total Operating Expense</t>
  </si>
  <si>
    <t>Total operating expense from the P&amp;L</t>
  </si>
  <si>
    <t>E17</t>
  </si>
  <si>
    <t>Account-Level Expense Lines</t>
  </si>
  <si>
    <t>Natural-account lines on the consolidated P&amp;L: utilities, insurance, management fee, bad debt</t>
  </si>
  <si>
    <t>E18</t>
  </si>
  <si>
    <t>Depreciation &amp; Amortisation</t>
  </si>
  <si>
    <t>Depreciation (and amortisation) expense</t>
  </si>
  <si>
    <t>E19</t>
  </si>
  <si>
    <t>Net / Operating Income Items</t>
  </si>
  <si>
    <t>Net income, operating income, interest, taxes, rent</t>
  </si>
  <si>
    <t>E20</t>
  </si>
  <si>
    <t>Budgeted Amounts</t>
  </si>
  <si>
    <t>Budget column of the P&amp;L</t>
  </si>
  <si>
    <t>E21</t>
  </si>
  <si>
    <t>Balance Sheet Balances</t>
  </si>
  <si>
    <t>Cash &amp; investments, AP, accumulated depreciation, property at cost, entrance-fee liability and funded reserve</t>
  </si>
  <si>
    <t>E22</t>
  </si>
  <si>
    <t>Capital Expenditure &amp; Debt Service</t>
  </si>
  <si>
    <t>Capex and principal + interest paid, from cash-flow statement</t>
  </si>
  <si>
    <t>E23</t>
  </si>
  <si>
    <t>Labor Cost $ (wages, benefits, agency, WC premium)</t>
  </si>
  <si>
    <t>All labor dollars taken from the GL so they reconcile to the P&amp;L</t>
  </si>
  <si>
    <t>E24</t>
  </si>
  <si>
    <t>Resident Revenue Detail</t>
  </si>
  <si>
    <t>Billing by resident, payer and charge code (skilled revenue, care-level fees, credit revenue, achieved rates)</t>
  </si>
  <si>
    <t>D04</t>
  </si>
  <si>
    <t>E25</t>
  </si>
  <si>
    <t>AR Balance &amp; Aging Buckets</t>
  </si>
  <si>
    <t>Total AR and balances by age bucket</t>
  </si>
  <si>
    <t>D05</t>
  </si>
  <si>
    <t>E26</t>
  </si>
  <si>
    <t>Hours Worked (regular / OT, by department &amp; job class)</t>
  </si>
  <si>
    <t>Paid / worked hours from payroll</t>
  </si>
  <si>
    <t>D06</t>
  </si>
  <si>
    <t>E27</t>
  </si>
  <si>
    <t>Wages by Job Class / Department</t>
  </si>
  <si>
    <t>Wages paid by job class (RN, LPN, CNA) and department</t>
  </si>
  <si>
    <t>E28</t>
  </si>
  <si>
    <t>FTEs by Department</t>
  </si>
  <si>
    <t>Paid hours / standard hours (state the divisor, e.g. 2,080)</t>
  </si>
  <si>
    <t>E29</t>
  </si>
  <si>
    <t>Scheduled vs Worked by Day &amp; Shift</t>
  </si>
  <si>
    <t>Scheduled shifts, call-outs, hours by day of week and shift</t>
  </si>
  <si>
    <t>D07</t>
  </si>
  <si>
    <t>E30</t>
  </si>
  <si>
    <t>Employee Headcount</t>
  </si>
  <si>
    <t>Average active employees (by job class where needed)</t>
  </si>
  <si>
    <t>D08</t>
  </si>
  <si>
    <t>E31</t>
  </si>
  <si>
    <t>Separations</t>
  </si>
  <si>
    <t>Separations with type (voluntary / involuntary), job class, date</t>
  </si>
  <si>
    <t>E32</t>
  </si>
  <si>
    <t>New Hires</t>
  </si>
  <si>
    <t>Hires with hire date</t>
  </si>
  <si>
    <t>E33</t>
  </si>
  <si>
    <t>Budgeted Positions / Requisitions</t>
  </si>
  <si>
    <t>Budgeted positions, recommended FTE, open requisitions with open and fill dates</t>
  </si>
  <si>
    <t>D09</t>
  </si>
  <si>
    <t>E34</t>
  </si>
  <si>
    <t>Workers' Comp Claims</t>
  </si>
  <si>
    <t>Claim count and incurred / paid cost</t>
  </si>
  <si>
    <t>D10</t>
  </si>
  <si>
    <t>E35</t>
  </si>
  <si>
    <t>Training Assignments &amp; Completions</t>
  </si>
  <si>
    <t>Required courses assigned vs completed</t>
  </si>
  <si>
    <t>D11</t>
  </si>
  <si>
    <t>E36</t>
  </si>
  <si>
    <t>Survey Ratings &amp; Response Counts</t>
  </si>
  <si>
    <t>Ratings and number of responses by survey and question group</t>
  </si>
  <si>
    <t>D12</t>
  </si>
  <si>
    <t>E37</t>
  </si>
  <si>
    <t>Incidents by Type</t>
  </si>
  <si>
    <t>Falls (with injury severity), med errors, reportable, security, elopement</t>
  </si>
  <si>
    <t>D13</t>
  </si>
  <si>
    <t>E38</t>
  </si>
  <si>
    <t>Medication Administrations</t>
  </si>
  <si>
    <t>Doses given; residents on antipsychotics / PRN psychotropics</t>
  </si>
  <si>
    <t>D14</t>
  </si>
  <si>
    <t>E39</t>
  </si>
  <si>
    <t>Clinical Assessment Results</t>
  </si>
  <si>
    <t>Skin / wound, weights, hydration, acuity scores, diagnoses</t>
  </si>
  <si>
    <t>D15</t>
  </si>
  <si>
    <t>E40</t>
  </si>
  <si>
    <t>Care Plan &amp; Assessment Schedule</t>
  </si>
  <si>
    <t>Due date vs completed date for care plans and assessments</t>
  </si>
  <si>
    <t>E41</t>
  </si>
  <si>
    <t>MDS Data (ARD, PDPM CMI)</t>
  </si>
  <si>
    <t>ARD and PDPM component CMI per assessment</t>
  </si>
  <si>
    <t>D16</t>
  </si>
  <si>
    <t>E42</t>
  </si>
  <si>
    <t>CMS-Published Measures &amp; Ratings</t>
  </si>
  <si>
    <t>Star ratings, QMs, case-mix staffing, inspection points, abuse icon, SFF status</t>
  </si>
  <si>
    <t>D17</t>
  </si>
  <si>
    <t>E43</t>
  </si>
  <si>
    <t>Survey Deficiencies</t>
  </si>
  <si>
    <t>Citations with tag, scope / severity, SQC / IJ flag, health vs LSC</t>
  </si>
  <si>
    <t>D18</t>
  </si>
  <si>
    <t>E44</t>
  </si>
  <si>
    <t>Confirmed Infections</t>
  </si>
  <si>
    <t>Infections meeting surveillance criteria, by type (incl. UTI)</t>
  </si>
  <si>
    <t>D19</t>
  </si>
  <si>
    <t>E45</t>
  </si>
  <si>
    <t>Audit Points Earned / Possible</t>
  </si>
  <si>
    <t>Audit scores for IP, sanitation and tray-line audits</t>
  </si>
  <si>
    <t>D20</t>
  </si>
  <si>
    <t>E46</t>
  </si>
  <si>
    <t>Therapy Functional Outcomes</t>
  </si>
  <si>
    <t>Goal met at therapy discharge</t>
  </si>
  <si>
    <t>D21</t>
  </si>
  <si>
    <t>E47</t>
  </si>
  <si>
    <t>Meals Served</t>
  </si>
  <si>
    <t>Meals served (count)</t>
  </si>
  <si>
    <t>D22</t>
  </si>
  <si>
    <t>E48</t>
  </si>
  <si>
    <t>Laundry Pounds Processed</t>
  </si>
  <si>
    <t>Pounds of laundry processed</t>
  </si>
  <si>
    <t>D23</t>
  </si>
  <si>
    <t>E49</t>
  </si>
  <si>
    <t>Activity Programs Offered</t>
  </si>
  <si>
    <t>Programs with start / end time and wellness dimension</t>
  </si>
  <si>
    <t>D24</t>
  </si>
  <si>
    <t>E50</t>
  </si>
  <si>
    <t>Activity Attendance</t>
  </si>
  <si>
    <t>Attendances by resident and program</t>
  </si>
  <si>
    <t>E51</t>
  </si>
  <si>
    <t>Grievances</t>
  </si>
  <si>
    <t>Grievances with filed and resolved dates</t>
  </si>
  <si>
    <t>D25</t>
  </si>
  <si>
    <t>E52</t>
  </si>
  <si>
    <t>Platform Active Users</t>
  </si>
  <si>
    <t>Residents actively using the engagement platform</t>
  </si>
  <si>
    <t>D26</t>
  </si>
  <si>
    <t>E53</t>
  </si>
  <si>
    <t>Sales Pipeline Events</t>
  </si>
  <si>
    <t>Inquiries, qualified leads, tours, deposits / reservations, referral source, deposit-origin move-ins</t>
  </si>
  <si>
    <t>D27</t>
  </si>
  <si>
    <t>E54</t>
  </si>
  <si>
    <t>Online Review Ratings</t>
  </si>
  <si>
    <t>Star ratings by review platform</t>
  </si>
  <si>
    <t>D28</t>
  </si>
  <si>
    <t>E55</t>
  </si>
  <si>
    <t>Work Orders &amp; PM Tasks</t>
  </si>
  <si>
    <t>Work orders with type, request / due / completion dates, labor hours, chargeable $</t>
  </si>
  <si>
    <t>D29</t>
  </si>
  <si>
    <t>E56</t>
  </si>
  <si>
    <t>Utility Consumption</t>
  </si>
  <si>
    <t>kWh, therms, water consumed</t>
  </si>
  <si>
    <t>D30</t>
  </si>
  <si>
    <t>E57</t>
  </si>
  <si>
    <t>Department Non-Labor Expense</t>
  </si>
  <si>
    <t>Non-labor spend by department: dining supplies, maintenance parts / contracts, grounds, marketing, IT. Department labor comes from E27 (payroll by department)</t>
  </si>
  <si>
    <t>D31</t>
  </si>
  <si>
    <t>E58</t>
  </si>
  <si>
    <t>Food Purchase Cost</t>
  </si>
  <si>
    <t>Raw food purchases. Kept on D03 because food is normally its own P&amp;L account; if it is not, change this Doc ID to D31</t>
  </si>
  <si>
    <t>Minimum Source Document Set - one document per data element, covering all 171 KPIs</t>
  </si>
  <si>
    <t>Distinct documents named in KPI_Master (Source Documents column)</t>
  </si>
  <si>
    <t>Counted from KPI_Master column G at build time (split on ";", de-duplicated, case-insensitive)</t>
  </si>
  <si>
    <t>Minimum documents in this set</t>
  </si>
  <si>
    <t>KPIs not covered by any document (should be 0)</t>
  </si>
  <si>
    <t>Of which needed to launch Tier 1 - Core KPIs</t>
  </si>
  <si>
    <t>Minimum Source Document</t>
  </si>
  <si>
    <t>Data Elements It Supplies</t>
  </si>
  <si>
    <t>Replaces / Consolidates (from KPI_Master)</t>
  </si>
  <si>
    <t>KPIs Using It</t>
  </si>
  <si>
    <t>Tier 1 KPIs Using It</t>
  </si>
  <si>
    <t>Needed for Tier 1 Launch?</t>
  </si>
  <si>
    <t>Sr. Nos. Using It</t>
  </si>
  <si>
    <t>Census &amp; ADT Register</t>
  </si>
  <si>
    <t>EHR (PCC / MatrixCare / AL Advantage / Eldermark)</t>
  </si>
  <si>
    <t>E01 Total Resident Days; E02 Occupied Units / Beds; E03 Total Residents (headcount); E04 Resident Days by Payer; E05 Skilled / Medicare Part A Days &amp; Census; E06 Census by Level of Care (AL / MC / SNF); E07 Move-Ins / Admissions; E08 Move-Outs / Discharges; E09 Hospital Transfers &amp; Readmissions; E10 Prior Hospital Stay Dates</t>
  </si>
  <si>
    <t>Daily census report; Census register; Census by payer; Skilled census register; MC census; Occupancy report; Move-in / move-out logs; Discharge records; Transfer / discharge log; Admission face sheets; Discharge register by payer; Midnight census</t>
  </si>
  <si>
    <t>Property &amp; Unit Master Schedule</t>
  </si>
  <si>
    <t>Property management / Finance</t>
  </si>
  <si>
    <t>E11 Total Available Units / Licensed Beds; E12 Square Footage (building / cleanable); E13 Developed Acreage; E14 Published Street Rates</t>
  </si>
  <si>
    <t>Unit inventory schedule; Licensed bed count; Building floor plan / area schedule; Cleanable square-footage schedule; Site plan (developed acreage); Published rate sheet</t>
  </si>
  <si>
    <t>Monthly Financial Statement Package - consolidated (P&amp;L with budget, balance sheet, cash flow, trial balance; no department split needed)</t>
  </si>
  <si>
    <t>E15 Total Revenue / Operating Revenue; E16 Total Operating Expense; E17 Account-Level Expense Lines; E18 Depreciation &amp; Amortisation; E19 Net / Operating Income Items; E20 Budgeted Amounts; E21 Balance Sheet Balances; E22 Capital Expenditure &amp; Debt Service; E23 Labor Cost $ (wages, benefits, agency, WC premium); E58 Food Purchase Cost</t>
  </si>
  <si>
    <t>Monthly P&amp;L; Income statement; Trial balance; Balance sheet; Cash-flow statement; Budget file; Audited financial statements; Revenue GL; Food purchase invoices ($); Utility invoices ($); Insurance invoices; Benefits invoices; Agency invoices; Loan amortisation schedule; Fixed-asset register; Management agreement; Write-off approval forms</t>
  </si>
  <si>
    <t>Resident Billing Register / Rent Roll (by resident, payer and charge code)</t>
  </si>
  <si>
    <t>Billing (EHR billing module)</t>
  </si>
  <si>
    <t>E24 Resident Revenue Detail</t>
  </si>
  <si>
    <t>Rent roll; Billing revenue by payer; Monthly billing by charge code; Move-in contracts; Concession log</t>
  </si>
  <si>
    <t>AR Aging Report</t>
  </si>
  <si>
    <t>Billing / Finance</t>
  </si>
  <si>
    <t>E25 AR Balance &amp; Aging Buckets</t>
  </si>
  <si>
    <t>AR aging report; Collection notes; Payer remittance advices</t>
  </si>
  <si>
    <t>Payroll Register (hours and wages by employee, job class and department)</t>
  </si>
  <si>
    <t>Payroll</t>
  </si>
  <si>
    <t>E26 Hours Worked (regular / OT, by department &amp; job class); E27 Wages by Job Class / Department; E28 FTEs by Department</t>
  </si>
  <si>
    <t>Payroll register; Payroll register by job class / department; Payroll hours report; Payroll FTE report; Dining / laundry timecards; Timecards; PBJ file (hours)</t>
  </si>
  <si>
    <t>Time &amp; Attendance / Scheduling Report (scheduled vs worked, by day and shift)</t>
  </si>
  <si>
    <t>Time &amp; Attendance</t>
  </si>
  <si>
    <t>E29 Scheduled vs Worked by Day &amp; Shift</t>
  </si>
  <si>
    <t>Schedule; Attendance records; Call-out log; Daily staffing sheets; Shift schedules; Time &amp; attendance by day of week; Daily RN coverage report</t>
  </si>
  <si>
    <t>HRIS Employee Roster &amp; Movement Report (headcount, hires, separations)</t>
  </si>
  <si>
    <t>E30 Employee Headcount; E31 Separations; E32 New Hires</t>
  </si>
  <si>
    <t>Headcount report; Termination / separation records; Separation records by job class; New hire roster; HR department roster; Exit interview forms; PBJ administrator job-class data</t>
  </si>
  <si>
    <t>Position Control &amp; Requisition Report (budgeted positions, recommended FTE, open requisitions)</t>
  </si>
  <si>
    <t>E33 Budgeted Positions / Requisitions</t>
  </si>
  <si>
    <t>Approved staffing plan; Requisition log; Job requisition records; Offer letters; SBC recommended FTE by position</t>
  </si>
  <si>
    <t>Workers' Compensation Loss Run</t>
  </si>
  <si>
    <t>Insurance carrier / broker</t>
  </si>
  <si>
    <t>E34 Workers' Comp Claims</t>
  </si>
  <si>
    <t>Claims loss runs; Insurance claim records; OSHA 300 log; WC incident reports</t>
  </si>
  <si>
    <t>LMS Training Completion Report</t>
  </si>
  <si>
    <t>LMS</t>
  </si>
  <si>
    <t>E35 Training Assignments &amp; Completions</t>
  </si>
  <si>
    <t>Satisfaction &amp; Engagement Survey Results (resident, family, employee)</t>
  </si>
  <si>
    <t>E36 Survey Ratings &amp; Response Counts</t>
  </si>
  <si>
    <t>Resident satisfaction survey; Family survey results; Employee engagement survey; Pulse survey exports; Program feedback forms; Comment cards; Food committee / family council minutes</t>
  </si>
  <si>
    <t>Incident &amp; Accident Log (falls, med errors, reportable, security, elopement)</t>
  </si>
  <si>
    <t>EHR risk / incident module</t>
  </si>
  <si>
    <t>E37 Incidents by Type</t>
  </si>
  <si>
    <t>Incident / accident reports; eINTERACT fall logs; Medication error incident forms; State reportable incident log; Security incident reports; Elopement reports; Door alarm / WanderGuard logs; Shift logs</t>
  </si>
  <si>
    <t>eMAR Administration Report</t>
  </si>
  <si>
    <t>EHR eMAR</t>
  </si>
  <si>
    <t>E38 Medication Administrations</t>
  </si>
  <si>
    <t>eMAR exception report; Medication administration record; eMAR PRN log; Pharmacy consultant report; GDR documentation</t>
  </si>
  <si>
    <t>EHR Clinical Assessment &amp; Care Plan Report</t>
  </si>
  <si>
    <t>EHR</t>
  </si>
  <si>
    <t>E39 Clinical Assessment Results; E40 Care Plan &amp; Assessment Schedule</t>
  </si>
  <si>
    <t>Skin &amp; wound assessments; Braden scores; Wound rounds; Monthly weight record; Intake &amp; output; Hydration risk list; Dietitian / nutrition assessments; Diagnosis list; Acuity / level-of-care assessments; Care plan due-date report; Assessment due report; Service plan records</t>
  </si>
  <si>
    <t>MDS 3.0 Assessment Export (SNF only)</t>
  </si>
  <si>
    <t>EHR MDS module</t>
  </si>
  <si>
    <t>E41 MDS Data (ARD, PDPM CMI)</t>
  </si>
  <si>
    <t>MDS submission log; MDS ARD field; MDS audit log; PDPM HIPPS codes; MDS Sections GG/H/I/J/K/N</t>
  </si>
  <si>
    <t>CMS Care Compare Provider Data Download (monthly)</t>
  </si>
  <si>
    <t>CMS (public data)</t>
  </si>
  <si>
    <t>E42 CMS-Published Measures &amp; Ratings</t>
  </si>
  <si>
    <t>Care Compare star ratings; QM file; Staffing file; Health inspection file; Provider information (abuse icon, SFF status); Medicare claims-based QMs; PBJ audit outcomes</t>
  </si>
  <si>
    <t>Regulatory Survey Report (CMS-2567 / State survey, incl. Life Safety)</t>
  </si>
  <si>
    <t>Regulator</t>
  </si>
  <si>
    <t>E43 Survey Deficiencies</t>
  </si>
  <si>
    <t>CMS-2567; Statement of deficiencies; LSC survey; Fire marshal inspection reports</t>
  </si>
  <si>
    <t>Infection Surveillance Line Listing</t>
  </si>
  <si>
    <t>EHR infection module / IP log</t>
  </si>
  <si>
    <t>E44 Confirmed Infections</t>
  </si>
  <si>
    <t>Infection line listing; Lab culture reports; Urine culture results; McGeer worksheet; Antibiotic start log</t>
  </si>
  <si>
    <t>Quality Audit Tool Export (IP, sanitation, tray-line audits)</t>
  </si>
  <si>
    <t>Digital audit / rounding tool</t>
  </si>
  <si>
    <t>E45 Audit Points Earned / Possible</t>
  </si>
  <si>
    <t>Hand hygiene / PPE audits; IP rounding logs; Internal sanitation audit; Temperature logs; Tray line audit sheet; Dietitian audit log; Health department inspection</t>
  </si>
  <si>
    <t>Therapy Discharge / Functional Outcomes Report</t>
  </si>
  <si>
    <t>Rehab / therapy system</t>
  </si>
  <si>
    <t>E46 Therapy Functional Outcomes</t>
  </si>
  <si>
    <t>Initial and discharge functional assessments; Section GG scores; Therapy discharge summaries</t>
  </si>
  <si>
    <t>Meal Count / POS Report</t>
  </si>
  <si>
    <t>Dining / POS system</t>
  </si>
  <si>
    <t>E47 Meals Served</t>
  </si>
  <si>
    <t>Meal count sheets; POS transaction log</t>
  </si>
  <si>
    <t>Laundry Weight Log</t>
  </si>
  <si>
    <t>Housekeeping (manual)</t>
  </si>
  <si>
    <t>E48 Laundry Pounds Processed</t>
  </si>
  <si>
    <t>Laundry weight log</t>
  </si>
  <si>
    <t>Activity Calendar &amp; Attendance Report</t>
  </si>
  <si>
    <t>Life enrichment system</t>
  </si>
  <si>
    <t>E49 Activity Programs Offered; E50 Activity Attendance</t>
  </si>
  <si>
    <t>Activity attendance sheets; Program calendar; Calendar tagged by wellness dimension; MC activity logs; Weekend / evening schedule</t>
  </si>
  <si>
    <t>Grievance Log (filed and resolved dates)</t>
  </si>
  <si>
    <t>Resident services / CRM</t>
  </si>
  <si>
    <t>E51 Grievances</t>
  </si>
  <si>
    <t>Grievance forms; Grievance log; Resolution letters; Resident council minutes</t>
  </si>
  <si>
    <t>Resident Engagement Platform Usage Report</t>
  </si>
  <si>
    <t>Resident engagement platform</t>
  </si>
  <si>
    <t>E52 Platform Active Users</t>
  </si>
  <si>
    <t>Platform active-user report</t>
  </si>
  <si>
    <t>CRM Sales Pipeline Report</t>
  </si>
  <si>
    <t>Sales CRM</t>
  </si>
  <si>
    <t>E53 Sales Pipeline Events</t>
  </si>
  <si>
    <t>Inquiry records; Call tracking log; Web forms; Lead records; Tour log; Deposit agreements / log; Reservation records; Referral source field; Deposit refund log</t>
  </si>
  <si>
    <t>Online Review Platform Export</t>
  </si>
  <si>
    <t>Review platforms</t>
  </si>
  <si>
    <t>E54 Online Review Ratings</t>
  </si>
  <si>
    <t>CMMS Work Order &amp; PM Report (incl. life-safety and vehicle PM tasks)</t>
  </si>
  <si>
    <t>E55 Work Orders &amp; PM Tasks</t>
  </si>
  <si>
    <t>Work order log; PM schedule; Open work order aging; Emergency work orders; Chargeable work orders; Life safety inspection certificates / binder; Vehicle service records; Fleet PM schedule</t>
  </si>
  <si>
    <t>Utility Bills (consumption: kWh, therms, water)</t>
  </si>
  <si>
    <t>Utility providers</t>
  </si>
  <si>
    <t>E56 Utility Consumption</t>
  </si>
  <si>
    <t>Utility bills; Meter readings</t>
  </si>
  <si>
    <t>AP Invoice Register coded by Department / Cost Centre</t>
  </si>
  <si>
    <t>AP / Purchasing (Finance)</t>
  </si>
  <si>
    <t>E57 Department Non-Labor Expense</t>
  </si>
  <si>
    <t>Department P&amp;L; GL department expense report; Dining supplies invoices; Parts and labor cost report; Grounds contract invoices; IT cost centre; Marketing cost centre</t>
  </si>
  <si>
    <t>Common Elements Used</t>
  </si>
  <si>
    <t>No. of Documents Needed</t>
  </si>
  <si>
    <t>KPIs using this document (all tiers)</t>
  </si>
  <si>
    <t>KPIs using this document (Tier 1 - Core)</t>
  </si>
  <si>
    <t>Common Data Element</t>
  </si>
  <si>
    <t>v9 KPIs Not Fully Covered by This File</t>
  </si>
  <si>
    <t>v9 measures with no equivalent in KPI_Master (Not in file) or only a similar in-house version (Partial match). Grey cells are proposed Frequency / Tier / Priority - edit as needed.</t>
  </si>
  <si>
    <t>Not in file</t>
  </si>
  <si>
    <t>Partial match</t>
  </si>
  <si>
    <t>Total</t>
  </si>
  <si>
    <t>v9 Code</t>
  </si>
  <si>
    <t>v9 KPI</t>
  </si>
  <si>
    <t>v9 Department</t>
  </si>
  <si>
    <t>What It Measures (v9)</t>
  </si>
  <si>
    <t>Care Levels (v9)</t>
  </si>
  <si>
    <t>Status</t>
  </si>
  <si>
    <t>Closest KPI ID (this file)</t>
  </si>
  <si>
    <t>Closest KPI Name (this file)</t>
  </si>
  <si>
    <t>Gap vs Closest KPI</t>
  </si>
  <si>
    <t>v9 Data Source (Intake)</t>
  </si>
  <si>
    <t>Additional Report Needed?</t>
  </si>
  <si>
    <t>Basis for Assignment</t>
  </si>
  <si>
    <t>SAL-01</t>
  </si>
  <si>
    <t>Inquiries per 100 Units per Month</t>
  </si>
  <si>
    <t>Sales and Marketing</t>
  </si>
  <si>
    <t>Total inquiries / (units / 100) / months in period</t>
  </si>
  <si>
    <t>IL, AL, MC</t>
  </si>
  <si>
    <t>SALM-01 is a raw lead count; v9 normalizes per 100 units per month</t>
  </si>
  <si>
    <t>Sales / CRM report (Screen 09) + months in period (Screen 10)</t>
  </si>
  <si>
    <t>No - SALM-01 data plus unit count</t>
  </si>
  <si>
    <t>Normalized version of a Core KPI (SALM-01); monthly per v9 definition</t>
  </si>
  <si>
    <t>SAL-05</t>
  </si>
  <si>
    <t>Tour-to-Move-In Conversion Rate</t>
  </si>
  <si>
    <t>Move-ins / tours</t>
  </si>
  <si>
    <t>This file has Tour-to-Deposit (SALM-03) and Deposit-to-Move-In (SALM-22), but not Tour-to-Move-In</t>
  </si>
  <si>
    <t>Sales / CRM report (Screen 09)</t>
  </si>
  <si>
    <t>No - same CRM report as SALM-03 / SALM-22</t>
  </si>
  <si>
    <t>Matches SALM-03 (Core, Executive)</t>
  </si>
  <si>
    <t>SAL-06</t>
  </si>
  <si>
    <t>Inquiry Channel Mix</t>
  </si>
  <si>
    <t>Share of inquiries by channel: web, paid, unpaid referral, call-in</t>
  </si>
  <si>
    <t>SALM-14 measures referral source contribution; v9 wants share of all inquiries by channel</t>
  </si>
  <si>
    <t>Maybe - needs channel field on the CRM inquiry report</t>
  </si>
  <si>
    <t>Matches SALM-14</t>
  </si>
  <si>
    <t>SAL-07</t>
  </si>
  <si>
    <t>Inquiry-to-Tour Conversion by Channel</t>
  </si>
  <si>
    <t>Tours / inquiries computed separately for each acquisition channel</t>
  </si>
  <si>
    <t>No channel-level conversion in this file; SALM-02 is total lead-to-tour only</t>
  </si>
  <si>
    <t>Diagnostic breakdown of SALM-02</t>
  </si>
  <si>
    <t>SAL-11</t>
  </si>
  <si>
    <t>Cost per Acquired Resident</t>
  </si>
  <si>
    <t>Total sales and marketing spend / move-ins</t>
  </si>
  <si>
    <t>IL, AL, MC, SNF</t>
  </si>
  <si>
    <t>SALM-18 is marketing cost as % of opex; no cost per move-in</t>
  </si>
  <si>
    <t>TO BE MAPPED - added from Gap Matrix v9; intake screen not yet assigned</t>
  </si>
  <si>
    <t>No - GL marketing spend plus move-ins from CRM</t>
  </si>
  <si>
    <t>Efficiency measure paired with SALM-18 and move-ins</t>
  </si>
  <si>
    <t>NUR-05</t>
  </si>
  <si>
    <t>Resident Acuity and Care Tier Mix</t>
  </si>
  <si>
    <t>Nursing</t>
  </si>
  <si>
    <t>Distribution of residents across care tiers or point bands, with period-over-period migration</t>
  </si>
  <si>
    <t>AL, MC</t>
  </si>
  <si>
    <t>NURC-16 is an average acuity score; v9 wants distribution across care tiers plus migration</t>
  </si>
  <si>
    <t>Clinical / EHR report + census report (Screen 09)</t>
  </si>
  <si>
    <t>No - same EHR / census report as NURC-16</t>
  </si>
  <si>
    <t>Raised from NURC-16 (Optional) because v9 uses it for AL / MC level-of-care pricing</t>
  </si>
  <si>
    <t>SNF-H2</t>
  </si>
  <si>
    <t>Standard Survey Deficiency Points by Scope and Severity</t>
  </si>
  <si>
    <t>Skilled Nursing</t>
  </si>
  <si>
    <t>Sum of Table 1 point values for every cited deficiency on the two most recent standard surveys</t>
  </si>
  <si>
    <t>SNF</t>
  </si>
  <si>
    <t>QUAC-01 counts deficiencies; v9 applies CMS scope/severity point values</t>
  </si>
  <si>
    <t>Tool-fetched from CMS</t>
  </si>
  <si>
    <t>No - CMS survey data already fetched for QUAC-20</t>
  </si>
  <si>
    <t>Component of QUAC-17, same as QUAC-20</t>
  </si>
  <si>
    <t>SNF-S1</t>
  </si>
  <si>
    <t>Case-Mix Adjusted Total Nurse Staffing HPRD</t>
  </si>
  <si>
    <t>RN + LPN + nurse aide hours per resident day, case-mix adjusted, quarterly, all days</t>
  </si>
  <si>
    <t>NURC-17 is facility-calculated and not case-mix adjusted</t>
  </si>
  <si>
    <t>Tool-fetched from CMS PBJ</t>
  </si>
  <si>
    <t>No - fetch from CMS PBJ / Care Compare with NURC-28</t>
  </si>
  <si>
    <t>Matches NURC-28 (CMS staffing input)</t>
  </si>
  <si>
    <t>SNF-S3</t>
  </si>
  <si>
    <t>Case-Mix Adjusted Weekend Total Nurse HPRD</t>
  </si>
  <si>
    <t>Total nurse staffing hours per resident day on Saturdays and Sundays, case-mix adjusted</t>
  </si>
  <si>
    <t>NURC-21 is a weekend/weekday ratio, not case-mix adjusted weekend HPRD</t>
  </si>
  <si>
    <t>SNF-S4</t>
  </si>
  <si>
    <t>Total Nurse Staffing Turnover</t>
  </si>
  <si>
    <t>Percentage of nurse staff who left over 12 months, measured on a 90-consecutive-day zero-hours gap</t>
  </si>
  <si>
    <t>HRP-02 covers all staff from HRIS; CMS measures nurse staff only from PBJ (90-day gap rule)</t>
  </si>
  <si>
    <t>SNF-S5</t>
  </si>
  <si>
    <t>RN Turnover</t>
  </si>
  <si>
    <t>Percentage of registered nurses who left over 12 months</t>
  </si>
  <si>
    <t>HRP-27 uses HRIS headcount; CMS uses PBJ with the 90-day gap rule</t>
  </si>
  <si>
    <t>Matches HRP-27</t>
  </si>
  <si>
    <t>SNF-Q3</t>
  </si>
  <si>
    <t>Long-Stay: Residents with Pressure Ulcers</t>
  </si>
  <si>
    <t>Percentage of long-stay residents with pressure ulcers</t>
  </si>
  <si>
    <t>NURC-03 is facility-calculated prevalence, not the CMS risk-adjusted long-stay QM</t>
  </si>
  <si>
    <t>No - fetch from CMS Care Compare with the other CMS QMs already in this file</t>
  </si>
  <si>
    <t>Matches other CMS QMs in this file (e.g., NURC-22, NURC-29)</t>
  </si>
  <si>
    <t>SNF-Q5</t>
  </si>
  <si>
    <t>Long-Stay: Urinary Tract Infection</t>
  </si>
  <si>
    <t>Percentage of long-stay residents with a urinary tract infection</t>
  </si>
  <si>
    <t>NURC-10 is UTIs per 1,000 resident days; CMS is % of long-stay residents</t>
  </si>
  <si>
    <t>SNF-Q6</t>
  </si>
  <si>
    <t>Long-Stay: One or More Falls with Major Injury</t>
  </si>
  <si>
    <t>Percentage of long-stay residents experiencing one or more falls with major injury</t>
  </si>
  <si>
    <t>NURC-02 is % of falls; CMS is % of long-stay residents with 1+ major-injury fall</t>
  </si>
  <si>
    <t>SNF-Q7</t>
  </si>
  <si>
    <t>Long-Stay: Antipsychotic Medication</t>
  </si>
  <si>
    <t>Percentage of long-stay residents who got an antipsychotic medication</t>
  </si>
  <si>
    <t>NURC-13 excludes qualifying diagnoses and uses all residents; CMS uses its long-stay spec</t>
  </si>
  <si>
    <t>SNF-Q8</t>
  </si>
  <si>
    <t>Long-Stay: Hospitalizations per 1,000 Resident Days</t>
  </si>
  <si>
    <t>Number of hospitalizations per 1,000 long-stay resident days</t>
  </si>
  <si>
    <t>NURC-08 counts unplanned transfers from PCC; CMS is claims-based, risk-adjusted hospitalizations</t>
  </si>
  <si>
    <t>SNF-Q10</t>
  </si>
  <si>
    <t>Short-Stay: Discharge Function Score</t>
  </si>
  <si>
    <t>Percentage of SNF residents who are at or above an expected ability to care for themselves and move around at discharge</t>
  </si>
  <si>
    <t>REHT-04 measures therapy goal attainment, not the CMS Discharge Function Score</t>
  </si>
  <si>
    <t>Matches other CMS QMs in this file; carries 150 QM points</t>
  </si>
  <si>
    <t>SNF-Q11</t>
  </si>
  <si>
    <t>Short-Stay: New or Worsened Pressure Ulcers</t>
  </si>
  <si>
    <t>Percentage of SNF residents with pressure ulcers or pressure injuries that are new or worsened</t>
  </si>
  <si>
    <t>NURC-04 is in-house rate per 1,000 days; CMS is % of short-stay residents, risk-adjusted</t>
  </si>
  <si>
    <t>SNF-Q13</t>
  </si>
  <si>
    <t>Short-Stay: Re-Hospitalized After Admission</t>
  </si>
  <si>
    <t>Percentage of short-stay residents who were re-hospitalized after a nursing home admission</t>
  </si>
  <si>
    <t>NURC-07 is facility-tracked 30-day readmissions; CMS is claims-based, risk-adjusted</t>
  </si>
  <si>
    <t>FIN-01</t>
  </si>
  <si>
    <t>Community Operating Margin by Care Level</t>
  </si>
  <si>
    <t>Finance</t>
  </si>
  <si>
    <t>(Revenue - operating expense) / revenue, at the community level before capital cost, computed by care level</t>
  </si>
  <si>
    <t>FINA-04 is NOI margin for the whole community; v9 wants operating margin by care level</t>
  </si>
  <si>
    <t>T-12 P&amp;L (Screen 07) + GL (Screen 06) + chart of accounts (Screen 05)</t>
  </si>
  <si>
    <t>Maybe - needs P&amp;L split by care level</t>
  </si>
  <si>
    <t>Matches FINA-04 (Core)</t>
  </si>
  <si>
    <t>FIN-04</t>
  </si>
  <si>
    <t>Operating Expense per Occupied Unit by Care Level</t>
  </si>
  <si>
    <t>Total operating expense / occupied units, or per patient day for SNF</t>
  </si>
  <si>
    <t>This file has revenue per occupied unit (FINA-03) but no expense per occupied unit</t>
  </si>
  <si>
    <t>GL (Screen 06) + chart of accounts (Screen 05) + census report</t>
  </si>
  <si>
    <t>No - same GL and census data as FINA-03</t>
  </si>
  <si>
    <t>Cost counterpart to FINA-03 (Core, Executive)</t>
  </si>
  <si>
    <t>HR-02</t>
  </si>
  <si>
    <t>Frontline and Direct Care Turnover Rate</t>
  </si>
  <si>
    <t>Human Resources</t>
  </si>
  <si>
    <t>Separations among direct care staff / average direct care headcount, annualized</t>
  </si>
  <si>
    <t>HRP-02 is total turnover; v9 isolates direct care staff</t>
  </si>
  <si>
    <t>Payroll / turnover report (Screen 09)</t>
  </si>
  <si>
    <t>No - same turnover report, filtered to direct care job codes</t>
  </si>
  <si>
    <t>Subset of HRP-02</t>
  </si>
  <si>
    <t>HR-09</t>
  </si>
  <si>
    <t>Mandatory Training Completion Rate and Hours</t>
  </si>
  <si>
    <t>Required training completed on time / required training due; plus training hours per employee, clinical and non-clinical</t>
  </si>
  <si>
    <t>LEAT-01 covers completion rate only; v9 adds training hours per employee</t>
  </si>
  <si>
    <t>Payroll / LMS report (Screen 09)</t>
  </si>
  <si>
    <t>Maybe - LMS report needs hours field</t>
  </si>
  <si>
    <t>Completion rate already Core in LEAT-01; hours component is supplementary</t>
  </si>
  <si>
    <t>PLT-10</t>
  </si>
  <si>
    <t>Energy Use Intensity</t>
  </si>
  <si>
    <t>Plant and Maintenance</t>
  </si>
  <si>
    <t>Site energy consumed (kBtu) / gross building square footage / year</t>
  </si>
  <si>
    <t>PLAO-08 is energy cost per sq ft; v9 wants consumption (kBtu) per sq ft</t>
  </si>
  <si>
    <t>GL utility accounts (Screen 06) + gross building area (Screen 10)</t>
  </si>
  <si>
    <t>Yes - utility bills with usage (kWh, therms), not just GL cost</t>
  </si>
  <si>
    <t>Annual per v9 definition; complements PLAO-08</t>
  </si>
  <si>
    <t>DIN-09</t>
  </si>
  <si>
    <t>Food Waste Rate</t>
  </si>
  <si>
    <t>Dining Services</t>
  </si>
  <si>
    <t>Food waste cost / food purchases</t>
  </si>
  <si>
    <t>No food waste measure in this file</t>
  </si>
  <si>
    <t>Yes - food waste log or waste tracking system</t>
  </si>
  <si>
    <t>New tracking required; v9 has no intake screen assigned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</si>
</sst>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C00000"/>
      <name val="Arial"/>
      <family val="2"/>
    </font>
    <font>
      <b/>
      <sz val="10"/>
      <color rgb="FF1F3864"/>
      <name val="Arial"/>
      <family val="2"/>
    </font>
    <font>
      <sz val="10"/>
      <color rgb="FF1F3864"/>
      <name val="Arial"/>
      <family val="2"/>
    </font>
    <font>
      <sz val="10"/>
      <color rgb="FF808080"/>
      <name val="Arial"/>
      <family val="2"/>
    </font>
    <font>
      <b/>
      <sz val="14"/>
      <color rgb="FF1F3864"/>
      <name val="Arial"/>
      <family val="2"/>
    </font>
    <font>
      <i/>
      <sz val="10"/>
      <color rgb="FF595959"/>
      <name val="Calibri"/>
      <family val="2"/>
    </font>
    <font>
      <b/>
      <sz val="11"/>
      <color rgb="FFFFFFFF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u/>
      <sz val="11"/>
      <color rgb="FF0563C1"/>
      <name val="Calibri"/>
      <family val="2"/>
    </font>
    <font>
      <b/>
      <sz val="11"/>
      <color rgb="FF0000FF"/>
      <name val="Calibri"/>
      <family val="2"/>
    </font>
    <font>
      <sz val="11"/>
      <color rgb="FF008000"/>
      <name val="Calibri"/>
      <family val="2"/>
    </font>
    <font>
      <b/>
      <sz val="14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8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1F4E78"/>
        <bgColor indexed="64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8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1" fillId="0" borderId="0" xfId="0" applyFont="1"/>
    <xf numFmtId="0" fontId="15" fillId="0" borderId="0" xfId="0" applyFont="1"/>
    <xf numFmtId="0" fontId="9" fillId="0" borderId="0" xfId="0" applyFont="1"/>
    <xf numFmtId="0" fontId="12" fillId="0" borderId="0" xfId="0" applyFont="1"/>
    <xf numFmtId="0" fontId="16" fillId="0" borderId="1" xfId="0" applyFont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1" fillId="0" borderId="0" xfId="0" applyFont="1" applyAlignment="1">
      <alignment vertical="top" wrapText="1"/>
    </xf>
    <xf numFmtId="0" fontId="22" fillId="5" borderId="2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10" fillId="2" borderId="0" xfId="0" applyFont="1" applyFill="1" applyAlignment="1">
      <alignment horizontal="left" vertical="center"/>
    </xf>
  </cellXfs>
  <cellStyles count="1">
    <cellStyle name="Normal" xfId="0" builtinId="0"/>
  </cellStyles>
  <dxfs count="13">
    <dxf>
      <fill>
        <patternFill patternType="solid">
          <fgColor indexed="64"/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C6D2F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BB1557-712F-034E-A4CB-3F0B83B80876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6976903c-ce53-49b7-9d06-08486920c9f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2"/>
  <sheetViews>
    <sheetView tabSelected="1" zoomScaleNormal="100" workbookViewId="0">
      <pane xSplit="3" ySplit="1" topLeftCell="D2" activePane="bottomRight" state="frozen"/>
      <selection pane="bottomRight" activeCell="A13" sqref="A13:P13"/>
      <selection pane="bottomLeft" activeCell="A2" sqref="A2"/>
      <selection pane="topRight" activeCell="D1" sqref="D1"/>
    </sheetView>
  </sheetViews>
  <sheetFormatPr defaultColWidth="8.7109375" defaultRowHeight="14.45"/>
  <cols>
    <col min="2" max="2" width="9" customWidth="1"/>
    <col min="3" max="3" width="30" customWidth="1"/>
    <col min="4" max="4" width="42" customWidth="1"/>
    <col min="5" max="5" width="62" customWidth="1"/>
    <col min="6" max="6" width="32" customWidth="1"/>
    <col min="7" max="7" width="60" customWidth="1"/>
    <col min="8" max="8" width="12" customWidth="1"/>
    <col min="9" max="9" width="18" customWidth="1"/>
    <col min="10" max="10" width="15" customWidth="1"/>
    <col min="11" max="11" width="16" customWidth="1"/>
    <col min="12" max="12" width="50" hidden="1" customWidth="1"/>
    <col min="13" max="13" width="20" customWidth="1"/>
  </cols>
  <sheetData>
    <row r="1" spans="1:13" ht="30" customHeight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5.5" customHeight="1">
      <c r="A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3" t="s">
        <v>22</v>
      </c>
      <c r="L2" s="2" t="s">
        <v>23</v>
      </c>
      <c r="M2" s="4" t="s">
        <v>24</v>
      </c>
    </row>
    <row r="3" spans="1:13" ht="25.5" customHeight="1">
      <c r="A3">
        <v>2</v>
      </c>
      <c r="B3" s="5" t="s">
        <v>25</v>
      </c>
      <c r="C3" s="5" t="s">
        <v>14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19</v>
      </c>
      <c r="I3" s="5" t="s">
        <v>20</v>
      </c>
      <c r="J3" s="6" t="s">
        <v>21</v>
      </c>
      <c r="K3" s="7" t="s">
        <v>30</v>
      </c>
      <c r="L3" s="5" t="s">
        <v>31</v>
      </c>
      <c r="M3" s="8" t="s">
        <v>24</v>
      </c>
    </row>
    <row r="4" spans="1:13" ht="25.5" customHeight="1">
      <c r="A4">
        <v>3</v>
      </c>
      <c r="B4" s="2" t="s">
        <v>32</v>
      </c>
      <c r="C4" s="2" t="s">
        <v>14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20</v>
      </c>
      <c r="J4" s="2" t="s">
        <v>37</v>
      </c>
      <c r="K4" s="9" t="s">
        <v>30</v>
      </c>
      <c r="L4" s="2" t="s">
        <v>31</v>
      </c>
      <c r="M4" s="4" t="s">
        <v>38</v>
      </c>
    </row>
    <row r="5" spans="1:13" ht="25.5" customHeight="1">
      <c r="A5">
        <v>4</v>
      </c>
      <c r="B5" s="5" t="s">
        <v>39</v>
      </c>
      <c r="C5" s="5" t="s">
        <v>14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37</v>
      </c>
      <c r="K5" s="7" t="s">
        <v>30</v>
      </c>
      <c r="L5" s="5" t="s">
        <v>31</v>
      </c>
      <c r="M5" s="8" t="s">
        <v>46</v>
      </c>
    </row>
    <row r="6" spans="1:13" ht="25.5" customHeight="1">
      <c r="A6">
        <v>5</v>
      </c>
      <c r="B6" s="5" t="s">
        <v>47</v>
      </c>
      <c r="C6" s="5" t="s">
        <v>14</v>
      </c>
      <c r="D6" s="5" t="s">
        <v>48</v>
      </c>
      <c r="E6" s="5" t="s">
        <v>49</v>
      </c>
      <c r="F6" s="5" t="s">
        <v>50</v>
      </c>
      <c r="G6" s="5" t="s">
        <v>51</v>
      </c>
      <c r="H6" s="5" t="s">
        <v>52</v>
      </c>
      <c r="I6" s="5" t="s">
        <v>45</v>
      </c>
      <c r="J6" s="6" t="s">
        <v>21</v>
      </c>
      <c r="K6" s="6" t="s">
        <v>22</v>
      </c>
      <c r="L6" s="5" t="s">
        <v>53</v>
      </c>
      <c r="M6" s="8" t="s">
        <v>46</v>
      </c>
    </row>
    <row r="7" spans="1:13" ht="25.5" customHeight="1">
      <c r="A7">
        <v>6</v>
      </c>
      <c r="B7" s="2" t="s">
        <v>54</v>
      </c>
      <c r="C7" s="2" t="s">
        <v>14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19</v>
      </c>
      <c r="I7" s="2" t="s">
        <v>45</v>
      </c>
      <c r="J7" s="2" t="s">
        <v>37</v>
      </c>
      <c r="K7" s="9" t="s">
        <v>30</v>
      </c>
      <c r="L7" s="2" t="s">
        <v>31</v>
      </c>
      <c r="M7" s="4" t="s">
        <v>46</v>
      </c>
    </row>
    <row r="8" spans="1:13" ht="25.5" customHeight="1">
      <c r="A8">
        <v>7</v>
      </c>
      <c r="B8" s="5" t="s">
        <v>59</v>
      </c>
      <c r="C8" s="5" t="s">
        <v>14</v>
      </c>
      <c r="D8" s="5" t="s">
        <v>60</v>
      </c>
      <c r="E8" s="5" t="s">
        <v>61</v>
      </c>
      <c r="F8" s="5" t="s">
        <v>62</v>
      </c>
      <c r="G8" s="5" t="s">
        <v>63</v>
      </c>
      <c r="H8" s="5" t="s">
        <v>19</v>
      </c>
      <c r="I8" s="5" t="s">
        <v>45</v>
      </c>
      <c r="J8" s="5" t="s">
        <v>37</v>
      </c>
      <c r="K8" s="7" t="s">
        <v>30</v>
      </c>
      <c r="L8" s="5" t="s">
        <v>31</v>
      </c>
      <c r="M8" s="8" t="s">
        <v>46</v>
      </c>
    </row>
    <row r="9" spans="1:13" ht="25.5" customHeight="1">
      <c r="A9">
        <v>8</v>
      </c>
      <c r="B9" s="10" t="s">
        <v>64</v>
      </c>
      <c r="C9" s="11" t="s">
        <v>14</v>
      </c>
      <c r="D9" s="11" t="s">
        <v>65</v>
      </c>
      <c r="E9" s="11" t="s">
        <v>66</v>
      </c>
      <c r="F9" s="11" t="s">
        <v>67</v>
      </c>
      <c r="G9" s="11" t="s">
        <v>68</v>
      </c>
      <c r="H9" s="11" t="s">
        <v>19</v>
      </c>
      <c r="I9" s="11" t="s">
        <v>45</v>
      </c>
      <c r="J9" s="11" t="s">
        <v>37</v>
      </c>
      <c r="K9" s="11" t="s">
        <v>30</v>
      </c>
      <c r="L9" s="11" t="s">
        <v>69</v>
      </c>
      <c r="M9" s="11" t="s">
        <v>70</v>
      </c>
    </row>
    <row r="10" spans="1:13">
      <c r="A10">
        <v>9</v>
      </c>
      <c r="B10" s="12" t="s">
        <v>71</v>
      </c>
      <c r="C10" s="13" t="s">
        <v>14</v>
      </c>
      <c r="D10" s="13" t="s">
        <v>72</v>
      </c>
      <c r="E10" s="13" t="s">
        <v>73</v>
      </c>
      <c r="F10" s="13" t="s">
        <v>74</v>
      </c>
      <c r="G10" s="13" t="s">
        <v>75</v>
      </c>
      <c r="H10" s="13" t="s">
        <v>19</v>
      </c>
      <c r="I10" s="13" t="s">
        <v>45</v>
      </c>
      <c r="J10" s="13" t="s">
        <v>37</v>
      </c>
      <c r="K10" s="13" t="s">
        <v>30</v>
      </c>
      <c r="L10" s="13" t="s">
        <v>69</v>
      </c>
      <c r="M10" s="13" t="s">
        <v>70</v>
      </c>
    </row>
    <row r="11" spans="1:13" ht="25.5" customHeight="1">
      <c r="A11">
        <v>10</v>
      </c>
      <c r="B11" s="10" t="s">
        <v>76</v>
      </c>
      <c r="C11" s="11" t="s">
        <v>14</v>
      </c>
      <c r="D11" s="11" t="s">
        <v>77</v>
      </c>
      <c r="E11" s="11" t="s">
        <v>78</v>
      </c>
      <c r="F11" s="11" t="s">
        <v>17</v>
      </c>
      <c r="G11" s="11" t="s">
        <v>79</v>
      </c>
      <c r="H11" s="11" t="s">
        <v>19</v>
      </c>
      <c r="I11" s="11" t="s">
        <v>80</v>
      </c>
      <c r="J11" s="11" t="s">
        <v>37</v>
      </c>
      <c r="K11" s="11" t="s">
        <v>30</v>
      </c>
      <c r="L11" s="11" t="s">
        <v>81</v>
      </c>
      <c r="M11" s="11" t="s">
        <v>82</v>
      </c>
    </row>
    <row r="12" spans="1:13" ht="25.5" customHeight="1">
      <c r="A12">
        <v>11</v>
      </c>
      <c r="B12" s="12" t="s">
        <v>83</v>
      </c>
      <c r="C12" s="13" t="s">
        <v>14</v>
      </c>
      <c r="D12" s="13" t="s">
        <v>84</v>
      </c>
      <c r="E12" s="13" t="s">
        <v>85</v>
      </c>
      <c r="F12" s="13" t="s">
        <v>86</v>
      </c>
      <c r="G12" s="13" t="s">
        <v>87</v>
      </c>
      <c r="H12" s="13" t="s">
        <v>19</v>
      </c>
      <c r="I12" s="13" t="s">
        <v>45</v>
      </c>
      <c r="J12" s="13" t="s">
        <v>37</v>
      </c>
      <c r="K12" s="13" t="s">
        <v>30</v>
      </c>
      <c r="L12" s="13" t="s">
        <v>88</v>
      </c>
      <c r="M12" s="13" t="s">
        <v>82</v>
      </c>
    </row>
    <row r="13" spans="1:13" ht="25.5" customHeight="1">
      <c r="A13">
        <v>12</v>
      </c>
      <c r="B13" s="5" t="s">
        <v>89</v>
      </c>
      <c r="C13" s="5" t="s">
        <v>90</v>
      </c>
      <c r="D13" s="5" t="s">
        <v>91</v>
      </c>
      <c r="E13" s="5" t="s">
        <v>92</v>
      </c>
      <c r="F13" s="5" t="s">
        <v>93</v>
      </c>
      <c r="G13" s="5" t="s">
        <v>94</v>
      </c>
      <c r="H13" s="5" t="s">
        <v>95</v>
      </c>
      <c r="I13" s="5" t="s">
        <v>45</v>
      </c>
      <c r="J13" s="6" t="s">
        <v>21</v>
      </c>
      <c r="K13" s="6" t="s">
        <v>22</v>
      </c>
      <c r="L13" s="5" t="s">
        <v>96</v>
      </c>
      <c r="M13" s="8" t="s">
        <v>24</v>
      </c>
    </row>
    <row r="14" spans="1:13" ht="25.5" customHeight="1">
      <c r="A14">
        <v>13</v>
      </c>
      <c r="B14" s="5" t="s">
        <v>97</v>
      </c>
      <c r="C14" s="5" t="s">
        <v>90</v>
      </c>
      <c r="D14" s="5" t="s">
        <v>98</v>
      </c>
      <c r="E14" s="5" t="s">
        <v>99</v>
      </c>
      <c r="F14" s="5" t="s">
        <v>100</v>
      </c>
      <c r="G14" s="5" t="s">
        <v>101</v>
      </c>
      <c r="H14" s="5" t="s">
        <v>19</v>
      </c>
      <c r="I14" s="5" t="s">
        <v>45</v>
      </c>
      <c r="J14" s="6" t="s">
        <v>21</v>
      </c>
      <c r="K14" s="6" t="s">
        <v>22</v>
      </c>
      <c r="L14" s="5" t="s">
        <v>102</v>
      </c>
      <c r="M14" s="8" t="s">
        <v>24</v>
      </c>
    </row>
    <row r="15" spans="1:13" ht="25.5" customHeight="1">
      <c r="A15">
        <v>14</v>
      </c>
      <c r="B15" s="2" t="s">
        <v>103</v>
      </c>
      <c r="C15" s="2" t="s">
        <v>90</v>
      </c>
      <c r="D15" s="2" t="s">
        <v>104</v>
      </c>
      <c r="E15" s="2" t="s">
        <v>105</v>
      </c>
      <c r="F15" s="2" t="s">
        <v>106</v>
      </c>
      <c r="G15" s="2" t="s">
        <v>107</v>
      </c>
      <c r="H15" s="2" t="s">
        <v>19</v>
      </c>
      <c r="I15" s="2" t="s">
        <v>45</v>
      </c>
      <c r="J15" s="2" t="s">
        <v>37</v>
      </c>
      <c r="K15" s="3" t="s">
        <v>22</v>
      </c>
      <c r="L15" s="2" t="s">
        <v>108</v>
      </c>
      <c r="M15" s="4" t="s">
        <v>24</v>
      </c>
    </row>
    <row r="16" spans="1:13" ht="26.25" customHeight="1">
      <c r="A16">
        <v>15</v>
      </c>
      <c r="B16" s="2" t="s">
        <v>109</v>
      </c>
      <c r="C16" s="2" t="s">
        <v>90</v>
      </c>
      <c r="D16" s="2" t="s">
        <v>110</v>
      </c>
      <c r="E16" s="2" t="s">
        <v>111</v>
      </c>
      <c r="F16" s="2" t="s">
        <v>112</v>
      </c>
      <c r="G16" s="2" t="s">
        <v>113</v>
      </c>
      <c r="H16" s="2" t="s">
        <v>19</v>
      </c>
      <c r="I16" s="2" t="s">
        <v>20</v>
      </c>
      <c r="J16" s="2" t="s">
        <v>37</v>
      </c>
      <c r="K16" s="3" t="s">
        <v>22</v>
      </c>
      <c r="L16" s="2" t="s">
        <v>114</v>
      </c>
      <c r="M16" s="4" t="s">
        <v>38</v>
      </c>
    </row>
    <row r="17" spans="1:13" ht="25.5" customHeight="1">
      <c r="A17">
        <v>16</v>
      </c>
      <c r="B17" s="5" t="s">
        <v>115</v>
      </c>
      <c r="C17" s="5" t="s">
        <v>90</v>
      </c>
      <c r="D17" s="5" t="s">
        <v>116</v>
      </c>
      <c r="E17" s="5" t="s">
        <v>117</v>
      </c>
      <c r="F17" s="5" t="s">
        <v>112</v>
      </c>
      <c r="G17" s="5" t="s">
        <v>118</v>
      </c>
      <c r="H17" s="5" t="s">
        <v>19</v>
      </c>
      <c r="I17" s="5" t="s">
        <v>20</v>
      </c>
      <c r="J17" s="5" t="s">
        <v>37</v>
      </c>
      <c r="K17" s="7" t="s">
        <v>30</v>
      </c>
      <c r="L17" s="5" t="s">
        <v>31</v>
      </c>
      <c r="M17" s="8" t="s">
        <v>46</v>
      </c>
    </row>
    <row r="18" spans="1:13">
      <c r="A18">
        <v>17</v>
      </c>
      <c r="B18" s="2" t="s">
        <v>119</v>
      </c>
      <c r="C18" s="2" t="s">
        <v>90</v>
      </c>
      <c r="D18" s="2" t="s">
        <v>120</v>
      </c>
      <c r="E18" s="2" t="s">
        <v>121</v>
      </c>
      <c r="F18" s="2" t="s">
        <v>122</v>
      </c>
      <c r="G18" s="2" t="s">
        <v>123</v>
      </c>
      <c r="H18" s="2" t="s">
        <v>19</v>
      </c>
      <c r="I18" s="2" t="s">
        <v>20</v>
      </c>
      <c r="J18" s="2" t="s">
        <v>37</v>
      </c>
      <c r="K18" s="9" t="s">
        <v>30</v>
      </c>
      <c r="L18" s="2" t="s">
        <v>31</v>
      </c>
      <c r="M18" s="4" t="s">
        <v>46</v>
      </c>
    </row>
    <row r="19" spans="1:13">
      <c r="A19">
        <v>18</v>
      </c>
      <c r="B19" s="2" t="s">
        <v>124</v>
      </c>
      <c r="C19" s="2" t="s">
        <v>90</v>
      </c>
      <c r="D19" s="2" t="s">
        <v>125</v>
      </c>
      <c r="E19" s="2" t="s">
        <v>126</v>
      </c>
      <c r="F19" s="2" t="s">
        <v>106</v>
      </c>
      <c r="G19" s="2" t="s">
        <v>127</v>
      </c>
      <c r="H19" s="2" t="s">
        <v>19</v>
      </c>
      <c r="I19" s="2" t="s">
        <v>20</v>
      </c>
      <c r="J19" s="2" t="s">
        <v>37</v>
      </c>
      <c r="K19" s="3" t="s">
        <v>22</v>
      </c>
      <c r="L19" s="2" t="s">
        <v>128</v>
      </c>
      <c r="M19" s="4" t="s">
        <v>46</v>
      </c>
    </row>
    <row r="20" spans="1:13">
      <c r="A20">
        <v>19</v>
      </c>
      <c r="B20" s="5" t="s">
        <v>129</v>
      </c>
      <c r="C20" s="5" t="s">
        <v>90</v>
      </c>
      <c r="D20" s="5" t="s">
        <v>130</v>
      </c>
      <c r="E20" s="5" t="s">
        <v>131</v>
      </c>
      <c r="F20" s="5" t="s">
        <v>35</v>
      </c>
      <c r="G20" s="5" t="s">
        <v>132</v>
      </c>
      <c r="H20" s="5" t="s">
        <v>19</v>
      </c>
      <c r="I20" s="5" t="s">
        <v>20</v>
      </c>
      <c r="J20" s="5" t="s">
        <v>37</v>
      </c>
      <c r="K20" s="6" t="s">
        <v>22</v>
      </c>
      <c r="L20" s="5" t="s">
        <v>133</v>
      </c>
      <c r="M20" s="8" t="s">
        <v>24</v>
      </c>
    </row>
    <row r="21" spans="1:13" ht="25.5" customHeight="1">
      <c r="A21">
        <v>20</v>
      </c>
      <c r="B21" s="2" t="s">
        <v>134</v>
      </c>
      <c r="C21" s="2" t="s">
        <v>90</v>
      </c>
      <c r="D21" s="2" t="s">
        <v>135</v>
      </c>
      <c r="E21" s="2" t="s">
        <v>136</v>
      </c>
      <c r="F21" s="2" t="s">
        <v>137</v>
      </c>
      <c r="G21" s="2" t="s">
        <v>138</v>
      </c>
      <c r="H21" s="2" t="s">
        <v>19</v>
      </c>
      <c r="I21" s="2" t="s">
        <v>45</v>
      </c>
      <c r="J21" s="2" t="s">
        <v>37</v>
      </c>
      <c r="K21" s="3" t="s">
        <v>22</v>
      </c>
      <c r="L21" s="2" t="s">
        <v>139</v>
      </c>
      <c r="M21" s="4" t="s">
        <v>24</v>
      </c>
    </row>
    <row r="22" spans="1:13">
      <c r="A22">
        <v>21</v>
      </c>
      <c r="B22" s="5" t="s">
        <v>140</v>
      </c>
      <c r="C22" s="5" t="s">
        <v>90</v>
      </c>
      <c r="D22" s="5" t="s">
        <v>141</v>
      </c>
      <c r="E22" s="5" t="s">
        <v>142</v>
      </c>
      <c r="F22" s="5" t="s">
        <v>137</v>
      </c>
      <c r="G22" s="5" t="s">
        <v>143</v>
      </c>
      <c r="H22" s="5" t="s">
        <v>52</v>
      </c>
      <c r="I22" s="5" t="s">
        <v>45</v>
      </c>
      <c r="J22" s="5" t="s">
        <v>37</v>
      </c>
      <c r="K22" s="7" t="s">
        <v>30</v>
      </c>
      <c r="L22" s="5" t="s">
        <v>31</v>
      </c>
      <c r="M22" s="8" t="s">
        <v>38</v>
      </c>
    </row>
    <row r="23" spans="1:13" ht="25.5" customHeight="1">
      <c r="A23">
        <v>22</v>
      </c>
      <c r="B23" s="2" t="s">
        <v>144</v>
      </c>
      <c r="C23" s="2" t="s">
        <v>90</v>
      </c>
      <c r="D23" s="2" t="s">
        <v>145</v>
      </c>
      <c r="E23" s="2" t="s">
        <v>146</v>
      </c>
      <c r="F23" s="2" t="s">
        <v>147</v>
      </c>
      <c r="G23" s="2" t="s">
        <v>148</v>
      </c>
      <c r="H23" s="2" t="s">
        <v>19</v>
      </c>
      <c r="I23" s="2" t="s">
        <v>149</v>
      </c>
      <c r="J23" s="2" t="s">
        <v>37</v>
      </c>
      <c r="K23" s="9" t="s">
        <v>30</v>
      </c>
      <c r="L23" s="2" t="s">
        <v>31</v>
      </c>
      <c r="M23" s="4" t="s">
        <v>24</v>
      </c>
    </row>
    <row r="24" spans="1:13" ht="25.5" customHeight="1">
      <c r="A24">
        <v>23</v>
      </c>
      <c r="B24" s="10" t="s">
        <v>150</v>
      </c>
      <c r="C24" s="11" t="s">
        <v>90</v>
      </c>
      <c r="D24" s="11" t="s">
        <v>151</v>
      </c>
      <c r="E24" s="11" t="s">
        <v>152</v>
      </c>
      <c r="F24" s="11" t="s">
        <v>147</v>
      </c>
      <c r="G24" s="11" t="s">
        <v>153</v>
      </c>
      <c r="H24" s="11" t="s">
        <v>19</v>
      </c>
      <c r="I24" s="11" t="s">
        <v>149</v>
      </c>
      <c r="J24" s="11" t="s">
        <v>21</v>
      </c>
      <c r="K24" s="14" t="s">
        <v>22</v>
      </c>
      <c r="L24" s="11" t="s">
        <v>154</v>
      </c>
      <c r="M24" s="11" t="s">
        <v>70</v>
      </c>
    </row>
    <row r="25" spans="1:13">
      <c r="A25">
        <v>24</v>
      </c>
      <c r="B25" s="12" t="s">
        <v>155</v>
      </c>
      <c r="C25" s="13" t="s">
        <v>90</v>
      </c>
      <c r="D25" s="13" t="s">
        <v>156</v>
      </c>
      <c r="E25" s="13" t="s">
        <v>157</v>
      </c>
      <c r="F25" s="13" t="s">
        <v>158</v>
      </c>
      <c r="G25" s="13" t="s">
        <v>159</v>
      </c>
      <c r="H25" s="13" t="s">
        <v>19</v>
      </c>
      <c r="I25" s="13" t="s">
        <v>45</v>
      </c>
      <c r="J25" s="13" t="s">
        <v>37</v>
      </c>
      <c r="K25" s="13" t="s">
        <v>160</v>
      </c>
      <c r="L25" s="13" t="s">
        <v>161</v>
      </c>
      <c r="M25" s="13" t="s">
        <v>82</v>
      </c>
    </row>
    <row r="26" spans="1:13">
      <c r="A26">
        <v>25</v>
      </c>
      <c r="B26" s="10" t="s">
        <v>162</v>
      </c>
      <c r="C26" s="11" t="s">
        <v>90</v>
      </c>
      <c r="D26" s="11" t="s">
        <v>163</v>
      </c>
      <c r="E26" s="11" t="s">
        <v>164</v>
      </c>
      <c r="F26" s="11" t="s">
        <v>158</v>
      </c>
      <c r="G26" s="11" t="s">
        <v>159</v>
      </c>
      <c r="H26" s="11" t="s">
        <v>19</v>
      </c>
      <c r="I26" s="11" t="s">
        <v>149</v>
      </c>
      <c r="J26" s="11" t="s">
        <v>37</v>
      </c>
      <c r="K26" s="11" t="s">
        <v>160</v>
      </c>
      <c r="L26" s="11" t="s">
        <v>161</v>
      </c>
      <c r="M26" s="11" t="s">
        <v>82</v>
      </c>
    </row>
    <row r="27" spans="1:13">
      <c r="A27">
        <v>26</v>
      </c>
      <c r="B27" s="12" t="s">
        <v>165</v>
      </c>
      <c r="C27" s="13" t="s">
        <v>90</v>
      </c>
      <c r="D27" s="13" t="s">
        <v>166</v>
      </c>
      <c r="E27" s="13" t="s">
        <v>167</v>
      </c>
      <c r="F27" s="13" t="s">
        <v>106</v>
      </c>
      <c r="G27" s="13" t="s">
        <v>168</v>
      </c>
      <c r="H27" s="13" t="s">
        <v>19</v>
      </c>
      <c r="I27" s="13" t="s">
        <v>45</v>
      </c>
      <c r="J27" s="13" t="s">
        <v>21</v>
      </c>
      <c r="K27" s="13" t="s">
        <v>30</v>
      </c>
      <c r="L27" s="13" t="s">
        <v>169</v>
      </c>
      <c r="M27" s="13" t="s">
        <v>82</v>
      </c>
    </row>
    <row r="28" spans="1:13">
      <c r="A28">
        <v>27</v>
      </c>
      <c r="B28" s="10" t="s">
        <v>170</v>
      </c>
      <c r="C28" s="11" t="s">
        <v>90</v>
      </c>
      <c r="D28" s="11" t="s">
        <v>171</v>
      </c>
      <c r="E28" s="11" t="s">
        <v>172</v>
      </c>
      <c r="F28" s="11" t="s">
        <v>106</v>
      </c>
      <c r="G28" s="11" t="s">
        <v>168</v>
      </c>
      <c r="H28" s="11" t="s">
        <v>19</v>
      </c>
      <c r="I28" s="11" t="s">
        <v>45</v>
      </c>
      <c r="J28" s="11" t="s">
        <v>37</v>
      </c>
      <c r="K28" s="11" t="s">
        <v>160</v>
      </c>
      <c r="L28" s="11" t="s">
        <v>173</v>
      </c>
      <c r="M28" s="11" t="s">
        <v>82</v>
      </c>
    </row>
    <row r="29" spans="1:13" ht="25.5" customHeight="1">
      <c r="A29">
        <v>28</v>
      </c>
      <c r="B29" s="12" t="s">
        <v>174</v>
      </c>
      <c r="C29" s="13" t="s">
        <v>90</v>
      </c>
      <c r="D29" s="13" t="s">
        <v>175</v>
      </c>
      <c r="E29" s="13" t="s">
        <v>176</v>
      </c>
      <c r="F29" s="13" t="s">
        <v>106</v>
      </c>
      <c r="G29" s="13" t="s">
        <v>168</v>
      </c>
      <c r="H29" s="13" t="s">
        <v>19</v>
      </c>
      <c r="I29" s="13" t="s">
        <v>149</v>
      </c>
      <c r="J29" s="13" t="s">
        <v>37</v>
      </c>
      <c r="K29" s="13" t="s">
        <v>160</v>
      </c>
      <c r="L29" s="13" t="s">
        <v>173</v>
      </c>
      <c r="M29" s="13" t="s">
        <v>82</v>
      </c>
    </row>
    <row r="30" spans="1:13" ht="25.5" customHeight="1">
      <c r="A30">
        <v>29</v>
      </c>
      <c r="B30" s="10" t="s">
        <v>177</v>
      </c>
      <c r="C30" s="11" t="s">
        <v>90</v>
      </c>
      <c r="D30" s="11" t="s">
        <v>178</v>
      </c>
      <c r="E30" s="11" t="s">
        <v>179</v>
      </c>
      <c r="F30" s="11" t="s">
        <v>106</v>
      </c>
      <c r="G30" s="11" t="s">
        <v>180</v>
      </c>
      <c r="H30" s="11" t="s">
        <v>52</v>
      </c>
      <c r="I30" s="11" t="s">
        <v>45</v>
      </c>
      <c r="J30" s="11" t="s">
        <v>21</v>
      </c>
      <c r="K30" s="11" t="s">
        <v>30</v>
      </c>
      <c r="L30" s="11" t="s">
        <v>181</v>
      </c>
      <c r="M30" s="11" t="s">
        <v>82</v>
      </c>
    </row>
    <row r="31" spans="1:13" ht="25.5" customHeight="1">
      <c r="A31">
        <v>30</v>
      </c>
      <c r="B31" s="12" t="s">
        <v>182</v>
      </c>
      <c r="C31" s="13" t="s">
        <v>90</v>
      </c>
      <c r="D31" s="13" t="s">
        <v>183</v>
      </c>
      <c r="E31" s="13" t="s">
        <v>184</v>
      </c>
      <c r="F31" s="13" t="s">
        <v>185</v>
      </c>
      <c r="G31" s="13" t="s">
        <v>186</v>
      </c>
      <c r="H31" s="13" t="s">
        <v>19</v>
      </c>
      <c r="I31" s="13" t="s">
        <v>80</v>
      </c>
      <c r="J31" s="13" t="s">
        <v>37</v>
      </c>
      <c r="K31" s="13" t="s">
        <v>30</v>
      </c>
      <c r="L31" s="13" t="s">
        <v>187</v>
      </c>
      <c r="M31" s="13" t="s">
        <v>82</v>
      </c>
    </row>
    <row r="32" spans="1:13">
      <c r="A32">
        <v>31</v>
      </c>
      <c r="B32" s="10" t="s">
        <v>188</v>
      </c>
      <c r="C32" s="11" t="s">
        <v>90</v>
      </c>
      <c r="D32" s="11" t="s">
        <v>189</v>
      </c>
      <c r="E32" s="11" t="s">
        <v>190</v>
      </c>
      <c r="F32" s="11" t="s">
        <v>191</v>
      </c>
      <c r="G32" s="11" t="s">
        <v>192</v>
      </c>
      <c r="H32" s="11" t="s">
        <v>193</v>
      </c>
      <c r="I32" s="11" t="s">
        <v>45</v>
      </c>
      <c r="J32" s="11" t="s">
        <v>21</v>
      </c>
      <c r="K32" s="11" t="s">
        <v>30</v>
      </c>
      <c r="L32" s="11" t="s">
        <v>194</v>
      </c>
      <c r="M32" s="11" t="s">
        <v>82</v>
      </c>
    </row>
    <row r="33" spans="1:13">
      <c r="A33">
        <v>32</v>
      </c>
      <c r="B33" s="12" t="s">
        <v>195</v>
      </c>
      <c r="C33" s="13" t="s">
        <v>90</v>
      </c>
      <c r="D33" s="13" t="s">
        <v>196</v>
      </c>
      <c r="E33" s="13" t="s">
        <v>197</v>
      </c>
      <c r="F33" s="13" t="s">
        <v>106</v>
      </c>
      <c r="G33" s="13" t="s">
        <v>198</v>
      </c>
      <c r="H33" s="13" t="s">
        <v>193</v>
      </c>
      <c r="I33" s="13" t="s">
        <v>149</v>
      </c>
      <c r="J33" s="13" t="s">
        <v>37</v>
      </c>
      <c r="K33" s="13" t="s">
        <v>160</v>
      </c>
      <c r="L33" s="13" t="s">
        <v>199</v>
      </c>
      <c r="M33" s="13" t="s">
        <v>82</v>
      </c>
    </row>
    <row r="34" spans="1:13">
      <c r="A34">
        <v>33</v>
      </c>
      <c r="B34" s="10" t="s">
        <v>200</v>
      </c>
      <c r="C34" s="11" t="s">
        <v>90</v>
      </c>
      <c r="D34" s="11" t="s">
        <v>201</v>
      </c>
      <c r="E34" s="11" t="s">
        <v>202</v>
      </c>
      <c r="F34" s="11" t="s">
        <v>106</v>
      </c>
      <c r="G34" s="11" t="s">
        <v>203</v>
      </c>
      <c r="H34" s="11" t="s">
        <v>52</v>
      </c>
      <c r="I34" s="11" t="s">
        <v>80</v>
      </c>
      <c r="J34" s="11" t="s">
        <v>37</v>
      </c>
      <c r="K34" s="11" t="s">
        <v>160</v>
      </c>
      <c r="L34" s="11" t="s">
        <v>204</v>
      </c>
      <c r="M34" s="11" t="s">
        <v>82</v>
      </c>
    </row>
    <row r="35" spans="1:13">
      <c r="A35">
        <v>34</v>
      </c>
      <c r="B35" s="12" t="s">
        <v>205</v>
      </c>
      <c r="C35" s="13" t="s">
        <v>90</v>
      </c>
      <c r="D35" s="13" t="s">
        <v>206</v>
      </c>
      <c r="E35" s="13" t="s">
        <v>207</v>
      </c>
      <c r="F35" s="13" t="s">
        <v>106</v>
      </c>
      <c r="G35" s="13" t="s">
        <v>208</v>
      </c>
      <c r="H35" s="13" t="s">
        <v>193</v>
      </c>
      <c r="I35" s="13" t="s">
        <v>80</v>
      </c>
      <c r="J35" s="13" t="s">
        <v>37</v>
      </c>
      <c r="K35" s="13" t="s">
        <v>160</v>
      </c>
      <c r="L35" s="13" t="s">
        <v>199</v>
      </c>
      <c r="M35" s="13" t="s">
        <v>82</v>
      </c>
    </row>
    <row r="36" spans="1:13" ht="25.5" customHeight="1">
      <c r="A36">
        <v>35</v>
      </c>
      <c r="B36" s="15" t="s">
        <v>209</v>
      </c>
      <c r="C36" s="5" t="s">
        <v>90</v>
      </c>
      <c r="D36" s="5" t="s">
        <v>210</v>
      </c>
      <c r="E36" s="5" t="s">
        <v>211</v>
      </c>
      <c r="F36" s="5" t="s">
        <v>106</v>
      </c>
      <c r="G36" s="5" t="s">
        <v>212</v>
      </c>
      <c r="H36" s="5" t="s">
        <v>52</v>
      </c>
      <c r="I36" s="5" t="s">
        <v>45</v>
      </c>
      <c r="J36" s="5" t="s">
        <v>21</v>
      </c>
      <c r="K36" s="5" t="s">
        <v>30</v>
      </c>
      <c r="L36" s="5" t="s">
        <v>213</v>
      </c>
      <c r="M36" s="15" t="s">
        <v>214</v>
      </c>
    </row>
    <row r="37" spans="1:13" ht="26.25" customHeight="1">
      <c r="A37">
        <v>36</v>
      </c>
      <c r="B37" s="16" t="s">
        <v>215</v>
      </c>
      <c r="C37" s="2" t="s">
        <v>90</v>
      </c>
      <c r="D37" s="2" t="s">
        <v>216</v>
      </c>
      <c r="E37" s="2" t="s">
        <v>217</v>
      </c>
      <c r="F37" s="2" t="s">
        <v>106</v>
      </c>
      <c r="G37" s="2" t="s">
        <v>212</v>
      </c>
      <c r="H37" s="2" t="s">
        <v>52</v>
      </c>
      <c r="I37" s="2" t="s">
        <v>45</v>
      </c>
      <c r="J37" s="2" t="s">
        <v>21</v>
      </c>
      <c r="K37" s="2" t="s">
        <v>160</v>
      </c>
      <c r="L37" s="2" t="s">
        <v>218</v>
      </c>
      <c r="M37" s="16" t="s">
        <v>214</v>
      </c>
    </row>
    <row r="38" spans="1:13" ht="26.25" customHeight="1">
      <c r="A38">
        <v>37</v>
      </c>
      <c r="B38" s="15" t="s">
        <v>219</v>
      </c>
      <c r="C38" s="5" t="s">
        <v>90</v>
      </c>
      <c r="D38" s="5" t="s">
        <v>220</v>
      </c>
      <c r="E38" s="5" t="s">
        <v>221</v>
      </c>
      <c r="F38" s="5" t="s">
        <v>222</v>
      </c>
      <c r="G38" s="5" t="s">
        <v>223</v>
      </c>
      <c r="H38" s="5" t="s">
        <v>193</v>
      </c>
      <c r="I38" s="5" t="s">
        <v>45</v>
      </c>
      <c r="J38" s="5" t="s">
        <v>21</v>
      </c>
      <c r="K38" s="5" t="s">
        <v>30</v>
      </c>
      <c r="L38" s="5" t="s">
        <v>224</v>
      </c>
      <c r="M38" s="15" t="s">
        <v>214</v>
      </c>
    </row>
    <row r="39" spans="1:13" ht="26.25" customHeight="1">
      <c r="A39">
        <v>38</v>
      </c>
      <c r="B39" s="16" t="s">
        <v>225</v>
      </c>
      <c r="C39" s="2" t="s">
        <v>90</v>
      </c>
      <c r="D39" s="2" t="s">
        <v>226</v>
      </c>
      <c r="E39" s="2" t="s">
        <v>227</v>
      </c>
      <c r="F39" s="2" t="s">
        <v>191</v>
      </c>
      <c r="G39" s="2" t="s">
        <v>228</v>
      </c>
      <c r="H39" s="2" t="s">
        <v>193</v>
      </c>
      <c r="I39" s="2" t="s">
        <v>45</v>
      </c>
      <c r="J39" s="2" t="s">
        <v>21</v>
      </c>
      <c r="K39" s="2" t="s">
        <v>160</v>
      </c>
      <c r="L39" s="2" t="s">
        <v>229</v>
      </c>
      <c r="M39" s="16" t="s">
        <v>230</v>
      </c>
    </row>
    <row r="40" spans="1:13" ht="25.5" customHeight="1">
      <c r="A40">
        <v>39</v>
      </c>
      <c r="B40" s="15" t="s">
        <v>231</v>
      </c>
      <c r="C40" s="5" t="s">
        <v>90</v>
      </c>
      <c r="D40" s="5" t="s">
        <v>232</v>
      </c>
      <c r="E40" s="5" t="s">
        <v>233</v>
      </c>
      <c r="F40" s="5" t="s">
        <v>106</v>
      </c>
      <c r="G40" s="5" t="s">
        <v>234</v>
      </c>
      <c r="H40" s="5" t="s">
        <v>193</v>
      </c>
      <c r="I40" s="5" t="s">
        <v>20</v>
      </c>
      <c r="J40" s="5" t="s">
        <v>37</v>
      </c>
      <c r="K40" s="5" t="s">
        <v>160</v>
      </c>
      <c r="L40" s="5" t="s">
        <v>235</v>
      </c>
      <c r="M40" s="15" t="s">
        <v>230</v>
      </c>
    </row>
    <row r="41" spans="1:13" ht="26.25" customHeight="1">
      <c r="A41">
        <v>40</v>
      </c>
      <c r="B41" s="16" t="s">
        <v>236</v>
      </c>
      <c r="C41" s="2" t="s">
        <v>90</v>
      </c>
      <c r="D41" s="2" t="s">
        <v>237</v>
      </c>
      <c r="E41" s="2" t="s">
        <v>238</v>
      </c>
      <c r="F41" s="2" t="s">
        <v>239</v>
      </c>
      <c r="G41" s="2" t="s">
        <v>240</v>
      </c>
      <c r="H41" s="2" t="s">
        <v>193</v>
      </c>
      <c r="I41" s="2" t="s">
        <v>20</v>
      </c>
      <c r="J41" s="2" t="s">
        <v>37</v>
      </c>
      <c r="K41" s="2" t="s">
        <v>160</v>
      </c>
      <c r="L41" s="2" t="s">
        <v>241</v>
      </c>
      <c r="M41" s="16" t="s">
        <v>230</v>
      </c>
    </row>
    <row r="42" spans="1:13" ht="26.25" customHeight="1">
      <c r="A42">
        <v>41</v>
      </c>
      <c r="B42" s="15" t="s">
        <v>242</v>
      </c>
      <c r="C42" s="5" t="s">
        <v>90</v>
      </c>
      <c r="D42" s="5" t="s">
        <v>243</v>
      </c>
      <c r="E42" s="5" t="s">
        <v>244</v>
      </c>
      <c r="F42" s="5" t="s">
        <v>245</v>
      </c>
      <c r="G42" s="5" t="s">
        <v>246</v>
      </c>
      <c r="H42" s="5" t="s">
        <v>19</v>
      </c>
      <c r="I42" s="5" t="s">
        <v>45</v>
      </c>
      <c r="J42" s="5" t="s">
        <v>21</v>
      </c>
      <c r="K42" s="5" t="s">
        <v>30</v>
      </c>
      <c r="L42" s="5" t="s">
        <v>247</v>
      </c>
      <c r="M42" s="15" t="s">
        <v>230</v>
      </c>
    </row>
    <row r="43" spans="1:13">
      <c r="A43">
        <v>42</v>
      </c>
      <c r="B43" s="10" t="s">
        <v>248</v>
      </c>
      <c r="C43" s="11" t="s">
        <v>249</v>
      </c>
      <c r="D43" s="11" t="s">
        <v>250</v>
      </c>
      <c r="E43" s="11" t="s">
        <v>251</v>
      </c>
      <c r="F43" s="11" t="s">
        <v>252</v>
      </c>
      <c r="G43" s="11" t="s">
        <v>253</v>
      </c>
      <c r="H43" s="11" t="s">
        <v>193</v>
      </c>
      <c r="I43" s="11" t="s">
        <v>45</v>
      </c>
      <c r="J43" s="11" t="s">
        <v>37</v>
      </c>
      <c r="K43" s="11" t="s">
        <v>160</v>
      </c>
      <c r="L43" s="11" t="s">
        <v>199</v>
      </c>
      <c r="M43" s="11" t="s">
        <v>82</v>
      </c>
    </row>
    <row r="44" spans="1:13" ht="25.5" customHeight="1">
      <c r="A44">
        <v>43</v>
      </c>
      <c r="B44" s="16" t="s">
        <v>254</v>
      </c>
      <c r="C44" s="2" t="s">
        <v>249</v>
      </c>
      <c r="D44" s="2" t="s">
        <v>255</v>
      </c>
      <c r="E44" s="2" t="s">
        <v>256</v>
      </c>
      <c r="F44" s="2" t="s">
        <v>257</v>
      </c>
      <c r="G44" s="2" t="s">
        <v>258</v>
      </c>
      <c r="H44" s="2" t="s">
        <v>19</v>
      </c>
      <c r="I44" s="2" t="s">
        <v>45</v>
      </c>
      <c r="J44" s="2" t="s">
        <v>37</v>
      </c>
      <c r="K44" s="2" t="s">
        <v>160</v>
      </c>
      <c r="L44" s="2" t="s">
        <v>259</v>
      </c>
      <c r="M44" s="16" t="s">
        <v>260</v>
      </c>
    </row>
    <row r="45" spans="1:13">
      <c r="A45">
        <v>44</v>
      </c>
      <c r="B45" s="2" t="s">
        <v>261</v>
      </c>
      <c r="C45" s="2" t="s">
        <v>262</v>
      </c>
      <c r="D45" s="2" t="s">
        <v>263</v>
      </c>
      <c r="E45" s="2" t="s">
        <v>264</v>
      </c>
      <c r="F45" s="2" t="s">
        <v>265</v>
      </c>
      <c r="G45" s="2" t="s">
        <v>266</v>
      </c>
      <c r="H45" s="2" t="s">
        <v>19</v>
      </c>
      <c r="I45" s="2" t="s">
        <v>20</v>
      </c>
      <c r="J45" s="3" t="s">
        <v>21</v>
      </c>
      <c r="K45" s="9" t="s">
        <v>30</v>
      </c>
      <c r="L45" s="2" t="s">
        <v>31</v>
      </c>
      <c r="M45" s="4" t="s">
        <v>24</v>
      </c>
    </row>
    <row r="46" spans="1:13">
      <c r="A46">
        <v>45</v>
      </c>
      <c r="B46" s="5" t="s">
        <v>267</v>
      </c>
      <c r="C46" s="5" t="s">
        <v>262</v>
      </c>
      <c r="D46" s="5" t="s">
        <v>268</v>
      </c>
      <c r="E46" s="5" t="s">
        <v>269</v>
      </c>
      <c r="F46" s="5" t="s">
        <v>265</v>
      </c>
      <c r="G46" s="5" t="s">
        <v>270</v>
      </c>
      <c r="H46" s="5" t="s">
        <v>19</v>
      </c>
      <c r="I46" s="5" t="s">
        <v>20</v>
      </c>
      <c r="J46" s="6" t="s">
        <v>21</v>
      </c>
      <c r="K46" s="6" t="s">
        <v>22</v>
      </c>
      <c r="L46" s="5" t="s">
        <v>271</v>
      </c>
      <c r="M46" s="8" t="s">
        <v>24</v>
      </c>
    </row>
    <row r="47" spans="1:13">
      <c r="A47">
        <v>46</v>
      </c>
      <c r="B47" s="2" t="s">
        <v>272</v>
      </c>
      <c r="C47" s="2" t="s">
        <v>262</v>
      </c>
      <c r="D47" s="2" t="s">
        <v>273</v>
      </c>
      <c r="E47" s="2" t="s">
        <v>274</v>
      </c>
      <c r="F47" s="2" t="s">
        <v>275</v>
      </c>
      <c r="G47" s="2" t="s">
        <v>276</v>
      </c>
      <c r="H47" s="2" t="s">
        <v>19</v>
      </c>
      <c r="I47" s="2" t="s">
        <v>45</v>
      </c>
      <c r="J47" s="3" t="s">
        <v>21</v>
      </c>
      <c r="K47" s="3" t="s">
        <v>22</v>
      </c>
      <c r="L47" s="2" t="s">
        <v>277</v>
      </c>
      <c r="M47" s="4" t="s">
        <v>46</v>
      </c>
    </row>
    <row r="48" spans="1:13">
      <c r="A48">
        <v>47</v>
      </c>
      <c r="B48" s="5" t="s">
        <v>278</v>
      </c>
      <c r="C48" s="5" t="s">
        <v>262</v>
      </c>
      <c r="D48" s="5" t="s">
        <v>279</v>
      </c>
      <c r="E48" s="5" t="s">
        <v>280</v>
      </c>
      <c r="F48" s="5" t="s">
        <v>281</v>
      </c>
      <c r="G48" s="5" t="s">
        <v>282</v>
      </c>
      <c r="H48" s="5" t="s">
        <v>19</v>
      </c>
      <c r="I48" s="5" t="s">
        <v>20</v>
      </c>
      <c r="J48" s="5" t="s">
        <v>37</v>
      </c>
      <c r="K48" s="7" t="s">
        <v>30</v>
      </c>
      <c r="L48" s="5" t="s">
        <v>31</v>
      </c>
      <c r="M48" s="8" t="s">
        <v>46</v>
      </c>
    </row>
    <row r="49" spans="1:13" ht="26.25" customHeight="1">
      <c r="A49">
        <v>48</v>
      </c>
      <c r="B49" s="2" t="s">
        <v>283</v>
      </c>
      <c r="C49" s="2" t="s">
        <v>262</v>
      </c>
      <c r="D49" s="2" t="s">
        <v>284</v>
      </c>
      <c r="E49" s="2" t="s">
        <v>285</v>
      </c>
      <c r="F49" s="2" t="s">
        <v>286</v>
      </c>
      <c r="G49" s="2" t="s">
        <v>287</v>
      </c>
      <c r="H49" s="2" t="s">
        <v>19</v>
      </c>
      <c r="I49" s="2" t="s">
        <v>20</v>
      </c>
      <c r="J49" s="2" t="s">
        <v>37</v>
      </c>
      <c r="K49" s="9" t="s">
        <v>30</v>
      </c>
      <c r="L49" s="2" t="s">
        <v>31</v>
      </c>
      <c r="M49" s="4" t="s">
        <v>46</v>
      </c>
    </row>
    <row r="50" spans="1:13">
      <c r="A50">
        <v>49</v>
      </c>
      <c r="B50" s="5" t="s">
        <v>288</v>
      </c>
      <c r="C50" s="5" t="s">
        <v>262</v>
      </c>
      <c r="D50" s="5" t="s">
        <v>289</v>
      </c>
      <c r="E50" s="5" t="s">
        <v>290</v>
      </c>
      <c r="F50" s="5" t="s">
        <v>291</v>
      </c>
      <c r="G50" s="5" t="s">
        <v>292</v>
      </c>
      <c r="H50" s="5" t="s">
        <v>44</v>
      </c>
      <c r="I50" s="5" t="s">
        <v>20</v>
      </c>
      <c r="J50" s="5" t="s">
        <v>37</v>
      </c>
      <c r="K50" s="6" t="s">
        <v>22</v>
      </c>
      <c r="L50" s="5" t="s">
        <v>293</v>
      </c>
      <c r="M50" s="8" t="s">
        <v>24</v>
      </c>
    </row>
    <row r="51" spans="1:13" ht="25.5" customHeight="1">
      <c r="A51">
        <v>50</v>
      </c>
      <c r="B51" s="2" t="s">
        <v>294</v>
      </c>
      <c r="C51" s="2" t="s">
        <v>262</v>
      </c>
      <c r="D51" s="2" t="s">
        <v>295</v>
      </c>
      <c r="E51" s="2" t="s">
        <v>296</v>
      </c>
      <c r="F51" s="2" t="s">
        <v>297</v>
      </c>
      <c r="G51" s="2" t="s">
        <v>298</v>
      </c>
      <c r="H51" s="2" t="s">
        <v>19</v>
      </c>
      <c r="I51" s="2" t="s">
        <v>20</v>
      </c>
      <c r="J51" s="2" t="s">
        <v>37</v>
      </c>
      <c r="K51" s="3" t="s">
        <v>22</v>
      </c>
      <c r="L51" s="2" t="s">
        <v>293</v>
      </c>
      <c r="M51" s="4" t="s">
        <v>24</v>
      </c>
    </row>
    <row r="52" spans="1:13">
      <c r="A52">
        <v>51</v>
      </c>
      <c r="B52" s="5" t="s">
        <v>299</v>
      </c>
      <c r="C52" s="5" t="s">
        <v>262</v>
      </c>
      <c r="D52" s="5" t="s">
        <v>300</v>
      </c>
      <c r="E52" s="5" t="s">
        <v>301</v>
      </c>
      <c r="F52" s="5" t="s">
        <v>302</v>
      </c>
      <c r="G52" s="5" t="s">
        <v>303</v>
      </c>
      <c r="H52" s="5" t="s">
        <v>19</v>
      </c>
      <c r="I52" s="5" t="s">
        <v>20</v>
      </c>
      <c r="J52" s="5" t="s">
        <v>37</v>
      </c>
      <c r="K52" s="7" t="s">
        <v>30</v>
      </c>
      <c r="L52" s="5" t="s">
        <v>31</v>
      </c>
      <c r="M52" s="8" t="s">
        <v>46</v>
      </c>
    </row>
    <row r="53" spans="1:13">
      <c r="A53">
        <v>52</v>
      </c>
      <c r="B53" s="5" t="s">
        <v>304</v>
      </c>
      <c r="C53" s="5" t="s">
        <v>262</v>
      </c>
      <c r="D53" s="5" t="s">
        <v>305</v>
      </c>
      <c r="E53" s="5" t="s">
        <v>306</v>
      </c>
      <c r="F53" s="5" t="s">
        <v>307</v>
      </c>
      <c r="G53" s="5" t="s">
        <v>308</v>
      </c>
      <c r="H53" s="5" t="s">
        <v>19</v>
      </c>
      <c r="I53" s="5" t="s">
        <v>149</v>
      </c>
      <c r="J53" s="5" t="s">
        <v>37</v>
      </c>
      <c r="K53" s="7" t="s">
        <v>30</v>
      </c>
      <c r="L53" s="5" t="s">
        <v>31</v>
      </c>
      <c r="M53" s="8" t="s">
        <v>38</v>
      </c>
    </row>
    <row r="54" spans="1:13">
      <c r="A54">
        <v>53</v>
      </c>
      <c r="B54" s="5" t="s">
        <v>309</v>
      </c>
      <c r="C54" s="5" t="s">
        <v>262</v>
      </c>
      <c r="D54" s="5" t="s">
        <v>310</v>
      </c>
      <c r="E54" s="5" t="s">
        <v>311</v>
      </c>
      <c r="F54" s="5" t="s">
        <v>312</v>
      </c>
      <c r="G54" s="5" t="s">
        <v>313</v>
      </c>
      <c r="H54" s="5" t="s">
        <v>52</v>
      </c>
      <c r="I54" s="5" t="s">
        <v>20</v>
      </c>
      <c r="J54" s="5" t="s">
        <v>37</v>
      </c>
      <c r="K54" s="7" t="s">
        <v>30</v>
      </c>
      <c r="L54" s="5" t="s">
        <v>31</v>
      </c>
      <c r="M54" s="8" t="s">
        <v>24</v>
      </c>
    </row>
    <row r="55" spans="1:13">
      <c r="A55">
        <v>54</v>
      </c>
      <c r="B55" s="5" t="s">
        <v>314</v>
      </c>
      <c r="C55" s="5" t="s">
        <v>262</v>
      </c>
      <c r="D55" s="5" t="s">
        <v>315</v>
      </c>
      <c r="E55" s="5" t="s">
        <v>316</v>
      </c>
      <c r="F55" s="5" t="s">
        <v>317</v>
      </c>
      <c r="G55" s="5" t="s">
        <v>318</v>
      </c>
      <c r="H55" s="5" t="s">
        <v>193</v>
      </c>
      <c r="I55" s="5" t="s">
        <v>45</v>
      </c>
      <c r="J55" s="5" t="s">
        <v>37</v>
      </c>
      <c r="K55" s="17" t="s">
        <v>160</v>
      </c>
      <c r="L55" s="5" t="s">
        <v>199</v>
      </c>
      <c r="M55" s="8" t="s">
        <v>46</v>
      </c>
    </row>
    <row r="56" spans="1:13">
      <c r="A56">
        <v>55</v>
      </c>
      <c r="B56" s="10" t="s">
        <v>319</v>
      </c>
      <c r="C56" s="11" t="s">
        <v>262</v>
      </c>
      <c r="D56" s="11" t="s">
        <v>320</v>
      </c>
      <c r="E56" s="11" t="s">
        <v>321</v>
      </c>
      <c r="F56" s="11" t="s">
        <v>322</v>
      </c>
      <c r="G56" s="11" t="s">
        <v>323</v>
      </c>
      <c r="H56" s="11" t="s">
        <v>52</v>
      </c>
      <c r="I56" s="11" t="s">
        <v>20</v>
      </c>
      <c r="J56" s="11" t="s">
        <v>21</v>
      </c>
      <c r="K56" s="11" t="s">
        <v>30</v>
      </c>
      <c r="L56" s="11" t="s">
        <v>324</v>
      </c>
      <c r="M56" s="11" t="s">
        <v>70</v>
      </c>
    </row>
    <row r="57" spans="1:13">
      <c r="A57">
        <v>56</v>
      </c>
      <c r="B57" s="12" t="s">
        <v>325</v>
      </c>
      <c r="C57" s="13" t="s">
        <v>262</v>
      </c>
      <c r="D57" s="13" t="s">
        <v>326</v>
      </c>
      <c r="E57" s="13" t="s">
        <v>327</v>
      </c>
      <c r="F57" s="13" t="s">
        <v>328</v>
      </c>
      <c r="G57" s="13" t="s">
        <v>329</v>
      </c>
      <c r="H57" s="13" t="s">
        <v>52</v>
      </c>
      <c r="I57" s="13" t="s">
        <v>149</v>
      </c>
      <c r="J57" s="13" t="s">
        <v>37</v>
      </c>
      <c r="K57" s="13" t="s">
        <v>30</v>
      </c>
      <c r="L57" s="13" t="s">
        <v>330</v>
      </c>
      <c r="M57" s="13" t="s">
        <v>82</v>
      </c>
    </row>
    <row r="58" spans="1:13" ht="25.5" customHeight="1">
      <c r="A58">
        <v>57</v>
      </c>
      <c r="B58" s="10" t="s">
        <v>331</v>
      </c>
      <c r="C58" s="11" t="s">
        <v>262</v>
      </c>
      <c r="D58" s="11" t="s">
        <v>332</v>
      </c>
      <c r="E58" s="11" t="s">
        <v>333</v>
      </c>
      <c r="F58" s="11" t="s">
        <v>328</v>
      </c>
      <c r="G58" s="11" t="s">
        <v>329</v>
      </c>
      <c r="H58" s="11" t="s">
        <v>52</v>
      </c>
      <c r="I58" s="11" t="s">
        <v>149</v>
      </c>
      <c r="J58" s="11" t="s">
        <v>37</v>
      </c>
      <c r="K58" s="11" t="s">
        <v>30</v>
      </c>
      <c r="L58" s="11" t="s">
        <v>330</v>
      </c>
      <c r="M58" s="11" t="s">
        <v>82</v>
      </c>
    </row>
    <row r="59" spans="1:13">
      <c r="A59">
        <v>58</v>
      </c>
      <c r="B59" s="12" t="s">
        <v>334</v>
      </c>
      <c r="C59" s="13" t="s">
        <v>262</v>
      </c>
      <c r="D59" s="13" t="s">
        <v>335</v>
      </c>
      <c r="E59" s="13" t="s">
        <v>336</v>
      </c>
      <c r="F59" s="13" t="s">
        <v>328</v>
      </c>
      <c r="G59" s="13" t="s">
        <v>329</v>
      </c>
      <c r="H59" s="13" t="s">
        <v>52</v>
      </c>
      <c r="I59" s="13" t="s">
        <v>149</v>
      </c>
      <c r="J59" s="13" t="s">
        <v>37</v>
      </c>
      <c r="K59" s="13" t="s">
        <v>30</v>
      </c>
      <c r="L59" s="13" t="s">
        <v>330</v>
      </c>
      <c r="M59" s="13" t="s">
        <v>82</v>
      </c>
    </row>
    <row r="60" spans="1:13">
      <c r="A60">
        <v>59</v>
      </c>
      <c r="B60" s="10" t="s">
        <v>337</v>
      </c>
      <c r="C60" s="11" t="s">
        <v>262</v>
      </c>
      <c r="D60" s="11" t="s">
        <v>338</v>
      </c>
      <c r="E60" s="11" t="s">
        <v>339</v>
      </c>
      <c r="F60" s="11" t="s">
        <v>340</v>
      </c>
      <c r="G60" s="11" t="s">
        <v>341</v>
      </c>
      <c r="H60" s="11" t="s">
        <v>193</v>
      </c>
      <c r="I60" s="11" t="s">
        <v>149</v>
      </c>
      <c r="J60" s="11" t="s">
        <v>37</v>
      </c>
      <c r="K60" s="11" t="s">
        <v>160</v>
      </c>
      <c r="L60" s="11" t="s">
        <v>199</v>
      </c>
      <c r="M60" s="11" t="s">
        <v>82</v>
      </c>
    </row>
    <row r="61" spans="1:13">
      <c r="A61">
        <v>60</v>
      </c>
      <c r="B61" s="12" t="s">
        <v>342</v>
      </c>
      <c r="C61" s="13" t="s">
        <v>262</v>
      </c>
      <c r="D61" s="13" t="s">
        <v>343</v>
      </c>
      <c r="E61" s="13" t="s">
        <v>344</v>
      </c>
      <c r="F61" s="13" t="s">
        <v>340</v>
      </c>
      <c r="G61" s="13" t="s">
        <v>341</v>
      </c>
      <c r="H61" s="13" t="s">
        <v>193</v>
      </c>
      <c r="I61" s="13" t="s">
        <v>149</v>
      </c>
      <c r="J61" s="13" t="s">
        <v>37</v>
      </c>
      <c r="K61" s="13" t="s">
        <v>160</v>
      </c>
      <c r="L61" s="13" t="s">
        <v>199</v>
      </c>
      <c r="M61" s="13" t="s">
        <v>82</v>
      </c>
    </row>
    <row r="62" spans="1:13">
      <c r="A62">
        <v>61</v>
      </c>
      <c r="B62" s="10" t="s">
        <v>345</v>
      </c>
      <c r="C62" s="11" t="s">
        <v>262</v>
      </c>
      <c r="D62" s="11" t="s">
        <v>346</v>
      </c>
      <c r="E62" s="11" t="s">
        <v>347</v>
      </c>
      <c r="F62" s="11" t="s">
        <v>340</v>
      </c>
      <c r="G62" s="11" t="s">
        <v>341</v>
      </c>
      <c r="H62" s="11" t="s">
        <v>193</v>
      </c>
      <c r="I62" s="11" t="s">
        <v>149</v>
      </c>
      <c r="J62" s="11" t="s">
        <v>37</v>
      </c>
      <c r="K62" s="11" t="s">
        <v>160</v>
      </c>
      <c r="L62" s="11" t="s">
        <v>199</v>
      </c>
      <c r="M62" s="11" t="s">
        <v>82</v>
      </c>
    </row>
    <row r="63" spans="1:13">
      <c r="A63">
        <v>62</v>
      </c>
      <c r="B63" s="12" t="s">
        <v>348</v>
      </c>
      <c r="C63" s="13" t="s">
        <v>262</v>
      </c>
      <c r="D63" s="13" t="s">
        <v>349</v>
      </c>
      <c r="E63" s="13" t="s">
        <v>350</v>
      </c>
      <c r="F63" s="13" t="s">
        <v>35</v>
      </c>
      <c r="G63" s="13" t="s">
        <v>351</v>
      </c>
      <c r="H63" s="13" t="s">
        <v>52</v>
      </c>
      <c r="I63" s="13" t="s">
        <v>80</v>
      </c>
      <c r="J63" s="13" t="s">
        <v>37</v>
      </c>
      <c r="K63" s="13" t="s">
        <v>30</v>
      </c>
      <c r="L63" s="13" t="s">
        <v>352</v>
      </c>
      <c r="M63" s="13" t="s">
        <v>82</v>
      </c>
    </row>
    <row r="64" spans="1:13">
      <c r="A64">
        <v>63</v>
      </c>
      <c r="B64" s="10" t="s">
        <v>353</v>
      </c>
      <c r="C64" s="11" t="s">
        <v>262</v>
      </c>
      <c r="D64" s="11" t="s">
        <v>354</v>
      </c>
      <c r="E64" s="11" t="s">
        <v>355</v>
      </c>
      <c r="F64" s="11" t="s">
        <v>356</v>
      </c>
      <c r="G64" s="11" t="s">
        <v>357</v>
      </c>
      <c r="H64" s="11" t="s">
        <v>193</v>
      </c>
      <c r="I64" s="11" t="s">
        <v>149</v>
      </c>
      <c r="J64" s="11" t="s">
        <v>37</v>
      </c>
      <c r="K64" s="11" t="s">
        <v>160</v>
      </c>
      <c r="L64" s="11" t="s">
        <v>199</v>
      </c>
      <c r="M64" s="11" t="s">
        <v>82</v>
      </c>
    </row>
    <row r="65" spans="1:13">
      <c r="A65">
        <v>64</v>
      </c>
      <c r="B65" s="12" t="s">
        <v>358</v>
      </c>
      <c r="C65" s="13" t="s">
        <v>262</v>
      </c>
      <c r="D65" s="13" t="s">
        <v>359</v>
      </c>
      <c r="E65" s="13" t="s">
        <v>360</v>
      </c>
      <c r="F65" s="13" t="s">
        <v>275</v>
      </c>
      <c r="G65" s="13" t="s">
        <v>361</v>
      </c>
      <c r="H65" s="13" t="s">
        <v>193</v>
      </c>
      <c r="I65" s="13" t="s">
        <v>45</v>
      </c>
      <c r="J65" s="13" t="s">
        <v>37</v>
      </c>
      <c r="K65" s="13" t="s">
        <v>160</v>
      </c>
      <c r="L65" s="13" t="s">
        <v>199</v>
      </c>
      <c r="M65" s="13" t="s">
        <v>82</v>
      </c>
    </row>
    <row r="66" spans="1:13" ht="25.5" customHeight="1">
      <c r="A66">
        <v>65</v>
      </c>
      <c r="B66" s="15" t="s">
        <v>362</v>
      </c>
      <c r="C66" s="5" t="s">
        <v>262</v>
      </c>
      <c r="D66" s="5" t="s">
        <v>363</v>
      </c>
      <c r="E66" s="5" t="s">
        <v>364</v>
      </c>
      <c r="F66" s="5" t="s">
        <v>365</v>
      </c>
      <c r="G66" s="5" t="s">
        <v>366</v>
      </c>
      <c r="H66" s="5" t="s">
        <v>52</v>
      </c>
      <c r="I66" s="5" t="s">
        <v>20</v>
      </c>
      <c r="J66" s="5" t="s">
        <v>37</v>
      </c>
      <c r="K66" s="5" t="s">
        <v>30</v>
      </c>
      <c r="L66" s="5" t="s">
        <v>367</v>
      </c>
      <c r="M66" s="15" t="s">
        <v>214</v>
      </c>
    </row>
    <row r="67" spans="1:13" ht="25.5" customHeight="1">
      <c r="A67">
        <v>66</v>
      </c>
      <c r="B67" s="16" t="s">
        <v>368</v>
      </c>
      <c r="C67" s="2" t="s">
        <v>262</v>
      </c>
      <c r="D67" s="2" t="s">
        <v>369</v>
      </c>
      <c r="E67" s="2" t="s">
        <v>370</v>
      </c>
      <c r="F67" s="2" t="s">
        <v>371</v>
      </c>
      <c r="G67" s="2" t="s">
        <v>372</v>
      </c>
      <c r="H67" s="2" t="s">
        <v>52</v>
      </c>
      <c r="I67" s="2" t="s">
        <v>20</v>
      </c>
      <c r="J67" s="2" t="s">
        <v>37</v>
      </c>
      <c r="K67" s="2" t="s">
        <v>30</v>
      </c>
      <c r="L67" s="2" t="s">
        <v>352</v>
      </c>
      <c r="M67" s="16" t="s">
        <v>373</v>
      </c>
    </row>
    <row r="68" spans="1:13" ht="25.5" customHeight="1">
      <c r="A68">
        <v>67</v>
      </c>
      <c r="B68" s="15" t="s">
        <v>374</v>
      </c>
      <c r="C68" s="5" t="s">
        <v>262</v>
      </c>
      <c r="D68" s="5" t="s">
        <v>375</v>
      </c>
      <c r="E68" s="5" t="s">
        <v>376</v>
      </c>
      <c r="F68" s="5" t="s">
        <v>377</v>
      </c>
      <c r="G68" s="5" t="s">
        <v>378</v>
      </c>
      <c r="H68" s="5" t="s">
        <v>19</v>
      </c>
      <c r="I68" s="5" t="s">
        <v>149</v>
      </c>
      <c r="J68" s="5" t="s">
        <v>37</v>
      </c>
      <c r="K68" s="5" t="s">
        <v>30</v>
      </c>
      <c r="L68" s="5" t="s">
        <v>379</v>
      </c>
      <c r="M68" s="15" t="s">
        <v>260</v>
      </c>
    </row>
    <row r="69" spans="1:13" ht="25.5" customHeight="1">
      <c r="A69">
        <v>68</v>
      </c>
      <c r="B69" s="16" t="s">
        <v>380</v>
      </c>
      <c r="C69" s="2" t="s">
        <v>262</v>
      </c>
      <c r="D69" s="2" t="s">
        <v>381</v>
      </c>
      <c r="E69" s="2" t="s">
        <v>382</v>
      </c>
      <c r="F69" s="2" t="s">
        <v>340</v>
      </c>
      <c r="G69" s="2" t="s">
        <v>341</v>
      </c>
      <c r="H69" s="2" t="s">
        <v>193</v>
      </c>
      <c r="I69" s="2" t="s">
        <v>149</v>
      </c>
      <c r="J69" s="2" t="s">
        <v>37</v>
      </c>
      <c r="K69" s="2" t="s">
        <v>160</v>
      </c>
      <c r="L69" s="2" t="s">
        <v>199</v>
      </c>
      <c r="M69" s="16" t="s">
        <v>230</v>
      </c>
    </row>
    <row r="70" spans="1:13" ht="25.5" customHeight="1">
      <c r="A70">
        <v>69</v>
      </c>
      <c r="B70" s="15" t="s">
        <v>383</v>
      </c>
      <c r="C70" s="5" t="s">
        <v>262</v>
      </c>
      <c r="D70" s="5" t="s">
        <v>384</v>
      </c>
      <c r="E70" s="5" t="s">
        <v>385</v>
      </c>
      <c r="F70" s="5" t="s">
        <v>340</v>
      </c>
      <c r="G70" s="5" t="s">
        <v>341</v>
      </c>
      <c r="H70" s="5" t="s">
        <v>193</v>
      </c>
      <c r="I70" s="5" t="s">
        <v>149</v>
      </c>
      <c r="J70" s="5" t="s">
        <v>37</v>
      </c>
      <c r="K70" s="5" t="s">
        <v>160</v>
      </c>
      <c r="L70" s="5" t="s">
        <v>199</v>
      </c>
      <c r="M70" s="15" t="s">
        <v>230</v>
      </c>
    </row>
    <row r="71" spans="1:13" ht="25.5" customHeight="1">
      <c r="A71">
        <v>70</v>
      </c>
      <c r="B71" s="16" t="s">
        <v>386</v>
      </c>
      <c r="C71" s="2" t="s">
        <v>262</v>
      </c>
      <c r="D71" s="2" t="s">
        <v>387</v>
      </c>
      <c r="E71" s="2" t="s">
        <v>388</v>
      </c>
      <c r="F71" s="2" t="s">
        <v>340</v>
      </c>
      <c r="G71" s="2" t="s">
        <v>341</v>
      </c>
      <c r="H71" s="2" t="s">
        <v>193</v>
      </c>
      <c r="I71" s="2" t="s">
        <v>149</v>
      </c>
      <c r="J71" s="2" t="s">
        <v>37</v>
      </c>
      <c r="K71" s="2" t="s">
        <v>160</v>
      </c>
      <c r="L71" s="2" t="s">
        <v>330</v>
      </c>
      <c r="M71" s="16" t="s">
        <v>230</v>
      </c>
    </row>
    <row r="72" spans="1:13" ht="25.5" customHeight="1">
      <c r="A72">
        <v>71</v>
      </c>
      <c r="B72" s="15" t="s">
        <v>389</v>
      </c>
      <c r="C72" s="5" t="s">
        <v>262</v>
      </c>
      <c r="D72" s="5" t="s">
        <v>390</v>
      </c>
      <c r="E72" s="5" t="s">
        <v>391</v>
      </c>
      <c r="F72" s="5" t="s">
        <v>340</v>
      </c>
      <c r="G72" s="5" t="s">
        <v>341</v>
      </c>
      <c r="H72" s="5" t="s">
        <v>193</v>
      </c>
      <c r="I72" s="5" t="s">
        <v>149</v>
      </c>
      <c r="J72" s="5" t="s">
        <v>37</v>
      </c>
      <c r="K72" s="5" t="s">
        <v>160</v>
      </c>
      <c r="L72" s="5" t="s">
        <v>199</v>
      </c>
      <c r="M72" s="15" t="s">
        <v>230</v>
      </c>
    </row>
    <row r="73" spans="1:13">
      <c r="A73">
        <v>72</v>
      </c>
      <c r="B73" s="16" t="s">
        <v>392</v>
      </c>
      <c r="C73" s="2" t="s">
        <v>262</v>
      </c>
      <c r="D73" s="2" t="s">
        <v>393</v>
      </c>
      <c r="E73" s="2" t="s">
        <v>394</v>
      </c>
      <c r="F73" s="2" t="s">
        <v>395</v>
      </c>
      <c r="G73" s="2" t="s">
        <v>396</v>
      </c>
      <c r="H73" s="2" t="s">
        <v>193</v>
      </c>
      <c r="I73" s="2" t="s">
        <v>149</v>
      </c>
      <c r="J73" s="2" t="s">
        <v>21</v>
      </c>
      <c r="K73" s="2" t="s">
        <v>160</v>
      </c>
      <c r="L73" s="2" t="s">
        <v>397</v>
      </c>
      <c r="M73" s="16" t="s">
        <v>230</v>
      </c>
    </row>
    <row r="74" spans="1:13" ht="26.25" customHeight="1">
      <c r="A74">
        <v>73</v>
      </c>
      <c r="B74" s="2" t="s">
        <v>398</v>
      </c>
      <c r="C74" s="2" t="s">
        <v>399</v>
      </c>
      <c r="D74" s="2" t="s">
        <v>400</v>
      </c>
      <c r="E74" s="2" t="s">
        <v>401</v>
      </c>
      <c r="F74" s="2" t="s">
        <v>402</v>
      </c>
      <c r="G74" s="2" t="s">
        <v>403</v>
      </c>
      <c r="H74" s="2" t="s">
        <v>19</v>
      </c>
      <c r="I74" s="2" t="s">
        <v>45</v>
      </c>
      <c r="J74" s="3" t="s">
        <v>21</v>
      </c>
      <c r="K74" s="3" t="s">
        <v>22</v>
      </c>
      <c r="L74" s="2" t="s">
        <v>404</v>
      </c>
      <c r="M74" s="4" t="s">
        <v>46</v>
      </c>
    </row>
    <row r="75" spans="1:13" ht="25.5" customHeight="1">
      <c r="A75">
        <v>74</v>
      </c>
      <c r="B75" s="5" t="s">
        <v>405</v>
      </c>
      <c r="C75" s="5" t="s">
        <v>406</v>
      </c>
      <c r="D75" s="5" t="s">
        <v>407</v>
      </c>
      <c r="E75" s="5" t="s">
        <v>408</v>
      </c>
      <c r="F75" s="5" t="s">
        <v>409</v>
      </c>
      <c r="G75" s="5" t="s">
        <v>410</v>
      </c>
      <c r="H75" s="5" t="s">
        <v>19</v>
      </c>
      <c r="I75" s="5" t="s">
        <v>45</v>
      </c>
      <c r="J75" s="6" t="s">
        <v>21</v>
      </c>
      <c r="K75" s="6" t="s">
        <v>22</v>
      </c>
      <c r="L75" s="5" t="s">
        <v>411</v>
      </c>
      <c r="M75" s="8" t="s">
        <v>46</v>
      </c>
    </row>
    <row r="76" spans="1:13">
      <c r="A76">
        <v>75</v>
      </c>
      <c r="B76" s="2" t="s">
        <v>412</v>
      </c>
      <c r="C76" s="2" t="s">
        <v>406</v>
      </c>
      <c r="D76" s="2" t="s">
        <v>413</v>
      </c>
      <c r="E76" s="2" t="s">
        <v>414</v>
      </c>
      <c r="F76" s="2" t="s">
        <v>415</v>
      </c>
      <c r="G76" s="2" t="s">
        <v>416</v>
      </c>
      <c r="H76" s="2" t="s">
        <v>19</v>
      </c>
      <c r="I76" s="2" t="s">
        <v>45</v>
      </c>
      <c r="J76" s="3" t="s">
        <v>21</v>
      </c>
      <c r="K76" s="9" t="s">
        <v>30</v>
      </c>
      <c r="L76" s="2" t="s">
        <v>31</v>
      </c>
      <c r="M76" s="4" t="s">
        <v>46</v>
      </c>
    </row>
    <row r="77" spans="1:13">
      <c r="A77">
        <v>76</v>
      </c>
      <c r="B77" s="2" t="s">
        <v>417</v>
      </c>
      <c r="C77" s="2" t="s">
        <v>406</v>
      </c>
      <c r="D77" s="2" t="s">
        <v>418</v>
      </c>
      <c r="E77" s="2" t="s">
        <v>419</v>
      </c>
      <c r="F77" s="2" t="s">
        <v>420</v>
      </c>
      <c r="G77" s="2" t="s">
        <v>421</v>
      </c>
      <c r="H77" s="2" t="s">
        <v>52</v>
      </c>
      <c r="I77" s="2" t="s">
        <v>45</v>
      </c>
      <c r="J77" s="2" t="s">
        <v>37</v>
      </c>
      <c r="K77" s="9" t="s">
        <v>30</v>
      </c>
      <c r="L77" s="2" t="s">
        <v>31</v>
      </c>
      <c r="M77" s="4" t="s">
        <v>46</v>
      </c>
    </row>
    <row r="78" spans="1:13">
      <c r="A78">
        <v>77</v>
      </c>
      <c r="B78" s="12" t="s">
        <v>422</v>
      </c>
      <c r="C78" s="13" t="s">
        <v>406</v>
      </c>
      <c r="D78" s="13" t="s">
        <v>423</v>
      </c>
      <c r="E78" s="13" t="s">
        <v>424</v>
      </c>
      <c r="F78" s="13" t="s">
        <v>425</v>
      </c>
      <c r="G78" s="13" t="s">
        <v>426</v>
      </c>
      <c r="H78" s="13" t="s">
        <v>19</v>
      </c>
      <c r="I78" s="13" t="s">
        <v>80</v>
      </c>
      <c r="J78" s="13" t="s">
        <v>37</v>
      </c>
      <c r="K78" s="13" t="s">
        <v>30</v>
      </c>
      <c r="L78" s="13" t="s">
        <v>427</v>
      </c>
      <c r="M78" s="13" t="s">
        <v>70</v>
      </c>
    </row>
    <row r="79" spans="1:13" ht="26.25" customHeight="1">
      <c r="A79">
        <v>78</v>
      </c>
      <c r="B79" s="15" t="s">
        <v>428</v>
      </c>
      <c r="C79" s="5" t="s">
        <v>406</v>
      </c>
      <c r="D79" s="5" t="s">
        <v>429</v>
      </c>
      <c r="E79" s="5" t="s">
        <v>430</v>
      </c>
      <c r="F79" s="5" t="s">
        <v>431</v>
      </c>
      <c r="G79" s="5" t="s">
        <v>432</v>
      </c>
      <c r="H79" s="5" t="s">
        <v>44</v>
      </c>
      <c r="I79" s="5" t="s">
        <v>149</v>
      </c>
      <c r="J79" s="5" t="s">
        <v>37</v>
      </c>
      <c r="K79" s="5" t="s">
        <v>160</v>
      </c>
      <c r="L79" s="5" t="s">
        <v>433</v>
      </c>
      <c r="M79" s="15" t="s">
        <v>214</v>
      </c>
    </row>
    <row r="80" spans="1:13" ht="39" customHeight="1">
      <c r="A80">
        <v>79</v>
      </c>
      <c r="B80" s="16" t="s">
        <v>434</v>
      </c>
      <c r="C80" s="2" t="s">
        <v>406</v>
      </c>
      <c r="D80" s="2" t="s">
        <v>435</v>
      </c>
      <c r="E80" s="2" t="s">
        <v>436</v>
      </c>
      <c r="F80" s="2" t="s">
        <v>415</v>
      </c>
      <c r="G80" s="2" t="s">
        <v>437</v>
      </c>
      <c r="H80" s="2" t="s">
        <v>52</v>
      </c>
      <c r="I80" s="2" t="s">
        <v>149</v>
      </c>
      <c r="J80" s="2" t="s">
        <v>37</v>
      </c>
      <c r="K80" s="2" t="s">
        <v>160</v>
      </c>
      <c r="L80" s="2" t="s">
        <v>438</v>
      </c>
      <c r="M80" s="16" t="s">
        <v>214</v>
      </c>
    </row>
    <row r="81" spans="1:13" ht="26.25" customHeight="1">
      <c r="A81">
        <v>80</v>
      </c>
      <c r="B81" s="15" t="s">
        <v>439</v>
      </c>
      <c r="C81" s="5" t="s">
        <v>406</v>
      </c>
      <c r="D81" s="5" t="s">
        <v>440</v>
      </c>
      <c r="E81" s="5" t="s">
        <v>441</v>
      </c>
      <c r="F81" s="5" t="s">
        <v>442</v>
      </c>
      <c r="G81" s="5" t="s">
        <v>443</v>
      </c>
      <c r="H81" s="5" t="s">
        <v>19</v>
      </c>
      <c r="I81" s="5" t="s">
        <v>45</v>
      </c>
      <c r="J81" s="5" t="s">
        <v>37</v>
      </c>
      <c r="K81" s="5" t="s">
        <v>30</v>
      </c>
      <c r="L81" s="5" t="s">
        <v>444</v>
      </c>
      <c r="M81" s="15" t="s">
        <v>214</v>
      </c>
    </row>
    <row r="82" spans="1:13" ht="26.25" customHeight="1">
      <c r="A82">
        <v>81</v>
      </c>
      <c r="B82" s="2" t="s">
        <v>445</v>
      </c>
      <c r="C82" s="2" t="s">
        <v>446</v>
      </c>
      <c r="D82" s="2" t="s">
        <v>447</v>
      </c>
      <c r="E82" s="2" t="s">
        <v>448</v>
      </c>
      <c r="F82" s="2" t="s">
        <v>449</v>
      </c>
      <c r="G82" s="2" t="s">
        <v>450</v>
      </c>
      <c r="H82" s="2" t="s">
        <v>19</v>
      </c>
      <c r="I82" s="2" t="s">
        <v>20</v>
      </c>
      <c r="J82" s="3" t="s">
        <v>21</v>
      </c>
      <c r="K82" s="3" t="s">
        <v>22</v>
      </c>
      <c r="L82" s="2" t="s">
        <v>451</v>
      </c>
      <c r="M82" s="4" t="s">
        <v>46</v>
      </c>
    </row>
    <row r="83" spans="1:13" ht="26.25" customHeight="1">
      <c r="A83">
        <v>82</v>
      </c>
      <c r="B83" s="5" t="s">
        <v>452</v>
      </c>
      <c r="C83" s="5" t="s">
        <v>446</v>
      </c>
      <c r="D83" s="5" t="s">
        <v>453</v>
      </c>
      <c r="E83" s="5" t="s">
        <v>454</v>
      </c>
      <c r="F83" s="5" t="s">
        <v>455</v>
      </c>
      <c r="G83" s="5" t="s">
        <v>456</v>
      </c>
      <c r="H83" s="5" t="s">
        <v>19</v>
      </c>
      <c r="I83" s="5" t="s">
        <v>20</v>
      </c>
      <c r="J83" s="5" t="s">
        <v>37</v>
      </c>
      <c r="K83" s="7" t="s">
        <v>30</v>
      </c>
      <c r="L83" s="5" t="s">
        <v>31</v>
      </c>
      <c r="M83" s="8" t="s">
        <v>46</v>
      </c>
    </row>
    <row r="84" spans="1:13" ht="26.25" customHeight="1">
      <c r="A84">
        <v>83</v>
      </c>
      <c r="B84" s="2" t="s">
        <v>457</v>
      </c>
      <c r="C84" s="2" t="s">
        <v>446</v>
      </c>
      <c r="D84" s="2" t="s">
        <v>458</v>
      </c>
      <c r="E84" s="2" t="s">
        <v>459</v>
      </c>
      <c r="F84" s="2" t="s">
        <v>449</v>
      </c>
      <c r="G84" s="2" t="s">
        <v>460</v>
      </c>
      <c r="H84" s="2" t="s">
        <v>19</v>
      </c>
      <c r="I84" s="2" t="s">
        <v>20</v>
      </c>
      <c r="J84" s="3" t="s">
        <v>21</v>
      </c>
      <c r="K84" s="3" t="s">
        <v>22</v>
      </c>
      <c r="L84" s="2" t="s">
        <v>461</v>
      </c>
      <c r="M84" s="4" t="s">
        <v>46</v>
      </c>
    </row>
    <row r="85" spans="1:13" ht="26.25" customHeight="1">
      <c r="A85">
        <v>84</v>
      </c>
      <c r="B85" s="5" t="s">
        <v>462</v>
      </c>
      <c r="C85" s="5" t="s">
        <v>446</v>
      </c>
      <c r="D85" s="5" t="s">
        <v>463</v>
      </c>
      <c r="E85" s="5" t="s">
        <v>464</v>
      </c>
      <c r="F85" s="5" t="s">
        <v>455</v>
      </c>
      <c r="G85" s="5" t="s">
        <v>465</v>
      </c>
      <c r="H85" s="5" t="s">
        <v>19</v>
      </c>
      <c r="I85" s="5" t="s">
        <v>20</v>
      </c>
      <c r="J85" s="5" t="s">
        <v>37</v>
      </c>
      <c r="K85" s="7" t="s">
        <v>30</v>
      </c>
      <c r="L85" s="5" t="s">
        <v>31</v>
      </c>
      <c r="M85" s="8" t="s">
        <v>46</v>
      </c>
    </row>
    <row r="86" spans="1:13" ht="26.25" customHeight="1">
      <c r="A86">
        <v>85</v>
      </c>
      <c r="B86" s="2" t="s">
        <v>466</v>
      </c>
      <c r="C86" s="2" t="s">
        <v>446</v>
      </c>
      <c r="D86" s="2" t="s">
        <v>467</v>
      </c>
      <c r="E86" s="2" t="s">
        <v>468</v>
      </c>
      <c r="F86" s="2" t="s">
        <v>469</v>
      </c>
      <c r="G86" s="2" t="s">
        <v>470</v>
      </c>
      <c r="H86" s="2" t="s">
        <v>19</v>
      </c>
      <c r="I86" s="2" t="s">
        <v>20</v>
      </c>
      <c r="J86" s="3" t="s">
        <v>21</v>
      </c>
      <c r="K86" s="3" t="s">
        <v>22</v>
      </c>
      <c r="L86" s="2" t="s">
        <v>451</v>
      </c>
      <c r="M86" s="4" t="s">
        <v>46</v>
      </c>
    </row>
    <row r="87" spans="1:13" ht="26.25" customHeight="1">
      <c r="A87">
        <v>86</v>
      </c>
      <c r="B87" s="2" t="s">
        <v>471</v>
      </c>
      <c r="C87" s="2" t="s">
        <v>446</v>
      </c>
      <c r="D87" s="2" t="s">
        <v>472</v>
      </c>
      <c r="E87" s="2" t="s">
        <v>473</v>
      </c>
      <c r="F87" s="2" t="s">
        <v>455</v>
      </c>
      <c r="G87" s="2" t="s">
        <v>474</v>
      </c>
      <c r="H87" s="2" t="s">
        <v>19</v>
      </c>
      <c r="I87" s="2" t="s">
        <v>20</v>
      </c>
      <c r="J87" s="2" t="s">
        <v>37</v>
      </c>
      <c r="K87" s="3" t="s">
        <v>22</v>
      </c>
      <c r="L87" s="2" t="s">
        <v>475</v>
      </c>
      <c r="M87" s="4" t="s">
        <v>46</v>
      </c>
    </row>
    <row r="88" spans="1:13" ht="26.25" customHeight="1">
      <c r="A88">
        <v>87</v>
      </c>
      <c r="B88" s="5" t="s">
        <v>476</v>
      </c>
      <c r="C88" s="5" t="s">
        <v>446</v>
      </c>
      <c r="D88" s="5" t="s">
        <v>477</v>
      </c>
      <c r="E88" s="5" t="s">
        <v>478</v>
      </c>
      <c r="F88" s="5" t="s">
        <v>455</v>
      </c>
      <c r="G88" s="5" t="s">
        <v>479</v>
      </c>
      <c r="H88" s="5" t="s">
        <v>19</v>
      </c>
      <c r="I88" s="5" t="s">
        <v>20</v>
      </c>
      <c r="J88" s="5" t="s">
        <v>37</v>
      </c>
      <c r="K88" s="7" t="s">
        <v>30</v>
      </c>
      <c r="L88" s="5" t="s">
        <v>31</v>
      </c>
      <c r="M88" s="8" t="s">
        <v>46</v>
      </c>
    </row>
    <row r="89" spans="1:13">
      <c r="A89">
        <v>88</v>
      </c>
      <c r="B89" s="2" t="s">
        <v>480</v>
      </c>
      <c r="C89" s="2" t="s">
        <v>446</v>
      </c>
      <c r="D89" s="2" t="s">
        <v>481</v>
      </c>
      <c r="E89" s="2" t="s">
        <v>482</v>
      </c>
      <c r="F89" s="2" t="s">
        <v>483</v>
      </c>
      <c r="G89" s="2" t="s">
        <v>484</v>
      </c>
      <c r="H89" s="2" t="s">
        <v>19</v>
      </c>
      <c r="I89" s="2" t="s">
        <v>20</v>
      </c>
      <c r="J89" s="2" t="s">
        <v>37</v>
      </c>
      <c r="K89" s="9" t="s">
        <v>30</v>
      </c>
      <c r="L89" s="2" t="s">
        <v>31</v>
      </c>
      <c r="M89" s="4" t="s">
        <v>46</v>
      </c>
    </row>
    <row r="90" spans="1:13">
      <c r="A90">
        <v>89</v>
      </c>
      <c r="B90" s="5" t="s">
        <v>485</v>
      </c>
      <c r="C90" s="5" t="s">
        <v>446</v>
      </c>
      <c r="D90" s="5" t="s">
        <v>486</v>
      </c>
      <c r="E90" s="5" t="s">
        <v>487</v>
      </c>
      <c r="F90" s="5" t="s">
        <v>483</v>
      </c>
      <c r="G90" s="5" t="s">
        <v>488</v>
      </c>
      <c r="H90" s="5" t="s">
        <v>19</v>
      </c>
      <c r="I90" s="5" t="s">
        <v>20</v>
      </c>
      <c r="J90" s="5" t="s">
        <v>37</v>
      </c>
      <c r="K90" s="7" t="s">
        <v>30</v>
      </c>
      <c r="L90" s="5" t="s">
        <v>31</v>
      </c>
      <c r="M90" s="8" t="s">
        <v>46</v>
      </c>
    </row>
    <row r="91" spans="1:13" ht="26.25" customHeight="1">
      <c r="A91">
        <v>90</v>
      </c>
      <c r="B91" s="5" t="s">
        <v>489</v>
      </c>
      <c r="C91" s="5" t="s">
        <v>446</v>
      </c>
      <c r="D91" s="5" t="s">
        <v>490</v>
      </c>
      <c r="E91" s="5" t="s">
        <v>491</v>
      </c>
      <c r="F91" s="5" t="s">
        <v>449</v>
      </c>
      <c r="G91" s="5" t="s">
        <v>492</v>
      </c>
      <c r="H91" s="5" t="s">
        <v>19</v>
      </c>
      <c r="I91" s="5" t="s">
        <v>20</v>
      </c>
      <c r="J91" s="5" t="s">
        <v>37</v>
      </c>
      <c r="K91" s="7" t="s">
        <v>30</v>
      </c>
      <c r="L91" s="5" t="s">
        <v>31</v>
      </c>
      <c r="M91" s="8" t="s">
        <v>46</v>
      </c>
    </row>
    <row r="92" spans="1:13" ht="26.25" customHeight="1">
      <c r="A92">
        <v>91</v>
      </c>
      <c r="B92" s="2" t="s">
        <v>493</v>
      </c>
      <c r="C92" s="2" t="s">
        <v>446</v>
      </c>
      <c r="D92" s="2" t="s">
        <v>494</v>
      </c>
      <c r="E92" s="2" t="s">
        <v>495</v>
      </c>
      <c r="F92" s="2" t="s">
        <v>469</v>
      </c>
      <c r="G92" s="2" t="s">
        <v>496</v>
      </c>
      <c r="H92" s="2" t="s">
        <v>19</v>
      </c>
      <c r="I92" s="2" t="s">
        <v>20</v>
      </c>
      <c r="J92" s="2" t="s">
        <v>37</v>
      </c>
      <c r="K92" s="9" t="s">
        <v>30</v>
      </c>
      <c r="L92" s="2" t="s">
        <v>31</v>
      </c>
      <c r="M92" s="4" t="s">
        <v>46</v>
      </c>
    </row>
    <row r="93" spans="1:13" ht="26.25" customHeight="1">
      <c r="A93">
        <v>92</v>
      </c>
      <c r="B93" s="5" t="s">
        <v>497</v>
      </c>
      <c r="C93" s="5" t="s">
        <v>446</v>
      </c>
      <c r="D93" s="5" t="s">
        <v>498</v>
      </c>
      <c r="E93" s="5" t="s">
        <v>499</v>
      </c>
      <c r="F93" s="5" t="s">
        <v>500</v>
      </c>
      <c r="G93" s="5" t="s">
        <v>501</v>
      </c>
      <c r="H93" s="5" t="s">
        <v>19</v>
      </c>
      <c r="I93" s="5" t="s">
        <v>45</v>
      </c>
      <c r="J93" s="5" t="s">
        <v>37</v>
      </c>
      <c r="K93" s="7" t="s">
        <v>30</v>
      </c>
      <c r="L93" s="5" t="s">
        <v>31</v>
      </c>
      <c r="M93" s="8" t="s">
        <v>46</v>
      </c>
    </row>
    <row r="94" spans="1:13" ht="26.25" customHeight="1">
      <c r="A94">
        <v>93</v>
      </c>
      <c r="B94" s="2" t="s">
        <v>502</v>
      </c>
      <c r="C94" s="2" t="s">
        <v>446</v>
      </c>
      <c r="D94" s="2" t="s">
        <v>503</v>
      </c>
      <c r="E94" s="2" t="s">
        <v>504</v>
      </c>
      <c r="F94" s="2" t="s">
        <v>505</v>
      </c>
      <c r="G94" s="2" t="s">
        <v>506</v>
      </c>
      <c r="H94" s="2" t="s">
        <v>19</v>
      </c>
      <c r="I94" s="2" t="s">
        <v>45</v>
      </c>
      <c r="J94" s="2" t="s">
        <v>37</v>
      </c>
      <c r="K94" s="9" t="s">
        <v>30</v>
      </c>
      <c r="L94" s="2" t="s">
        <v>31</v>
      </c>
      <c r="M94" s="4" t="s">
        <v>46</v>
      </c>
    </row>
    <row r="95" spans="1:13">
      <c r="A95">
        <v>94</v>
      </c>
      <c r="B95" s="5" t="s">
        <v>507</v>
      </c>
      <c r="C95" s="5" t="s">
        <v>446</v>
      </c>
      <c r="D95" s="5" t="s">
        <v>508</v>
      </c>
      <c r="E95" s="5" t="s">
        <v>509</v>
      </c>
      <c r="F95" s="5" t="s">
        <v>510</v>
      </c>
      <c r="G95" s="5" t="s">
        <v>511</v>
      </c>
      <c r="H95" s="5" t="s">
        <v>19</v>
      </c>
      <c r="I95" s="5" t="s">
        <v>149</v>
      </c>
      <c r="J95" s="5" t="s">
        <v>37</v>
      </c>
      <c r="K95" s="17" t="s">
        <v>160</v>
      </c>
      <c r="L95" s="5" t="s">
        <v>512</v>
      </c>
      <c r="M95" s="8" t="s">
        <v>46</v>
      </c>
    </row>
    <row r="96" spans="1:13">
      <c r="A96">
        <v>95</v>
      </c>
      <c r="B96" s="2" t="s">
        <v>513</v>
      </c>
      <c r="C96" s="2" t="s">
        <v>446</v>
      </c>
      <c r="D96" s="2" t="s">
        <v>514</v>
      </c>
      <c r="E96" s="2" t="s">
        <v>515</v>
      </c>
      <c r="F96" s="2" t="s">
        <v>516</v>
      </c>
      <c r="G96" s="2" t="s">
        <v>517</v>
      </c>
      <c r="H96" s="2" t="s">
        <v>19</v>
      </c>
      <c r="I96" s="2" t="s">
        <v>45</v>
      </c>
      <c r="J96" s="2" t="s">
        <v>37</v>
      </c>
      <c r="K96" s="3" t="s">
        <v>22</v>
      </c>
      <c r="L96" s="2" t="s">
        <v>518</v>
      </c>
      <c r="M96" s="4" t="s">
        <v>24</v>
      </c>
    </row>
    <row r="97" spans="1:13">
      <c r="A97">
        <v>96</v>
      </c>
      <c r="B97" s="10" t="s">
        <v>519</v>
      </c>
      <c r="C97" s="11" t="s">
        <v>446</v>
      </c>
      <c r="D97" s="11" t="s">
        <v>520</v>
      </c>
      <c r="E97" s="11" t="s">
        <v>521</v>
      </c>
      <c r="F97" s="11" t="s">
        <v>522</v>
      </c>
      <c r="G97" s="11" t="s">
        <v>523</v>
      </c>
      <c r="H97" s="11" t="s">
        <v>19</v>
      </c>
      <c r="I97" s="11" t="s">
        <v>45</v>
      </c>
      <c r="J97" s="11" t="s">
        <v>37</v>
      </c>
      <c r="K97" s="11" t="s">
        <v>30</v>
      </c>
      <c r="L97" s="11" t="s">
        <v>524</v>
      </c>
      <c r="M97" s="11" t="s">
        <v>70</v>
      </c>
    </row>
    <row r="98" spans="1:13">
      <c r="A98">
        <v>97</v>
      </c>
      <c r="B98" s="12" t="s">
        <v>525</v>
      </c>
      <c r="C98" s="13" t="s">
        <v>446</v>
      </c>
      <c r="D98" s="13" t="s">
        <v>526</v>
      </c>
      <c r="E98" s="13" t="s">
        <v>527</v>
      </c>
      <c r="F98" s="13" t="s">
        <v>469</v>
      </c>
      <c r="G98" s="13" t="s">
        <v>528</v>
      </c>
      <c r="H98" s="13" t="s">
        <v>19</v>
      </c>
      <c r="I98" s="13" t="s">
        <v>20</v>
      </c>
      <c r="J98" s="13" t="s">
        <v>37</v>
      </c>
      <c r="K98" s="13" t="s">
        <v>30</v>
      </c>
      <c r="L98" s="13" t="s">
        <v>529</v>
      </c>
      <c r="M98" s="13" t="s">
        <v>70</v>
      </c>
    </row>
    <row r="99" spans="1:13">
      <c r="A99">
        <v>98</v>
      </c>
      <c r="B99" s="10" t="s">
        <v>530</v>
      </c>
      <c r="C99" s="11" t="s">
        <v>446</v>
      </c>
      <c r="D99" s="11" t="s">
        <v>531</v>
      </c>
      <c r="E99" s="11" t="s">
        <v>532</v>
      </c>
      <c r="F99" s="11" t="s">
        <v>516</v>
      </c>
      <c r="G99" s="11" t="s">
        <v>533</v>
      </c>
      <c r="H99" s="11" t="s">
        <v>52</v>
      </c>
      <c r="I99" s="11" t="s">
        <v>45</v>
      </c>
      <c r="J99" s="11" t="s">
        <v>37</v>
      </c>
      <c r="K99" s="11" t="s">
        <v>30</v>
      </c>
      <c r="L99" s="11" t="s">
        <v>534</v>
      </c>
      <c r="M99" s="11" t="s">
        <v>70</v>
      </c>
    </row>
    <row r="100" spans="1:13">
      <c r="A100">
        <v>99</v>
      </c>
      <c r="B100" s="12" t="s">
        <v>535</v>
      </c>
      <c r="C100" s="13" t="s">
        <v>446</v>
      </c>
      <c r="D100" s="13" t="s">
        <v>536</v>
      </c>
      <c r="E100" s="13" t="s">
        <v>537</v>
      </c>
      <c r="F100" s="13" t="s">
        <v>538</v>
      </c>
      <c r="G100" s="13" t="s">
        <v>539</v>
      </c>
      <c r="H100" s="13" t="s">
        <v>52</v>
      </c>
      <c r="I100" s="13" t="s">
        <v>20</v>
      </c>
      <c r="J100" s="13" t="s">
        <v>37</v>
      </c>
      <c r="K100" s="13" t="s">
        <v>30</v>
      </c>
      <c r="L100" s="13" t="s">
        <v>540</v>
      </c>
      <c r="M100" s="13" t="s">
        <v>70</v>
      </c>
    </row>
    <row r="101" spans="1:13">
      <c r="A101">
        <v>100</v>
      </c>
      <c r="B101" s="10" t="s">
        <v>541</v>
      </c>
      <c r="C101" s="11" t="s">
        <v>446</v>
      </c>
      <c r="D101" s="11" t="s">
        <v>542</v>
      </c>
      <c r="E101" s="11" t="s">
        <v>543</v>
      </c>
      <c r="F101" s="11" t="s">
        <v>544</v>
      </c>
      <c r="G101" s="11" t="s">
        <v>545</v>
      </c>
      <c r="H101" s="11" t="s">
        <v>193</v>
      </c>
      <c r="I101" s="11" t="s">
        <v>20</v>
      </c>
      <c r="J101" s="11" t="s">
        <v>37</v>
      </c>
      <c r="K101" s="11" t="s">
        <v>30</v>
      </c>
      <c r="L101" s="11" t="s">
        <v>475</v>
      </c>
      <c r="M101" s="11" t="s">
        <v>70</v>
      </c>
    </row>
    <row r="102" spans="1:13">
      <c r="A102">
        <v>101</v>
      </c>
      <c r="B102" s="12" t="s">
        <v>546</v>
      </c>
      <c r="C102" s="13" t="s">
        <v>446</v>
      </c>
      <c r="D102" s="13" t="s">
        <v>547</v>
      </c>
      <c r="E102" s="13" t="s">
        <v>548</v>
      </c>
      <c r="F102" s="13" t="s">
        <v>538</v>
      </c>
      <c r="G102" s="13" t="s">
        <v>549</v>
      </c>
      <c r="H102" s="13" t="s">
        <v>52</v>
      </c>
      <c r="I102" s="13" t="s">
        <v>20</v>
      </c>
      <c r="J102" s="13" t="s">
        <v>37</v>
      </c>
      <c r="K102" s="13" t="s">
        <v>160</v>
      </c>
      <c r="L102" s="13" t="s">
        <v>199</v>
      </c>
      <c r="M102" s="13" t="s">
        <v>70</v>
      </c>
    </row>
    <row r="103" spans="1:13">
      <c r="A103">
        <v>102</v>
      </c>
      <c r="B103" s="10" t="s">
        <v>550</v>
      </c>
      <c r="C103" s="11" t="s">
        <v>446</v>
      </c>
      <c r="D103" s="11" t="s">
        <v>551</v>
      </c>
      <c r="E103" s="11" t="s">
        <v>552</v>
      </c>
      <c r="F103" s="11" t="s">
        <v>544</v>
      </c>
      <c r="G103" s="11" t="s">
        <v>545</v>
      </c>
      <c r="H103" s="11" t="s">
        <v>193</v>
      </c>
      <c r="I103" s="11" t="s">
        <v>45</v>
      </c>
      <c r="J103" s="11" t="s">
        <v>21</v>
      </c>
      <c r="K103" s="11" t="s">
        <v>30</v>
      </c>
      <c r="L103" s="11" t="s">
        <v>553</v>
      </c>
      <c r="M103" s="11" t="s">
        <v>70</v>
      </c>
    </row>
    <row r="104" spans="1:13">
      <c r="A104">
        <v>103</v>
      </c>
      <c r="B104" s="12" t="s">
        <v>554</v>
      </c>
      <c r="C104" s="13" t="s">
        <v>446</v>
      </c>
      <c r="D104" s="13" t="s">
        <v>555</v>
      </c>
      <c r="E104" s="13" t="s">
        <v>556</v>
      </c>
      <c r="F104" s="13" t="s">
        <v>557</v>
      </c>
      <c r="G104" s="13" t="s">
        <v>558</v>
      </c>
      <c r="H104" s="13" t="s">
        <v>52</v>
      </c>
      <c r="I104" s="13" t="s">
        <v>149</v>
      </c>
      <c r="J104" s="13" t="s">
        <v>37</v>
      </c>
      <c r="K104" s="13" t="s">
        <v>160</v>
      </c>
      <c r="L104" s="13" t="s">
        <v>559</v>
      </c>
      <c r="M104" s="13" t="s">
        <v>82</v>
      </c>
    </row>
    <row r="105" spans="1:13" ht="39" customHeight="1">
      <c r="A105">
        <v>104</v>
      </c>
      <c r="B105" s="16" t="s">
        <v>560</v>
      </c>
      <c r="C105" s="2" t="s">
        <v>446</v>
      </c>
      <c r="D105" s="2" t="s">
        <v>561</v>
      </c>
      <c r="E105" s="2" t="s">
        <v>562</v>
      </c>
      <c r="F105" s="2" t="s">
        <v>563</v>
      </c>
      <c r="G105" s="2" t="s">
        <v>564</v>
      </c>
      <c r="H105" s="2" t="s">
        <v>19</v>
      </c>
      <c r="I105" s="2" t="s">
        <v>149</v>
      </c>
      <c r="J105" s="2" t="s">
        <v>37</v>
      </c>
      <c r="K105" s="2" t="s">
        <v>30</v>
      </c>
      <c r="L105" s="2" t="s">
        <v>565</v>
      </c>
      <c r="M105" s="16" t="s">
        <v>214</v>
      </c>
    </row>
    <row r="106" spans="1:13" ht="26.25" customHeight="1">
      <c r="A106">
        <v>105</v>
      </c>
      <c r="B106" s="15" t="s">
        <v>566</v>
      </c>
      <c r="C106" s="5" t="s">
        <v>446</v>
      </c>
      <c r="D106" s="5" t="s">
        <v>567</v>
      </c>
      <c r="E106" s="5" t="s">
        <v>568</v>
      </c>
      <c r="F106" s="5" t="s">
        <v>569</v>
      </c>
      <c r="G106" s="5" t="s">
        <v>570</v>
      </c>
      <c r="H106" s="5" t="s">
        <v>52</v>
      </c>
      <c r="I106" s="5" t="s">
        <v>45</v>
      </c>
      <c r="J106" s="5" t="s">
        <v>37</v>
      </c>
      <c r="K106" s="5" t="s">
        <v>30</v>
      </c>
      <c r="L106" s="5" t="s">
        <v>571</v>
      </c>
      <c r="M106" s="15" t="s">
        <v>214</v>
      </c>
    </row>
    <row r="107" spans="1:13" ht="26.25" customHeight="1">
      <c r="A107">
        <v>106</v>
      </c>
      <c r="B107" s="16" t="s">
        <v>572</v>
      </c>
      <c r="C107" s="2" t="s">
        <v>446</v>
      </c>
      <c r="D107" s="2" t="s">
        <v>573</v>
      </c>
      <c r="E107" s="2" t="s">
        <v>574</v>
      </c>
      <c r="F107" s="2" t="s">
        <v>538</v>
      </c>
      <c r="G107" s="2" t="s">
        <v>575</v>
      </c>
      <c r="H107" s="2" t="s">
        <v>52</v>
      </c>
      <c r="I107" s="2" t="s">
        <v>20</v>
      </c>
      <c r="J107" s="2" t="s">
        <v>37</v>
      </c>
      <c r="K107" s="2" t="s">
        <v>30</v>
      </c>
      <c r="L107" s="2" t="s">
        <v>576</v>
      </c>
      <c r="M107" s="16" t="s">
        <v>214</v>
      </c>
    </row>
    <row r="108" spans="1:13" ht="26.25" customHeight="1">
      <c r="A108">
        <v>107</v>
      </c>
      <c r="B108" s="15" t="s">
        <v>577</v>
      </c>
      <c r="C108" s="5" t="s">
        <v>446</v>
      </c>
      <c r="D108" s="5" t="s">
        <v>578</v>
      </c>
      <c r="E108" s="5" t="s">
        <v>579</v>
      </c>
      <c r="F108" s="5" t="s">
        <v>538</v>
      </c>
      <c r="G108" s="5" t="s">
        <v>580</v>
      </c>
      <c r="H108" s="5" t="s">
        <v>52</v>
      </c>
      <c r="I108" s="5" t="s">
        <v>20</v>
      </c>
      <c r="J108" s="5" t="s">
        <v>37</v>
      </c>
      <c r="K108" s="5" t="s">
        <v>30</v>
      </c>
      <c r="L108" s="5" t="s">
        <v>576</v>
      </c>
      <c r="M108" s="15" t="s">
        <v>214</v>
      </c>
    </row>
    <row r="109" spans="1:13" ht="26.25" customHeight="1">
      <c r="A109">
        <v>108</v>
      </c>
      <c r="B109" s="16" t="s">
        <v>581</v>
      </c>
      <c r="C109" s="2" t="s">
        <v>446</v>
      </c>
      <c r="D109" s="2" t="s">
        <v>582</v>
      </c>
      <c r="E109" s="2" t="s">
        <v>583</v>
      </c>
      <c r="F109" s="2" t="s">
        <v>544</v>
      </c>
      <c r="G109" s="2" t="s">
        <v>584</v>
      </c>
      <c r="H109" s="2" t="s">
        <v>52</v>
      </c>
      <c r="I109" s="2" t="s">
        <v>20</v>
      </c>
      <c r="J109" s="2" t="s">
        <v>37</v>
      </c>
      <c r="K109" s="2" t="s">
        <v>30</v>
      </c>
      <c r="L109" s="2" t="s">
        <v>585</v>
      </c>
      <c r="M109" s="16" t="s">
        <v>214</v>
      </c>
    </row>
    <row r="110" spans="1:13" ht="26.25" customHeight="1">
      <c r="A110">
        <v>109</v>
      </c>
      <c r="B110" s="15" t="s">
        <v>586</v>
      </c>
      <c r="C110" s="5" t="s">
        <v>446</v>
      </c>
      <c r="D110" s="5" t="s">
        <v>587</v>
      </c>
      <c r="E110" s="5" t="s">
        <v>588</v>
      </c>
      <c r="F110" s="5" t="s">
        <v>538</v>
      </c>
      <c r="G110" s="5" t="s">
        <v>589</v>
      </c>
      <c r="H110" s="5" t="s">
        <v>52</v>
      </c>
      <c r="I110" s="5" t="s">
        <v>20</v>
      </c>
      <c r="J110" s="5" t="s">
        <v>37</v>
      </c>
      <c r="K110" s="5" t="s">
        <v>30</v>
      </c>
      <c r="L110" s="5" t="s">
        <v>540</v>
      </c>
      <c r="M110" s="15" t="s">
        <v>214</v>
      </c>
    </row>
    <row r="111" spans="1:13" ht="26.25" customHeight="1">
      <c r="A111">
        <v>110</v>
      </c>
      <c r="B111" s="16" t="s">
        <v>590</v>
      </c>
      <c r="C111" s="2" t="s">
        <v>446</v>
      </c>
      <c r="D111" s="2" t="s">
        <v>591</v>
      </c>
      <c r="E111" s="2" t="s">
        <v>592</v>
      </c>
      <c r="F111" s="2" t="s">
        <v>593</v>
      </c>
      <c r="G111" s="2" t="s">
        <v>594</v>
      </c>
      <c r="H111" s="2" t="s">
        <v>95</v>
      </c>
      <c r="I111" s="2" t="s">
        <v>20</v>
      </c>
      <c r="J111" s="2" t="s">
        <v>37</v>
      </c>
      <c r="K111" s="2" t="s">
        <v>30</v>
      </c>
      <c r="L111" s="2" t="s">
        <v>595</v>
      </c>
      <c r="M111" s="16" t="s">
        <v>260</v>
      </c>
    </row>
    <row r="112" spans="1:13" ht="26.25" customHeight="1">
      <c r="A112">
        <v>111</v>
      </c>
      <c r="B112" s="5" t="s">
        <v>596</v>
      </c>
      <c r="C112" s="5" t="s">
        <v>597</v>
      </c>
      <c r="D112" s="5" t="s">
        <v>598</v>
      </c>
      <c r="E112" s="5" t="s">
        <v>599</v>
      </c>
      <c r="F112" s="5" t="s">
        <v>600</v>
      </c>
      <c r="G112" s="5" t="s">
        <v>601</v>
      </c>
      <c r="H112" s="5" t="s">
        <v>19</v>
      </c>
      <c r="I112" s="5" t="s">
        <v>45</v>
      </c>
      <c r="J112" s="6" t="s">
        <v>21</v>
      </c>
      <c r="K112" s="6" t="s">
        <v>22</v>
      </c>
      <c r="L112" s="5" t="s">
        <v>602</v>
      </c>
      <c r="M112" s="8" t="s">
        <v>46</v>
      </c>
    </row>
    <row r="113" spans="1:13">
      <c r="A113">
        <v>112</v>
      </c>
      <c r="B113" s="2" t="s">
        <v>603</v>
      </c>
      <c r="C113" s="2" t="s">
        <v>597</v>
      </c>
      <c r="D113" s="2" t="s">
        <v>604</v>
      </c>
      <c r="E113" s="2" t="s">
        <v>605</v>
      </c>
      <c r="F113" s="2" t="s">
        <v>600</v>
      </c>
      <c r="G113" s="2" t="s">
        <v>606</v>
      </c>
      <c r="H113" s="2" t="s">
        <v>44</v>
      </c>
      <c r="I113" s="2" t="s">
        <v>20</v>
      </c>
      <c r="J113" s="3" t="s">
        <v>21</v>
      </c>
      <c r="K113" s="3" t="s">
        <v>22</v>
      </c>
      <c r="L113" s="2" t="s">
        <v>607</v>
      </c>
      <c r="M113" s="4" t="s">
        <v>46</v>
      </c>
    </row>
    <row r="114" spans="1:13">
      <c r="A114">
        <v>113</v>
      </c>
      <c r="B114" s="5" t="s">
        <v>608</v>
      </c>
      <c r="C114" s="5" t="s">
        <v>597</v>
      </c>
      <c r="D114" s="5" t="s">
        <v>609</v>
      </c>
      <c r="E114" s="5" t="s">
        <v>610</v>
      </c>
      <c r="F114" s="5" t="s">
        <v>611</v>
      </c>
      <c r="G114" s="5" t="s">
        <v>612</v>
      </c>
      <c r="H114" s="5" t="s">
        <v>19</v>
      </c>
      <c r="I114" s="5" t="s">
        <v>20</v>
      </c>
      <c r="J114" s="6" t="s">
        <v>21</v>
      </c>
      <c r="K114" s="7" t="s">
        <v>30</v>
      </c>
      <c r="L114" s="5" t="s">
        <v>31</v>
      </c>
      <c r="M114" s="8" t="s">
        <v>38</v>
      </c>
    </row>
    <row r="115" spans="1:13">
      <c r="A115">
        <v>114</v>
      </c>
      <c r="B115" s="2" t="s">
        <v>613</v>
      </c>
      <c r="C115" s="2" t="s">
        <v>597</v>
      </c>
      <c r="D115" s="2" t="s">
        <v>614</v>
      </c>
      <c r="E115" s="2" t="s">
        <v>615</v>
      </c>
      <c r="F115" s="2" t="s">
        <v>616</v>
      </c>
      <c r="G115" s="2" t="s">
        <v>617</v>
      </c>
      <c r="H115" s="2" t="s">
        <v>19</v>
      </c>
      <c r="I115" s="2" t="s">
        <v>20</v>
      </c>
      <c r="J115" s="2" t="s">
        <v>37</v>
      </c>
      <c r="K115" s="9" t="s">
        <v>30</v>
      </c>
      <c r="L115" s="2" t="s">
        <v>31</v>
      </c>
      <c r="M115" s="4" t="s">
        <v>24</v>
      </c>
    </row>
    <row r="116" spans="1:13">
      <c r="A116">
        <v>115</v>
      </c>
      <c r="B116" s="5" t="s">
        <v>618</v>
      </c>
      <c r="C116" s="5" t="s">
        <v>597</v>
      </c>
      <c r="D116" s="5" t="s">
        <v>619</v>
      </c>
      <c r="E116" s="5" t="s">
        <v>620</v>
      </c>
      <c r="F116" s="5" t="s">
        <v>621</v>
      </c>
      <c r="G116" s="5" t="s">
        <v>622</v>
      </c>
      <c r="H116" s="5" t="s">
        <v>19</v>
      </c>
      <c r="I116" s="5" t="s">
        <v>20</v>
      </c>
      <c r="J116" s="5" t="s">
        <v>37</v>
      </c>
      <c r="K116" s="17" t="s">
        <v>160</v>
      </c>
      <c r="L116" s="5" t="s">
        <v>199</v>
      </c>
      <c r="M116" s="8" t="s">
        <v>24</v>
      </c>
    </row>
    <row r="117" spans="1:13" ht="26.25" customHeight="1">
      <c r="A117">
        <v>116</v>
      </c>
      <c r="B117" s="2" t="s">
        <v>623</v>
      </c>
      <c r="C117" s="2" t="s">
        <v>597</v>
      </c>
      <c r="D117" s="2" t="s">
        <v>624</v>
      </c>
      <c r="E117" s="2" t="s">
        <v>625</v>
      </c>
      <c r="F117" s="2" t="s">
        <v>626</v>
      </c>
      <c r="G117" s="2" t="s">
        <v>627</v>
      </c>
      <c r="H117" s="2" t="s">
        <v>52</v>
      </c>
      <c r="I117" s="2" t="s">
        <v>45</v>
      </c>
      <c r="J117" s="2" t="s">
        <v>37</v>
      </c>
      <c r="K117" s="3" t="s">
        <v>22</v>
      </c>
      <c r="L117" s="2" t="s">
        <v>628</v>
      </c>
      <c r="M117" s="4" t="s">
        <v>46</v>
      </c>
    </row>
    <row r="118" spans="1:13">
      <c r="A118">
        <v>117</v>
      </c>
      <c r="B118" s="10" t="s">
        <v>629</v>
      </c>
      <c r="C118" s="11" t="s">
        <v>597</v>
      </c>
      <c r="D118" s="11" t="s">
        <v>630</v>
      </c>
      <c r="E118" s="11" t="s">
        <v>631</v>
      </c>
      <c r="F118" s="11" t="s">
        <v>632</v>
      </c>
      <c r="G118" s="11" t="s">
        <v>633</v>
      </c>
      <c r="H118" s="11" t="s">
        <v>193</v>
      </c>
      <c r="I118" s="11" t="s">
        <v>20</v>
      </c>
      <c r="J118" s="11" t="s">
        <v>21</v>
      </c>
      <c r="K118" s="11" t="s">
        <v>30</v>
      </c>
      <c r="L118" s="11" t="s">
        <v>634</v>
      </c>
      <c r="M118" s="11" t="s">
        <v>24</v>
      </c>
    </row>
    <row r="119" spans="1:13">
      <c r="A119">
        <v>118</v>
      </c>
      <c r="B119" s="12" t="s">
        <v>635</v>
      </c>
      <c r="C119" s="13" t="s">
        <v>597</v>
      </c>
      <c r="D119" s="13" t="s">
        <v>636</v>
      </c>
      <c r="E119" s="13" t="s">
        <v>637</v>
      </c>
      <c r="F119" s="13" t="s">
        <v>611</v>
      </c>
      <c r="G119" s="13" t="s">
        <v>638</v>
      </c>
      <c r="H119" s="13" t="s">
        <v>19</v>
      </c>
      <c r="I119" s="13" t="s">
        <v>20</v>
      </c>
      <c r="J119" s="13" t="s">
        <v>37</v>
      </c>
      <c r="K119" s="13" t="s">
        <v>160</v>
      </c>
      <c r="L119" s="13" t="s">
        <v>639</v>
      </c>
      <c r="M119" s="13" t="s">
        <v>70</v>
      </c>
    </row>
    <row r="120" spans="1:13">
      <c r="A120">
        <v>119</v>
      </c>
      <c r="B120" s="10" t="s">
        <v>640</v>
      </c>
      <c r="C120" s="11" t="s">
        <v>597</v>
      </c>
      <c r="D120" s="11" t="s">
        <v>641</v>
      </c>
      <c r="E120" s="11" t="s">
        <v>642</v>
      </c>
      <c r="F120" s="11" t="s">
        <v>252</v>
      </c>
      <c r="G120" s="11" t="s">
        <v>643</v>
      </c>
      <c r="H120" s="11" t="s">
        <v>193</v>
      </c>
      <c r="I120" s="11" t="s">
        <v>45</v>
      </c>
      <c r="J120" s="11" t="s">
        <v>37</v>
      </c>
      <c r="K120" s="11" t="s">
        <v>160</v>
      </c>
      <c r="L120" s="11" t="s">
        <v>199</v>
      </c>
      <c r="M120" s="11" t="s">
        <v>82</v>
      </c>
    </row>
    <row r="121" spans="1:13">
      <c r="A121">
        <v>120</v>
      </c>
      <c r="B121" s="12" t="s">
        <v>644</v>
      </c>
      <c r="C121" s="13" t="s">
        <v>597</v>
      </c>
      <c r="D121" s="13" t="s">
        <v>645</v>
      </c>
      <c r="E121" s="13" t="s">
        <v>646</v>
      </c>
      <c r="F121" s="13" t="s">
        <v>122</v>
      </c>
      <c r="G121" s="13" t="s">
        <v>647</v>
      </c>
      <c r="H121" s="13" t="s">
        <v>193</v>
      </c>
      <c r="I121" s="13" t="s">
        <v>80</v>
      </c>
      <c r="J121" s="13" t="s">
        <v>37</v>
      </c>
      <c r="K121" s="13" t="s">
        <v>160</v>
      </c>
      <c r="L121" s="13" t="s">
        <v>648</v>
      </c>
      <c r="M121" s="13" t="s">
        <v>82</v>
      </c>
    </row>
    <row r="122" spans="1:13" ht="26.25" customHeight="1">
      <c r="A122">
        <v>121</v>
      </c>
      <c r="B122" s="16" t="s">
        <v>649</v>
      </c>
      <c r="C122" s="2" t="s">
        <v>597</v>
      </c>
      <c r="D122" s="2" t="s">
        <v>650</v>
      </c>
      <c r="E122" s="2" t="s">
        <v>651</v>
      </c>
      <c r="F122" s="2" t="s">
        <v>600</v>
      </c>
      <c r="G122" s="2" t="s">
        <v>652</v>
      </c>
      <c r="H122" s="2" t="s">
        <v>52</v>
      </c>
      <c r="I122" s="2" t="s">
        <v>149</v>
      </c>
      <c r="J122" s="2" t="s">
        <v>37</v>
      </c>
      <c r="K122" s="2" t="s">
        <v>30</v>
      </c>
      <c r="L122" s="2" t="s">
        <v>653</v>
      </c>
      <c r="M122" s="16" t="s">
        <v>214</v>
      </c>
    </row>
    <row r="123" spans="1:13" ht="26.25" customHeight="1">
      <c r="A123">
        <v>122</v>
      </c>
      <c r="B123" s="15" t="s">
        <v>654</v>
      </c>
      <c r="C123" s="5" t="s">
        <v>597</v>
      </c>
      <c r="D123" s="5" t="s">
        <v>655</v>
      </c>
      <c r="E123" s="5" t="s">
        <v>656</v>
      </c>
      <c r="F123" s="5" t="s">
        <v>600</v>
      </c>
      <c r="G123" s="5" t="s">
        <v>657</v>
      </c>
      <c r="H123" s="5" t="s">
        <v>19</v>
      </c>
      <c r="I123" s="5" t="s">
        <v>45</v>
      </c>
      <c r="J123" s="5" t="s">
        <v>37</v>
      </c>
      <c r="K123" s="5" t="s">
        <v>30</v>
      </c>
      <c r="L123" s="5" t="s">
        <v>658</v>
      </c>
      <c r="M123" s="15" t="s">
        <v>214</v>
      </c>
    </row>
    <row r="124" spans="1:13" ht="26.25" customHeight="1">
      <c r="A124">
        <v>123</v>
      </c>
      <c r="B124" s="16" t="s">
        <v>659</v>
      </c>
      <c r="C124" s="2" t="s">
        <v>597</v>
      </c>
      <c r="D124" s="2" t="s">
        <v>660</v>
      </c>
      <c r="E124" s="2" t="s">
        <v>661</v>
      </c>
      <c r="F124" s="2" t="s">
        <v>662</v>
      </c>
      <c r="G124" s="2" t="s">
        <v>663</v>
      </c>
      <c r="H124" s="2" t="s">
        <v>52</v>
      </c>
      <c r="I124" s="2" t="s">
        <v>149</v>
      </c>
      <c r="J124" s="2" t="s">
        <v>37</v>
      </c>
      <c r="K124" s="2" t="s">
        <v>160</v>
      </c>
      <c r="L124" s="2" t="s">
        <v>199</v>
      </c>
      <c r="M124" s="16" t="s">
        <v>214</v>
      </c>
    </row>
    <row r="125" spans="1:13" ht="26.25" customHeight="1">
      <c r="A125">
        <v>124</v>
      </c>
      <c r="B125" s="15" t="s">
        <v>664</v>
      </c>
      <c r="C125" s="5" t="s">
        <v>597</v>
      </c>
      <c r="D125" s="5" t="s">
        <v>665</v>
      </c>
      <c r="E125" s="5" t="s">
        <v>666</v>
      </c>
      <c r="F125" s="5" t="s">
        <v>600</v>
      </c>
      <c r="G125" s="5" t="s">
        <v>667</v>
      </c>
      <c r="H125" s="5" t="s">
        <v>44</v>
      </c>
      <c r="I125" s="5" t="s">
        <v>20</v>
      </c>
      <c r="J125" s="5" t="s">
        <v>37</v>
      </c>
      <c r="K125" s="5" t="s">
        <v>30</v>
      </c>
      <c r="L125" s="5" t="s">
        <v>658</v>
      </c>
      <c r="M125" s="15" t="s">
        <v>214</v>
      </c>
    </row>
    <row r="126" spans="1:13" ht="26.25" customHeight="1">
      <c r="A126">
        <v>125</v>
      </c>
      <c r="B126" s="16" t="s">
        <v>668</v>
      </c>
      <c r="C126" s="2" t="s">
        <v>597</v>
      </c>
      <c r="D126" s="2" t="s">
        <v>669</v>
      </c>
      <c r="E126" s="2" t="s">
        <v>670</v>
      </c>
      <c r="F126" s="2" t="s">
        <v>600</v>
      </c>
      <c r="G126" s="2" t="s">
        <v>671</v>
      </c>
      <c r="H126" s="2" t="s">
        <v>19</v>
      </c>
      <c r="I126" s="2" t="s">
        <v>20</v>
      </c>
      <c r="J126" s="2" t="s">
        <v>37</v>
      </c>
      <c r="K126" s="2" t="s">
        <v>30</v>
      </c>
      <c r="L126" s="2" t="s">
        <v>672</v>
      </c>
      <c r="M126" s="16" t="s">
        <v>214</v>
      </c>
    </row>
    <row r="127" spans="1:13" ht="26.25" customHeight="1">
      <c r="A127">
        <v>126</v>
      </c>
      <c r="B127" s="15" t="s">
        <v>673</v>
      </c>
      <c r="C127" s="5" t="s">
        <v>597</v>
      </c>
      <c r="D127" s="5" t="s">
        <v>674</v>
      </c>
      <c r="E127" s="5" t="s">
        <v>675</v>
      </c>
      <c r="F127" s="5" t="s">
        <v>676</v>
      </c>
      <c r="G127" s="5" t="s">
        <v>677</v>
      </c>
      <c r="H127" s="5" t="s">
        <v>52</v>
      </c>
      <c r="I127" s="5" t="s">
        <v>149</v>
      </c>
      <c r="J127" s="5" t="s">
        <v>37</v>
      </c>
      <c r="K127" s="5" t="s">
        <v>160</v>
      </c>
      <c r="L127" s="5" t="s">
        <v>678</v>
      </c>
      <c r="M127" s="15" t="s">
        <v>214</v>
      </c>
    </row>
    <row r="128" spans="1:13">
      <c r="A128">
        <v>127</v>
      </c>
      <c r="B128" s="5" t="s">
        <v>679</v>
      </c>
      <c r="C128" s="5" t="s">
        <v>680</v>
      </c>
      <c r="D128" s="5" t="s">
        <v>681</v>
      </c>
      <c r="E128" s="5" t="s">
        <v>682</v>
      </c>
      <c r="F128" s="5" t="s">
        <v>683</v>
      </c>
      <c r="G128" s="5" t="s">
        <v>684</v>
      </c>
      <c r="H128" s="5" t="s">
        <v>685</v>
      </c>
      <c r="I128" s="5" t="s">
        <v>20</v>
      </c>
      <c r="J128" s="6" t="s">
        <v>21</v>
      </c>
      <c r="K128" s="6" t="s">
        <v>22</v>
      </c>
      <c r="L128" s="5" t="s">
        <v>686</v>
      </c>
      <c r="M128" s="8" t="s">
        <v>46</v>
      </c>
    </row>
    <row r="129" spans="1:13">
      <c r="A129">
        <v>128</v>
      </c>
      <c r="B129" s="2" t="s">
        <v>687</v>
      </c>
      <c r="C129" s="2" t="s">
        <v>680</v>
      </c>
      <c r="D129" s="2" t="s">
        <v>688</v>
      </c>
      <c r="E129" s="2" t="s">
        <v>689</v>
      </c>
      <c r="F129" s="2" t="s">
        <v>690</v>
      </c>
      <c r="G129" s="2" t="s">
        <v>691</v>
      </c>
      <c r="H129" s="2" t="s">
        <v>19</v>
      </c>
      <c r="I129" s="2" t="s">
        <v>45</v>
      </c>
      <c r="J129" s="2" t="s">
        <v>37</v>
      </c>
      <c r="K129" s="9" t="s">
        <v>30</v>
      </c>
      <c r="L129" s="2" t="s">
        <v>31</v>
      </c>
      <c r="M129" s="4" t="s">
        <v>46</v>
      </c>
    </row>
    <row r="130" spans="1:13">
      <c r="A130">
        <v>129</v>
      </c>
      <c r="B130" s="10" t="s">
        <v>692</v>
      </c>
      <c r="C130" s="11" t="s">
        <v>680</v>
      </c>
      <c r="D130" s="11" t="s">
        <v>693</v>
      </c>
      <c r="E130" s="11" t="s">
        <v>694</v>
      </c>
      <c r="F130" s="11" t="s">
        <v>695</v>
      </c>
      <c r="G130" s="11" t="s">
        <v>696</v>
      </c>
      <c r="H130" s="11" t="s">
        <v>685</v>
      </c>
      <c r="I130" s="11" t="s">
        <v>20</v>
      </c>
      <c r="J130" s="11" t="s">
        <v>21</v>
      </c>
      <c r="K130" s="14" t="s">
        <v>22</v>
      </c>
      <c r="L130" s="11" t="s">
        <v>697</v>
      </c>
      <c r="M130" s="11" t="s">
        <v>70</v>
      </c>
    </row>
    <row r="131" spans="1:13">
      <c r="A131">
        <v>130</v>
      </c>
      <c r="B131" s="12" t="s">
        <v>698</v>
      </c>
      <c r="C131" s="13" t="s">
        <v>680</v>
      </c>
      <c r="D131" s="13" t="s">
        <v>699</v>
      </c>
      <c r="E131" s="13" t="s">
        <v>700</v>
      </c>
      <c r="F131" s="13" t="s">
        <v>544</v>
      </c>
      <c r="G131" s="13" t="s">
        <v>701</v>
      </c>
      <c r="H131" s="13" t="s">
        <v>19</v>
      </c>
      <c r="I131" s="13" t="s">
        <v>45</v>
      </c>
      <c r="J131" s="13" t="s">
        <v>21</v>
      </c>
      <c r="K131" s="18" t="s">
        <v>22</v>
      </c>
      <c r="L131" s="13" t="s">
        <v>702</v>
      </c>
      <c r="M131" s="13" t="s">
        <v>70</v>
      </c>
    </row>
    <row r="132" spans="1:13" ht="26.25" customHeight="1">
      <c r="A132">
        <v>131</v>
      </c>
      <c r="B132" s="15" t="s">
        <v>703</v>
      </c>
      <c r="C132" s="5" t="s">
        <v>680</v>
      </c>
      <c r="D132" s="5" t="s">
        <v>704</v>
      </c>
      <c r="E132" s="5" t="s">
        <v>705</v>
      </c>
      <c r="F132" s="5" t="s">
        <v>544</v>
      </c>
      <c r="G132" s="5" t="s">
        <v>706</v>
      </c>
      <c r="H132" s="5" t="s">
        <v>19</v>
      </c>
      <c r="I132" s="5" t="s">
        <v>45</v>
      </c>
      <c r="J132" s="5" t="s">
        <v>21</v>
      </c>
      <c r="K132" s="5" t="s">
        <v>30</v>
      </c>
      <c r="L132" s="5" t="s">
        <v>707</v>
      </c>
      <c r="M132" s="15" t="s">
        <v>214</v>
      </c>
    </row>
    <row r="133" spans="1:13" ht="26.25" customHeight="1">
      <c r="A133">
        <v>132</v>
      </c>
      <c r="B133" s="16" t="s">
        <v>708</v>
      </c>
      <c r="C133" s="2" t="s">
        <v>680</v>
      </c>
      <c r="D133" s="2" t="s">
        <v>709</v>
      </c>
      <c r="E133" s="2" t="s">
        <v>710</v>
      </c>
      <c r="F133" s="2" t="s">
        <v>569</v>
      </c>
      <c r="G133" s="2" t="s">
        <v>570</v>
      </c>
      <c r="H133" s="2" t="s">
        <v>52</v>
      </c>
      <c r="I133" s="2" t="s">
        <v>45</v>
      </c>
      <c r="J133" s="2" t="s">
        <v>21</v>
      </c>
      <c r="K133" s="2" t="s">
        <v>30</v>
      </c>
      <c r="L133" s="2" t="s">
        <v>707</v>
      </c>
      <c r="M133" s="16" t="s">
        <v>214</v>
      </c>
    </row>
    <row r="134" spans="1:13" ht="26.25" customHeight="1">
      <c r="A134">
        <v>133</v>
      </c>
      <c r="B134" s="15" t="s">
        <v>711</v>
      </c>
      <c r="C134" s="5" t="s">
        <v>680</v>
      </c>
      <c r="D134" s="5" t="s">
        <v>712</v>
      </c>
      <c r="E134" s="5" t="s">
        <v>713</v>
      </c>
      <c r="F134" s="5" t="s">
        <v>544</v>
      </c>
      <c r="G134" s="5" t="s">
        <v>714</v>
      </c>
      <c r="H134" s="5" t="s">
        <v>52</v>
      </c>
      <c r="I134" s="5" t="s">
        <v>45</v>
      </c>
      <c r="J134" s="5" t="s">
        <v>21</v>
      </c>
      <c r="K134" s="5" t="s">
        <v>30</v>
      </c>
      <c r="L134" s="5" t="s">
        <v>707</v>
      </c>
      <c r="M134" s="15" t="s">
        <v>214</v>
      </c>
    </row>
    <row r="135" spans="1:13" ht="26.25" customHeight="1">
      <c r="A135">
        <v>134</v>
      </c>
      <c r="B135" s="16" t="s">
        <v>715</v>
      </c>
      <c r="C135" s="2" t="s">
        <v>680</v>
      </c>
      <c r="D135" s="2" t="s">
        <v>716</v>
      </c>
      <c r="E135" s="2" t="s">
        <v>717</v>
      </c>
      <c r="F135" s="2" t="s">
        <v>544</v>
      </c>
      <c r="G135" s="2" t="s">
        <v>718</v>
      </c>
      <c r="H135" s="2" t="s">
        <v>685</v>
      </c>
      <c r="I135" s="2" t="s">
        <v>20</v>
      </c>
      <c r="J135" s="2" t="s">
        <v>37</v>
      </c>
      <c r="K135" s="2" t="s">
        <v>30</v>
      </c>
      <c r="L135" s="2" t="s">
        <v>719</v>
      </c>
      <c r="M135" s="16" t="s">
        <v>214</v>
      </c>
    </row>
    <row r="136" spans="1:13" ht="26.25" customHeight="1">
      <c r="A136">
        <v>135</v>
      </c>
      <c r="B136" s="15" t="s">
        <v>720</v>
      </c>
      <c r="C136" s="5" t="s">
        <v>680</v>
      </c>
      <c r="D136" s="5" t="s">
        <v>721</v>
      </c>
      <c r="E136" s="5" t="s">
        <v>722</v>
      </c>
      <c r="F136" s="5" t="s">
        <v>695</v>
      </c>
      <c r="G136" s="5" t="s">
        <v>723</v>
      </c>
      <c r="H136" s="5" t="s">
        <v>52</v>
      </c>
      <c r="I136" s="5" t="s">
        <v>20</v>
      </c>
      <c r="J136" s="5" t="s">
        <v>37</v>
      </c>
      <c r="K136" s="5" t="s">
        <v>30</v>
      </c>
      <c r="L136" s="5" t="s">
        <v>724</v>
      </c>
      <c r="M136" s="15" t="s">
        <v>214</v>
      </c>
    </row>
    <row r="137" spans="1:13" ht="26.25" customHeight="1">
      <c r="A137">
        <v>136</v>
      </c>
      <c r="B137" s="16" t="s">
        <v>725</v>
      </c>
      <c r="C137" s="2" t="s">
        <v>680</v>
      </c>
      <c r="D137" s="2" t="s">
        <v>726</v>
      </c>
      <c r="E137" s="2" t="s">
        <v>727</v>
      </c>
      <c r="F137" s="2" t="s">
        <v>695</v>
      </c>
      <c r="G137" s="2" t="s">
        <v>728</v>
      </c>
      <c r="H137" s="2" t="s">
        <v>52</v>
      </c>
      <c r="I137" s="2" t="s">
        <v>20</v>
      </c>
      <c r="J137" s="2" t="s">
        <v>37</v>
      </c>
      <c r="K137" s="2" t="s">
        <v>160</v>
      </c>
      <c r="L137" s="2" t="s">
        <v>199</v>
      </c>
      <c r="M137" s="16" t="s">
        <v>214</v>
      </c>
    </row>
    <row r="138" spans="1:13" ht="26.25" customHeight="1">
      <c r="A138">
        <v>137</v>
      </c>
      <c r="B138" s="15" t="s">
        <v>729</v>
      </c>
      <c r="C138" s="5" t="s">
        <v>680</v>
      </c>
      <c r="D138" s="5" t="s">
        <v>730</v>
      </c>
      <c r="E138" s="5" t="s">
        <v>731</v>
      </c>
      <c r="F138" s="5" t="s">
        <v>544</v>
      </c>
      <c r="G138" s="5" t="s">
        <v>732</v>
      </c>
      <c r="H138" s="5" t="s">
        <v>685</v>
      </c>
      <c r="I138" s="5" t="s">
        <v>20</v>
      </c>
      <c r="J138" s="5" t="s">
        <v>37</v>
      </c>
      <c r="K138" s="5" t="s">
        <v>160</v>
      </c>
      <c r="L138" s="5" t="s">
        <v>199</v>
      </c>
      <c r="M138" s="15" t="s">
        <v>214</v>
      </c>
    </row>
    <row r="139" spans="1:13" ht="26.25" customHeight="1">
      <c r="A139">
        <v>138</v>
      </c>
      <c r="B139" s="16" t="s">
        <v>733</v>
      </c>
      <c r="C139" s="2" t="s">
        <v>680</v>
      </c>
      <c r="D139" s="2" t="s">
        <v>734</v>
      </c>
      <c r="E139" s="2" t="s">
        <v>735</v>
      </c>
      <c r="F139" s="2" t="s">
        <v>695</v>
      </c>
      <c r="G139" s="2" t="s">
        <v>736</v>
      </c>
      <c r="H139" s="2" t="s">
        <v>685</v>
      </c>
      <c r="I139" s="2" t="s">
        <v>20</v>
      </c>
      <c r="J139" s="2" t="s">
        <v>21</v>
      </c>
      <c r="K139" s="2" t="s">
        <v>30</v>
      </c>
      <c r="L139" s="2" t="s">
        <v>737</v>
      </c>
      <c r="M139" s="16" t="s">
        <v>214</v>
      </c>
    </row>
    <row r="140" spans="1:13" ht="26.25" customHeight="1">
      <c r="A140">
        <v>139</v>
      </c>
      <c r="B140" s="15" t="s">
        <v>738</v>
      </c>
      <c r="C140" s="5" t="s">
        <v>680</v>
      </c>
      <c r="D140" s="5" t="s">
        <v>739</v>
      </c>
      <c r="E140" s="5" t="s">
        <v>740</v>
      </c>
      <c r="F140" s="5" t="s">
        <v>695</v>
      </c>
      <c r="G140" s="5" t="s">
        <v>736</v>
      </c>
      <c r="H140" s="5" t="s">
        <v>685</v>
      </c>
      <c r="I140" s="5" t="s">
        <v>20</v>
      </c>
      <c r="J140" s="5" t="s">
        <v>21</v>
      </c>
      <c r="K140" s="6" t="s">
        <v>22</v>
      </c>
      <c r="L140" s="5" t="s">
        <v>741</v>
      </c>
      <c r="M140" s="15" t="s">
        <v>214</v>
      </c>
    </row>
    <row r="141" spans="1:13" ht="26.25" customHeight="1">
      <c r="A141">
        <v>140</v>
      </c>
      <c r="B141" s="16" t="s">
        <v>742</v>
      </c>
      <c r="C141" s="2" t="s">
        <v>680</v>
      </c>
      <c r="D141" s="2" t="s">
        <v>743</v>
      </c>
      <c r="E141" s="2" t="s">
        <v>744</v>
      </c>
      <c r="F141" s="2" t="s">
        <v>544</v>
      </c>
      <c r="G141" s="2" t="s">
        <v>745</v>
      </c>
      <c r="H141" s="2" t="s">
        <v>19</v>
      </c>
      <c r="I141" s="2" t="s">
        <v>20</v>
      </c>
      <c r="J141" s="2" t="s">
        <v>21</v>
      </c>
      <c r="K141" s="3" t="s">
        <v>22</v>
      </c>
      <c r="L141" s="2" t="s">
        <v>746</v>
      </c>
      <c r="M141" s="16" t="s">
        <v>214</v>
      </c>
    </row>
    <row r="142" spans="1:13" ht="26.25" customHeight="1">
      <c r="A142">
        <v>141</v>
      </c>
      <c r="B142" s="15" t="s">
        <v>747</v>
      </c>
      <c r="C142" s="5" t="s">
        <v>680</v>
      </c>
      <c r="D142" s="5" t="s">
        <v>748</v>
      </c>
      <c r="E142" s="5" t="s">
        <v>749</v>
      </c>
      <c r="F142" s="5" t="s">
        <v>544</v>
      </c>
      <c r="G142" s="5" t="s">
        <v>750</v>
      </c>
      <c r="H142" s="5" t="s">
        <v>19</v>
      </c>
      <c r="I142" s="5" t="s">
        <v>20</v>
      </c>
      <c r="J142" s="5" t="s">
        <v>21</v>
      </c>
      <c r="K142" s="5" t="s">
        <v>30</v>
      </c>
      <c r="L142" s="5" t="s">
        <v>751</v>
      </c>
      <c r="M142" s="15" t="s">
        <v>214</v>
      </c>
    </row>
    <row r="143" spans="1:13" ht="26.25" customHeight="1">
      <c r="A143">
        <v>142</v>
      </c>
      <c r="B143" s="16" t="s">
        <v>752</v>
      </c>
      <c r="C143" s="2" t="s">
        <v>680</v>
      </c>
      <c r="D143" s="2" t="s">
        <v>753</v>
      </c>
      <c r="E143" s="2" t="s">
        <v>754</v>
      </c>
      <c r="F143" s="2" t="s">
        <v>755</v>
      </c>
      <c r="G143" s="2" t="s">
        <v>756</v>
      </c>
      <c r="H143" s="2" t="s">
        <v>52</v>
      </c>
      <c r="I143" s="2" t="s">
        <v>20</v>
      </c>
      <c r="J143" s="2" t="s">
        <v>37</v>
      </c>
      <c r="K143" s="2" t="s">
        <v>30</v>
      </c>
      <c r="L143" s="2" t="s">
        <v>757</v>
      </c>
      <c r="M143" s="16" t="s">
        <v>214</v>
      </c>
    </row>
    <row r="144" spans="1:13" ht="26.25" customHeight="1">
      <c r="A144">
        <v>143</v>
      </c>
      <c r="B144" s="15" t="s">
        <v>758</v>
      </c>
      <c r="C144" s="5" t="s">
        <v>680</v>
      </c>
      <c r="D144" s="5" t="s">
        <v>759</v>
      </c>
      <c r="E144" s="5" t="s">
        <v>760</v>
      </c>
      <c r="F144" s="5" t="s">
        <v>544</v>
      </c>
      <c r="G144" s="5" t="s">
        <v>761</v>
      </c>
      <c r="H144" s="5" t="s">
        <v>52</v>
      </c>
      <c r="I144" s="5" t="s">
        <v>20</v>
      </c>
      <c r="J144" s="5" t="s">
        <v>37</v>
      </c>
      <c r="K144" s="5" t="s">
        <v>160</v>
      </c>
      <c r="L144" s="5" t="s">
        <v>762</v>
      </c>
      <c r="M144" s="15" t="s">
        <v>214</v>
      </c>
    </row>
    <row r="145" spans="1:13" ht="26.25" customHeight="1">
      <c r="A145">
        <v>144</v>
      </c>
      <c r="B145" s="16" t="s">
        <v>763</v>
      </c>
      <c r="C145" s="2" t="s">
        <v>680</v>
      </c>
      <c r="D145" s="2" t="s">
        <v>764</v>
      </c>
      <c r="E145" s="2" t="s">
        <v>765</v>
      </c>
      <c r="F145" s="2" t="s">
        <v>766</v>
      </c>
      <c r="G145" s="2" t="s">
        <v>767</v>
      </c>
      <c r="H145" s="2" t="s">
        <v>19</v>
      </c>
      <c r="I145" s="2" t="s">
        <v>20</v>
      </c>
      <c r="J145" s="2" t="s">
        <v>21</v>
      </c>
      <c r="K145" s="2" t="s">
        <v>30</v>
      </c>
      <c r="L145" s="2" t="s">
        <v>768</v>
      </c>
      <c r="M145" s="16" t="s">
        <v>214</v>
      </c>
    </row>
    <row r="146" spans="1:13" ht="26.25" customHeight="1">
      <c r="A146">
        <v>145</v>
      </c>
      <c r="B146" s="2" t="s">
        <v>769</v>
      </c>
      <c r="C146" s="2" t="s">
        <v>770</v>
      </c>
      <c r="D146" s="2" t="s">
        <v>771</v>
      </c>
      <c r="E146" s="2" t="s">
        <v>772</v>
      </c>
      <c r="F146" s="2" t="s">
        <v>773</v>
      </c>
      <c r="G146" s="2" t="s">
        <v>774</v>
      </c>
      <c r="H146" s="2" t="s">
        <v>19</v>
      </c>
      <c r="I146" s="2" t="s">
        <v>45</v>
      </c>
      <c r="J146" s="3" t="s">
        <v>21</v>
      </c>
      <c r="K146" s="3" t="s">
        <v>22</v>
      </c>
      <c r="L146" s="2" t="s">
        <v>775</v>
      </c>
      <c r="M146" s="4" t="s">
        <v>46</v>
      </c>
    </row>
    <row r="147" spans="1:13" ht="26.25" customHeight="1">
      <c r="A147">
        <v>146</v>
      </c>
      <c r="B147" s="2" t="s">
        <v>776</v>
      </c>
      <c r="C147" s="2" t="s">
        <v>777</v>
      </c>
      <c r="D147" s="2" t="s">
        <v>778</v>
      </c>
      <c r="E147" s="2" t="s">
        <v>779</v>
      </c>
      <c r="F147" s="2" t="s">
        <v>780</v>
      </c>
      <c r="G147" s="2" t="s">
        <v>781</v>
      </c>
      <c r="H147" s="2" t="s">
        <v>52</v>
      </c>
      <c r="I147" s="2" t="s">
        <v>45</v>
      </c>
      <c r="J147" s="3" t="s">
        <v>21</v>
      </c>
      <c r="K147" s="3" t="s">
        <v>22</v>
      </c>
      <c r="L147" s="2" t="s">
        <v>782</v>
      </c>
      <c r="M147" s="4" t="s">
        <v>46</v>
      </c>
    </row>
    <row r="148" spans="1:13" ht="26.25" customHeight="1">
      <c r="A148">
        <v>147</v>
      </c>
      <c r="B148" s="2" t="s">
        <v>783</v>
      </c>
      <c r="C148" s="2" t="s">
        <v>777</v>
      </c>
      <c r="D148" s="2" t="s">
        <v>784</v>
      </c>
      <c r="E148" s="2" t="s">
        <v>785</v>
      </c>
      <c r="F148" s="2" t="s">
        <v>420</v>
      </c>
      <c r="G148" s="2" t="s">
        <v>786</v>
      </c>
      <c r="H148" s="2" t="s">
        <v>52</v>
      </c>
      <c r="I148" s="2" t="s">
        <v>45</v>
      </c>
      <c r="J148" s="3" t="s">
        <v>21</v>
      </c>
      <c r="K148" s="3" t="s">
        <v>22</v>
      </c>
      <c r="L148" s="2" t="s">
        <v>787</v>
      </c>
      <c r="M148" s="4" t="s">
        <v>46</v>
      </c>
    </row>
    <row r="149" spans="1:13" ht="26.25" customHeight="1">
      <c r="A149">
        <v>148</v>
      </c>
      <c r="B149" s="2" t="s">
        <v>788</v>
      </c>
      <c r="C149" s="2" t="s">
        <v>777</v>
      </c>
      <c r="D149" s="2" t="s">
        <v>789</v>
      </c>
      <c r="E149" s="2" t="s">
        <v>790</v>
      </c>
      <c r="F149" s="2" t="s">
        <v>791</v>
      </c>
      <c r="G149" s="2" t="s">
        <v>792</v>
      </c>
      <c r="H149" s="2" t="s">
        <v>19</v>
      </c>
      <c r="I149" s="2" t="s">
        <v>20</v>
      </c>
      <c r="J149" s="2" t="s">
        <v>37</v>
      </c>
      <c r="K149" s="3" t="s">
        <v>22</v>
      </c>
      <c r="L149" s="2" t="s">
        <v>793</v>
      </c>
      <c r="M149" s="4" t="s">
        <v>46</v>
      </c>
    </row>
    <row r="150" spans="1:13" ht="26.25" customHeight="1">
      <c r="A150">
        <v>149</v>
      </c>
      <c r="B150" s="5" t="s">
        <v>794</v>
      </c>
      <c r="C150" s="5" t="s">
        <v>777</v>
      </c>
      <c r="D150" s="5" t="s">
        <v>795</v>
      </c>
      <c r="E150" s="5" t="s">
        <v>796</v>
      </c>
      <c r="F150" s="5" t="s">
        <v>791</v>
      </c>
      <c r="G150" s="5" t="s">
        <v>797</v>
      </c>
      <c r="H150" s="5" t="s">
        <v>19</v>
      </c>
      <c r="I150" s="5" t="s">
        <v>45</v>
      </c>
      <c r="J150" s="5" t="s">
        <v>37</v>
      </c>
      <c r="K150" s="7" t="s">
        <v>30</v>
      </c>
      <c r="L150" s="5" t="s">
        <v>31</v>
      </c>
      <c r="M150" s="8" t="s">
        <v>46</v>
      </c>
    </row>
    <row r="151" spans="1:13" ht="26.25" customHeight="1">
      <c r="A151">
        <v>150</v>
      </c>
      <c r="B151" s="2" t="s">
        <v>798</v>
      </c>
      <c r="C151" s="2" t="s">
        <v>777</v>
      </c>
      <c r="D151" s="2" t="s">
        <v>799</v>
      </c>
      <c r="E151" s="2" t="s">
        <v>800</v>
      </c>
      <c r="F151" s="2" t="s">
        <v>801</v>
      </c>
      <c r="G151" s="2" t="s">
        <v>802</v>
      </c>
      <c r="H151" s="2" t="s">
        <v>19</v>
      </c>
      <c r="I151" s="2" t="s">
        <v>20</v>
      </c>
      <c r="J151" s="2" t="s">
        <v>37</v>
      </c>
      <c r="K151" s="9" t="s">
        <v>30</v>
      </c>
      <c r="L151" s="2" t="s">
        <v>31</v>
      </c>
      <c r="M151" s="4" t="s">
        <v>46</v>
      </c>
    </row>
    <row r="152" spans="1:13" ht="26.25" customHeight="1">
      <c r="A152">
        <v>151</v>
      </c>
      <c r="B152" s="5" t="s">
        <v>803</v>
      </c>
      <c r="C152" s="5" t="s">
        <v>777</v>
      </c>
      <c r="D152" s="5" t="s">
        <v>804</v>
      </c>
      <c r="E152" s="5" t="s">
        <v>805</v>
      </c>
      <c r="F152" s="5" t="s">
        <v>147</v>
      </c>
      <c r="G152" s="5" t="s">
        <v>806</v>
      </c>
      <c r="H152" s="5" t="s">
        <v>52</v>
      </c>
      <c r="I152" s="5" t="s">
        <v>45</v>
      </c>
      <c r="J152" s="5" t="s">
        <v>37</v>
      </c>
      <c r="K152" s="7" t="s">
        <v>30</v>
      </c>
      <c r="L152" s="5" t="s">
        <v>31</v>
      </c>
      <c r="M152" s="8" t="s">
        <v>24</v>
      </c>
    </row>
    <row r="153" spans="1:13">
      <c r="A153">
        <v>152</v>
      </c>
      <c r="B153" s="12" t="s">
        <v>807</v>
      </c>
      <c r="C153" s="13" t="s">
        <v>777</v>
      </c>
      <c r="D153" s="13" t="s">
        <v>808</v>
      </c>
      <c r="E153" s="13" t="s">
        <v>809</v>
      </c>
      <c r="F153" s="13" t="s">
        <v>810</v>
      </c>
      <c r="G153" s="13" t="s">
        <v>811</v>
      </c>
      <c r="H153" s="13" t="s">
        <v>52</v>
      </c>
      <c r="I153" s="13" t="s">
        <v>149</v>
      </c>
      <c r="J153" s="13" t="s">
        <v>37</v>
      </c>
      <c r="K153" s="13" t="s">
        <v>160</v>
      </c>
      <c r="L153" s="13" t="s">
        <v>812</v>
      </c>
      <c r="M153" s="13" t="s">
        <v>82</v>
      </c>
    </row>
    <row r="154" spans="1:13" ht="26.25" customHeight="1">
      <c r="A154">
        <v>153</v>
      </c>
      <c r="B154" s="16" t="s">
        <v>813</v>
      </c>
      <c r="C154" s="2" t="s">
        <v>777</v>
      </c>
      <c r="D154" s="2" t="s">
        <v>814</v>
      </c>
      <c r="E154" s="2" t="s">
        <v>815</v>
      </c>
      <c r="F154" s="2" t="s">
        <v>816</v>
      </c>
      <c r="G154" s="2" t="s">
        <v>817</v>
      </c>
      <c r="H154" s="2" t="s">
        <v>19</v>
      </c>
      <c r="I154" s="2" t="s">
        <v>45</v>
      </c>
      <c r="J154" s="2" t="s">
        <v>37</v>
      </c>
      <c r="K154" s="2" t="s">
        <v>160</v>
      </c>
      <c r="L154" s="2" t="s">
        <v>818</v>
      </c>
      <c r="M154" s="16" t="s">
        <v>214</v>
      </c>
    </row>
    <row r="155" spans="1:13" ht="26.25" customHeight="1">
      <c r="A155">
        <v>154</v>
      </c>
      <c r="B155" s="2" t="s">
        <v>819</v>
      </c>
      <c r="C155" s="2" t="s">
        <v>820</v>
      </c>
      <c r="D155" s="2" t="s">
        <v>821</v>
      </c>
      <c r="E155" s="2" t="s">
        <v>822</v>
      </c>
      <c r="F155" s="2" t="s">
        <v>823</v>
      </c>
      <c r="G155" s="2" t="s">
        <v>824</v>
      </c>
      <c r="H155" s="2" t="s">
        <v>44</v>
      </c>
      <c r="I155" s="2" t="s">
        <v>45</v>
      </c>
      <c r="J155" s="3" t="s">
        <v>21</v>
      </c>
      <c r="K155" s="3" t="s">
        <v>22</v>
      </c>
      <c r="L155" s="2" t="s">
        <v>825</v>
      </c>
      <c r="M155" s="4" t="s">
        <v>46</v>
      </c>
    </row>
    <row r="156" spans="1:13">
      <c r="A156">
        <v>155</v>
      </c>
      <c r="B156" s="5" t="s">
        <v>826</v>
      </c>
      <c r="C156" s="5" t="s">
        <v>820</v>
      </c>
      <c r="D156" s="5" t="s">
        <v>827</v>
      </c>
      <c r="E156" s="5" t="s">
        <v>828</v>
      </c>
      <c r="F156" s="5" t="s">
        <v>829</v>
      </c>
      <c r="G156" s="5" t="s">
        <v>830</v>
      </c>
      <c r="H156" s="5" t="s">
        <v>19</v>
      </c>
      <c r="I156" s="5" t="s">
        <v>45</v>
      </c>
      <c r="J156" s="6" t="s">
        <v>21</v>
      </c>
      <c r="K156" s="7" t="s">
        <v>30</v>
      </c>
      <c r="L156" s="5" t="s">
        <v>31</v>
      </c>
      <c r="M156" s="8" t="s">
        <v>46</v>
      </c>
    </row>
    <row r="157" spans="1:13">
      <c r="A157">
        <v>156</v>
      </c>
      <c r="B157" s="2" t="s">
        <v>831</v>
      </c>
      <c r="C157" s="2" t="s">
        <v>820</v>
      </c>
      <c r="D157" s="2" t="s">
        <v>832</v>
      </c>
      <c r="E157" s="2" t="s">
        <v>833</v>
      </c>
      <c r="F157" s="2" t="s">
        <v>829</v>
      </c>
      <c r="G157" s="2" t="s">
        <v>834</v>
      </c>
      <c r="H157" s="2" t="s">
        <v>19</v>
      </c>
      <c r="I157" s="2" t="s">
        <v>45</v>
      </c>
      <c r="J157" s="3" t="s">
        <v>21</v>
      </c>
      <c r="K157" s="3" t="s">
        <v>22</v>
      </c>
      <c r="L157" s="2" t="s">
        <v>835</v>
      </c>
      <c r="M157" s="4" t="s">
        <v>46</v>
      </c>
    </row>
    <row r="158" spans="1:13">
      <c r="A158">
        <v>157</v>
      </c>
      <c r="B158" s="5" t="s">
        <v>836</v>
      </c>
      <c r="C158" s="5" t="s">
        <v>820</v>
      </c>
      <c r="D158" s="5" t="s">
        <v>837</v>
      </c>
      <c r="E158" s="5" t="s">
        <v>838</v>
      </c>
      <c r="F158" s="5" t="s">
        <v>839</v>
      </c>
      <c r="G158" s="5" t="s">
        <v>840</v>
      </c>
      <c r="H158" s="5" t="s">
        <v>19</v>
      </c>
      <c r="I158" s="5" t="s">
        <v>45</v>
      </c>
      <c r="J158" s="5" t="s">
        <v>37</v>
      </c>
      <c r="K158" s="7" t="s">
        <v>30</v>
      </c>
      <c r="L158" s="5" t="s">
        <v>31</v>
      </c>
      <c r="M158" s="8" t="s">
        <v>46</v>
      </c>
    </row>
    <row r="159" spans="1:13">
      <c r="A159">
        <v>158</v>
      </c>
      <c r="B159" s="5" t="s">
        <v>841</v>
      </c>
      <c r="C159" s="5" t="s">
        <v>820</v>
      </c>
      <c r="D159" s="5" t="s">
        <v>842</v>
      </c>
      <c r="E159" s="5" t="s">
        <v>843</v>
      </c>
      <c r="F159" s="5" t="s">
        <v>839</v>
      </c>
      <c r="G159" s="5" t="s">
        <v>844</v>
      </c>
      <c r="H159" s="5" t="s">
        <v>19</v>
      </c>
      <c r="I159" s="5" t="s">
        <v>45</v>
      </c>
      <c r="J159" s="5" t="s">
        <v>37</v>
      </c>
      <c r="K159" s="6" t="s">
        <v>22</v>
      </c>
      <c r="L159" s="5" t="s">
        <v>845</v>
      </c>
      <c r="M159" s="8" t="s">
        <v>46</v>
      </c>
    </row>
    <row r="160" spans="1:13">
      <c r="A160">
        <v>159</v>
      </c>
      <c r="B160" s="2" t="s">
        <v>846</v>
      </c>
      <c r="C160" s="2" t="s">
        <v>820</v>
      </c>
      <c r="D160" s="2" t="s">
        <v>847</v>
      </c>
      <c r="E160" s="2" t="s">
        <v>848</v>
      </c>
      <c r="F160" s="2" t="s">
        <v>849</v>
      </c>
      <c r="G160" s="2" t="s">
        <v>850</v>
      </c>
      <c r="H160" s="2" t="s">
        <v>19</v>
      </c>
      <c r="I160" s="2" t="s">
        <v>20</v>
      </c>
      <c r="J160" s="2" t="s">
        <v>37</v>
      </c>
      <c r="K160" s="3" t="s">
        <v>22</v>
      </c>
      <c r="L160" s="2" t="s">
        <v>851</v>
      </c>
      <c r="M160" s="4" t="s">
        <v>38</v>
      </c>
    </row>
    <row r="161" spans="1:13">
      <c r="A161">
        <v>160</v>
      </c>
      <c r="B161" s="5" t="s">
        <v>852</v>
      </c>
      <c r="C161" s="5" t="s">
        <v>820</v>
      </c>
      <c r="D161" s="5" t="s">
        <v>853</v>
      </c>
      <c r="E161" s="5" t="s">
        <v>854</v>
      </c>
      <c r="F161" s="5" t="s">
        <v>829</v>
      </c>
      <c r="G161" s="5" t="s">
        <v>855</v>
      </c>
      <c r="H161" s="5" t="s">
        <v>44</v>
      </c>
      <c r="I161" s="5" t="s">
        <v>45</v>
      </c>
      <c r="J161" s="5" t="s">
        <v>37</v>
      </c>
      <c r="K161" s="7" t="s">
        <v>30</v>
      </c>
      <c r="L161" s="5" t="s">
        <v>31</v>
      </c>
      <c r="M161" s="8" t="s">
        <v>46</v>
      </c>
    </row>
    <row r="162" spans="1:13">
      <c r="A162">
        <v>161</v>
      </c>
      <c r="B162" s="5" t="s">
        <v>856</v>
      </c>
      <c r="C162" s="5" t="s">
        <v>820</v>
      </c>
      <c r="D162" s="5" t="s">
        <v>857</v>
      </c>
      <c r="E162" s="5" t="s">
        <v>858</v>
      </c>
      <c r="F162" s="5" t="s">
        <v>829</v>
      </c>
      <c r="G162" s="5" t="s">
        <v>859</v>
      </c>
      <c r="H162" s="5" t="s">
        <v>19</v>
      </c>
      <c r="I162" s="5" t="s">
        <v>149</v>
      </c>
      <c r="J162" s="5" t="s">
        <v>37</v>
      </c>
      <c r="K162" s="7" t="s">
        <v>30</v>
      </c>
      <c r="L162" s="5" t="s">
        <v>31</v>
      </c>
      <c r="M162" s="8" t="s">
        <v>46</v>
      </c>
    </row>
    <row r="163" spans="1:13">
      <c r="A163">
        <v>162</v>
      </c>
      <c r="B163" s="10" t="s">
        <v>860</v>
      </c>
      <c r="C163" s="11" t="s">
        <v>820</v>
      </c>
      <c r="D163" s="11" t="s">
        <v>861</v>
      </c>
      <c r="E163" s="11" t="s">
        <v>862</v>
      </c>
      <c r="F163" s="11" t="s">
        <v>863</v>
      </c>
      <c r="G163" s="11" t="s">
        <v>864</v>
      </c>
      <c r="H163" s="11" t="s">
        <v>19</v>
      </c>
      <c r="I163" s="11" t="s">
        <v>149</v>
      </c>
      <c r="J163" s="11" t="s">
        <v>37</v>
      </c>
      <c r="K163" s="11" t="s">
        <v>30</v>
      </c>
      <c r="L163" s="11" t="s">
        <v>865</v>
      </c>
      <c r="M163" s="11" t="s">
        <v>70</v>
      </c>
    </row>
    <row r="164" spans="1:13">
      <c r="A164">
        <v>163</v>
      </c>
      <c r="B164" s="12" t="s">
        <v>866</v>
      </c>
      <c r="C164" s="13" t="s">
        <v>820</v>
      </c>
      <c r="D164" s="13" t="s">
        <v>867</v>
      </c>
      <c r="E164" s="13" t="s">
        <v>868</v>
      </c>
      <c r="F164" s="13" t="s">
        <v>869</v>
      </c>
      <c r="G164" s="13" t="s">
        <v>870</v>
      </c>
      <c r="H164" s="13" t="s">
        <v>19</v>
      </c>
      <c r="I164" s="13" t="s">
        <v>45</v>
      </c>
      <c r="J164" s="13" t="s">
        <v>21</v>
      </c>
      <c r="K164" s="13" t="s">
        <v>30</v>
      </c>
      <c r="L164" s="13" t="s">
        <v>871</v>
      </c>
      <c r="M164" s="13" t="s">
        <v>70</v>
      </c>
    </row>
    <row r="165" spans="1:13">
      <c r="A165">
        <v>164</v>
      </c>
      <c r="B165" s="10" t="s">
        <v>872</v>
      </c>
      <c r="C165" s="11" t="s">
        <v>820</v>
      </c>
      <c r="D165" s="11" t="s">
        <v>873</v>
      </c>
      <c r="E165" s="11" t="s">
        <v>874</v>
      </c>
      <c r="F165" s="11" t="s">
        <v>875</v>
      </c>
      <c r="G165" s="11" t="s">
        <v>876</v>
      </c>
      <c r="H165" s="11" t="s">
        <v>52</v>
      </c>
      <c r="I165" s="11" t="s">
        <v>80</v>
      </c>
      <c r="J165" s="11" t="s">
        <v>37</v>
      </c>
      <c r="K165" s="11" t="s">
        <v>160</v>
      </c>
      <c r="L165" s="11" t="s">
        <v>199</v>
      </c>
      <c r="M165" s="11" t="s">
        <v>82</v>
      </c>
    </row>
    <row r="166" spans="1:13" ht="26.25" customHeight="1">
      <c r="A166">
        <v>165</v>
      </c>
      <c r="B166" s="16" t="s">
        <v>877</v>
      </c>
      <c r="C166" s="2" t="s">
        <v>820</v>
      </c>
      <c r="D166" s="2" t="s">
        <v>878</v>
      </c>
      <c r="E166" s="2" t="s">
        <v>879</v>
      </c>
      <c r="F166" s="2" t="s">
        <v>880</v>
      </c>
      <c r="G166" s="2" t="s">
        <v>881</v>
      </c>
      <c r="H166" s="2" t="s">
        <v>19</v>
      </c>
      <c r="I166" s="2" t="s">
        <v>45</v>
      </c>
      <c r="J166" s="2" t="s">
        <v>21</v>
      </c>
      <c r="K166" s="2" t="s">
        <v>30</v>
      </c>
      <c r="L166" s="2" t="s">
        <v>882</v>
      </c>
      <c r="M166" s="16" t="s">
        <v>214</v>
      </c>
    </row>
    <row r="167" spans="1:13" ht="26.25" customHeight="1">
      <c r="A167">
        <v>166</v>
      </c>
      <c r="B167" s="15" t="s">
        <v>883</v>
      </c>
      <c r="C167" s="5" t="s">
        <v>820</v>
      </c>
      <c r="D167" s="5" t="s">
        <v>884</v>
      </c>
      <c r="E167" s="5" t="s">
        <v>885</v>
      </c>
      <c r="F167" s="5" t="s">
        <v>886</v>
      </c>
      <c r="G167" s="5" t="s">
        <v>887</v>
      </c>
      <c r="H167" s="5" t="s">
        <v>19</v>
      </c>
      <c r="I167" s="5" t="s">
        <v>45</v>
      </c>
      <c r="J167" s="5" t="s">
        <v>37</v>
      </c>
      <c r="K167" s="5" t="s">
        <v>30</v>
      </c>
      <c r="L167" s="5" t="s">
        <v>888</v>
      </c>
      <c r="M167" s="15" t="s">
        <v>214</v>
      </c>
    </row>
    <row r="168" spans="1:13" ht="26.25" customHeight="1">
      <c r="A168">
        <v>167</v>
      </c>
      <c r="B168" s="16" t="s">
        <v>889</v>
      </c>
      <c r="C168" s="2" t="s">
        <v>820</v>
      </c>
      <c r="D168" s="2" t="s">
        <v>890</v>
      </c>
      <c r="E168" s="2" t="s">
        <v>891</v>
      </c>
      <c r="F168" s="2" t="s">
        <v>863</v>
      </c>
      <c r="G168" s="2" t="s">
        <v>892</v>
      </c>
      <c r="H168" s="2" t="s">
        <v>19</v>
      </c>
      <c r="I168" s="2" t="s">
        <v>45</v>
      </c>
      <c r="J168" s="2" t="s">
        <v>21</v>
      </c>
      <c r="K168" s="2" t="s">
        <v>30</v>
      </c>
      <c r="L168" s="2" t="s">
        <v>893</v>
      </c>
      <c r="M168" s="16" t="s">
        <v>214</v>
      </c>
    </row>
    <row r="169" spans="1:13" ht="26.25" customHeight="1">
      <c r="A169">
        <v>168</v>
      </c>
      <c r="B169" s="15" t="s">
        <v>894</v>
      </c>
      <c r="C169" s="5" t="s">
        <v>820</v>
      </c>
      <c r="D169" s="5" t="s">
        <v>895</v>
      </c>
      <c r="E169" s="5" t="s">
        <v>896</v>
      </c>
      <c r="F169" s="5" t="s">
        <v>829</v>
      </c>
      <c r="G169" s="5" t="s">
        <v>897</v>
      </c>
      <c r="H169" s="5" t="s">
        <v>19</v>
      </c>
      <c r="I169" s="5" t="s">
        <v>45</v>
      </c>
      <c r="J169" s="5" t="s">
        <v>37</v>
      </c>
      <c r="K169" s="5" t="s">
        <v>30</v>
      </c>
      <c r="L169" s="5" t="s">
        <v>898</v>
      </c>
      <c r="M169" s="15" t="s">
        <v>214</v>
      </c>
    </row>
    <row r="170" spans="1:13">
      <c r="A170">
        <v>169</v>
      </c>
      <c r="B170" s="5" t="s">
        <v>899</v>
      </c>
      <c r="C170" s="5" t="s">
        <v>900</v>
      </c>
      <c r="D170" s="5" t="s">
        <v>901</v>
      </c>
      <c r="E170" s="5" t="s">
        <v>902</v>
      </c>
      <c r="F170" s="5" t="s">
        <v>903</v>
      </c>
      <c r="G170" s="5" t="s">
        <v>904</v>
      </c>
      <c r="H170" s="5" t="s">
        <v>19</v>
      </c>
      <c r="I170" s="5" t="s">
        <v>20</v>
      </c>
      <c r="J170" s="6" t="s">
        <v>21</v>
      </c>
      <c r="K170" s="7" t="s">
        <v>30</v>
      </c>
      <c r="L170" s="5" t="s">
        <v>31</v>
      </c>
      <c r="M170" s="8" t="s">
        <v>46</v>
      </c>
    </row>
    <row r="171" spans="1:13" ht="26.25" customHeight="1">
      <c r="A171">
        <v>170</v>
      </c>
      <c r="B171" s="2" t="s">
        <v>905</v>
      </c>
      <c r="C171" s="2" t="s">
        <v>900</v>
      </c>
      <c r="D171" s="2" t="s">
        <v>906</v>
      </c>
      <c r="E171" s="2" t="s">
        <v>907</v>
      </c>
      <c r="F171" s="2" t="s">
        <v>908</v>
      </c>
      <c r="G171" s="2" t="s">
        <v>909</v>
      </c>
      <c r="H171" s="2" t="s">
        <v>19</v>
      </c>
      <c r="I171" s="2" t="s">
        <v>20</v>
      </c>
      <c r="J171" s="3" t="s">
        <v>21</v>
      </c>
      <c r="K171" s="3" t="s">
        <v>22</v>
      </c>
      <c r="L171" s="2" t="s">
        <v>910</v>
      </c>
      <c r="M171" s="4" t="s">
        <v>46</v>
      </c>
    </row>
    <row r="172" spans="1:13">
      <c r="A172">
        <v>171</v>
      </c>
      <c r="B172" s="5" t="s">
        <v>911</v>
      </c>
      <c r="C172" s="5" t="s">
        <v>912</v>
      </c>
      <c r="D172" s="5" t="s">
        <v>913</v>
      </c>
      <c r="E172" s="5" t="s">
        <v>914</v>
      </c>
      <c r="F172" s="5" t="s">
        <v>915</v>
      </c>
      <c r="G172" s="5" t="s">
        <v>916</v>
      </c>
      <c r="H172" s="5" t="s">
        <v>52</v>
      </c>
      <c r="I172" s="5" t="s">
        <v>45</v>
      </c>
      <c r="J172" s="5" t="s">
        <v>37</v>
      </c>
      <c r="K172" s="7" t="s">
        <v>30</v>
      </c>
      <c r="L172" s="5" t="s">
        <v>31</v>
      </c>
      <c r="M172" s="8" t="s">
        <v>46</v>
      </c>
    </row>
  </sheetData>
  <autoFilter ref="A1:M1" xr:uid="{00000000-0009-0000-0000-000001000000}"/>
  <conditionalFormatting sqref="M2:M75">
    <cfRule type="expression" dxfId="12" priority="9">
      <formula>$M2="Advantedge only"</formula>
    </cfRule>
    <cfRule type="expression" dxfId="11" priority="10">
      <formula>$M2="Cross-Source only"</formula>
    </cfRule>
    <cfRule type="expression" dxfId="10" priority="11">
      <formula>$M2="Not found"</formula>
    </cfRule>
  </conditionalFormatting>
  <conditionalFormatting sqref="M2:M121">
    <cfRule type="expression" dxfId="9" priority="6">
      <formula>$M2="Both files"</formula>
    </cfRule>
  </conditionalFormatting>
  <conditionalFormatting sqref="M76:M121">
    <cfRule type="expression" dxfId="8" priority="7">
      <formula>$M76="Advantedge KPI Matrix v8"</formula>
    </cfRule>
    <cfRule type="expression" dxfId="7" priority="8">
      <formula>$M76="Cross-Source Benchmark 2025"</formula>
    </cfRule>
  </conditionalFormatting>
  <conditionalFormatting sqref="M122:M172">
    <cfRule type="expression" dxfId="6" priority="2">
      <formula>$M122="Advantedge Catalog v9"</formula>
    </cfRule>
    <cfRule type="expression" dxfId="5" priority="3">
      <formula>$M122="SOSH 2025"</formula>
    </cfRule>
    <cfRule type="expression" dxfId="4" priority="4">
      <formula>$M122="SBC v4"</formula>
    </cfRule>
    <cfRule type="expression" dxfId="3" priority="5">
      <formula>$M122="Advantedge v9 + SOSH 2025"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62"/>
  <sheetViews>
    <sheetView zoomScaleNormal="100" workbookViewId="0">
      <pane xSplit="2" ySplit="4" topLeftCell="C5" activePane="bottomRight" state="frozen"/>
      <selection pane="bottomRight" activeCell="J6" sqref="J6"/>
      <selection pane="bottomLeft" activeCell="A50" sqref="A50"/>
      <selection pane="topRight" activeCell="C1" sqref="C1"/>
    </sheetView>
  </sheetViews>
  <sheetFormatPr defaultColWidth="8.7109375" defaultRowHeight="14.45"/>
  <cols>
    <col min="1" max="1" width="11" customWidth="1"/>
    <col min="2" max="2" width="38" customWidth="1"/>
    <col min="3" max="3" width="52" customWidth="1"/>
    <col min="4" max="4" width="55" customWidth="1"/>
    <col min="5" max="6" width="12" customWidth="1"/>
    <col min="7" max="7" width="9" customWidth="1"/>
    <col min="8" max="8" width="50" customWidth="1"/>
    <col min="9" max="9" width="2" customWidth="1"/>
    <col min="10" max="34" width="5.42578125" customWidth="1"/>
  </cols>
  <sheetData>
    <row r="1" spans="1:34" ht="17.25" customHeight="1">
      <c r="A1" s="19" t="s">
        <v>917</v>
      </c>
    </row>
    <row r="2" spans="1:34" ht="45" customHeight="1">
      <c r="A2" s="40" t="s">
        <v>918</v>
      </c>
      <c r="B2" s="40"/>
      <c r="C2" s="40"/>
      <c r="D2" s="40"/>
      <c r="E2" s="40"/>
      <c r="F2" s="40"/>
      <c r="G2" s="40"/>
      <c r="H2" s="40"/>
    </row>
    <row r="4" spans="1:34" ht="31.5" customHeight="1">
      <c r="A4" s="20" t="s">
        <v>919</v>
      </c>
      <c r="B4" s="20" t="s">
        <v>920</v>
      </c>
      <c r="C4" s="20" t="s">
        <v>921</v>
      </c>
      <c r="D4" s="20" t="s">
        <v>922</v>
      </c>
      <c r="E4" s="20" t="s">
        <v>923</v>
      </c>
      <c r="F4" s="20" t="s">
        <v>924</v>
      </c>
      <c r="G4" s="20" t="s">
        <v>925</v>
      </c>
      <c r="H4" s="20" t="s">
        <v>926</v>
      </c>
      <c r="J4" s="41" t="s">
        <v>927</v>
      </c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</row>
    <row r="5" spans="1:34">
      <c r="A5" s="21" t="s">
        <v>928</v>
      </c>
      <c r="B5" s="22" t="s">
        <v>929</v>
      </c>
      <c r="C5" s="23" t="s">
        <v>930</v>
      </c>
      <c r="D5" s="23" t="str">
        <f t="array" ref="D5">_xlfn.TEXTJOIN(", ",TRUE(),IF(KPI_Element_Map!$E$2:$E$287=$A5,KPI_Element_Map!$A$2:$A$287,""))</f>
        <v>1, 2, 4, 22, 52, 81, 84, 87, 88, 89, 95, 98, 115, 144, 169</v>
      </c>
      <c r="E5" s="21">
        <f>COUNTIF(KPI_Element_Map!$E$2:$E$287,$A5)</f>
        <v>15</v>
      </c>
      <c r="F5" s="21">
        <f>COUNTIFS(KPI_Element_Map!$E$2:$E$287,$A5,KPI_Element_Map!$D$2:$D$287,"1 - Core")</f>
        <v>3</v>
      </c>
      <c r="G5" s="24" t="s">
        <v>931</v>
      </c>
      <c r="H5" s="23" t="str">
        <f>INDEX(Minimum_Documents!$B:$B,MATCH($G5,Minimum_Documents!$A:$A,0))</f>
        <v>Census &amp; ADT Register</v>
      </c>
      <c r="J5" s="25">
        <f t="array" ref="J5">IFERROR(HYPERLINK("#KPI_Master!A"&amp;MATCH(SMALL(IF(KPI_Element_Map!$E$2:$E$287=$A5,KPI_Element_Map!$A$2:$A$287),COLUMNS($J5:J5)),KPI_Master!$A:$A,0)&amp;":P"&amp;MATCH(SMALL(IF(KPI_Element_Map!$E$2:$E$287=$A5,KPI_Element_Map!$A$2:$A$287),COLUMNS($J5:J5)),KPI_Master!$A:$A,0),SMALL(IF(KPI_Element_Map!$E$2:$E$287=$A5,KPI_Element_Map!$A$2:$A$287),COLUMNS($J5:J5))),"")</f>
        <v>1</v>
      </c>
      <c r="K5" s="25">
        <f t="array" ref="K5">IFERROR(HYPERLINK("#KPI_Master!A"&amp;MATCH(SMALL(IF(KPI_Element_Map!$E$2:$E$287=$A5,KPI_Element_Map!$A$2:$A$287),COLUMNS($J5:K5)),KPI_Master!$A:$A,0)&amp;":P"&amp;MATCH(SMALL(IF(KPI_Element_Map!$E$2:$E$287=$A5,KPI_Element_Map!$A$2:$A$287),COLUMNS($J5:K5)),KPI_Master!$A:$A,0),SMALL(IF(KPI_Element_Map!$E$2:$E$287=$A5,KPI_Element_Map!$A$2:$A$287),COLUMNS($J5:K5))),"")</f>
        <v>2</v>
      </c>
      <c r="L5" s="25">
        <f t="array" ref="L5">IFERROR(HYPERLINK("#KPI_Master!A"&amp;MATCH(SMALL(IF(KPI_Element_Map!$E$2:$E$287=$A5,KPI_Element_Map!$A$2:$A$287),COLUMNS($J5:L5)),KPI_Master!$A:$A,0)&amp;":P"&amp;MATCH(SMALL(IF(KPI_Element_Map!$E$2:$E$287=$A5,KPI_Element_Map!$A$2:$A$287),COLUMNS($J5:L5)),KPI_Master!$A:$A,0),SMALL(IF(KPI_Element_Map!$E$2:$E$287=$A5,KPI_Element_Map!$A$2:$A$287),COLUMNS($J5:L5))),"")</f>
        <v>4</v>
      </c>
      <c r="M5" s="25">
        <f t="array" ref="M5">IFERROR(HYPERLINK("#KPI_Master!A"&amp;MATCH(SMALL(IF(KPI_Element_Map!$E$2:$E$287=$A5,KPI_Element_Map!$A$2:$A$287),COLUMNS($J5:M5)),KPI_Master!$A:$A,0)&amp;":P"&amp;MATCH(SMALL(IF(KPI_Element_Map!$E$2:$E$287=$A5,KPI_Element_Map!$A$2:$A$287),COLUMNS($J5:M5)),KPI_Master!$A:$A,0),SMALL(IF(KPI_Element_Map!$E$2:$E$287=$A5,KPI_Element_Map!$A$2:$A$287),COLUMNS($J5:M5))),"")</f>
        <v>22</v>
      </c>
      <c r="N5" s="25">
        <f t="array" ref="N5">IFERROR(HYPERLINK("#KPI_Master!A"&amp;MATCH(SMALL(IF(KPI_Element_Map!$E$2:$E$287=$A5,KPI_Element_Map!$A$2:$A$287),COLUMNS($J5:N5)),KPI_Master!$A:$A,0)&amp;":P"&amp;MATCH(SMALL(IF(KPI_Element_Map!$E$2:$E$287=$A5,KPI_Element_Map!$A$2:$A$287),COLUMNS($J5:N5)),KPI_Master!$A:$A,0),SMALL(IF(KPI_Element_Map!$E$2:$E$287=$A5,KPI_Element_Map!$A$2:$A$287),COLUMNS($J5:N5))),"")</f>
        <v>52</v>
      </c>
      <c r="O5" s="25">
        <f t="array" ref="O5">IFERROR(HYPERLINK("#KPI_Master!A"&amp;MATCH(SMALL(IF(KPI_Element_Map!$E$2:$E$287=$A5,KPI_Element_Map!$A$2:$A$287),COLUMNS($J5:O5)),KPI_Master!$A:$A,0)&amp;":P"&amp;MATCH(SMALL(IF(KPI_Element_Map!$E$2:$E$287=$A5,KPI_Element_Map!$A$2:$A$287),COLUMNS($J5:O5)),KPI_Master!$A:$A,0),SMALL(IF(KPI_Element_Map!$E$2:$E$287=$A5,KPI_Element_Map!$A$2:$A$287),COLUMNS($J5:O5))),"")</f>
        <v>81</v>
      </c>
      <c r="P5" s="25">
        <f t="array" ref="P5">IFERROR(HYPERLINK("#KPI_Master!A"&amp;MATCH(SMALL(IF(KPI_Element_Map!$E$2:$E$287=$A5,KPI_Element_Map!$A$2:$A$287),COLUMNS($J5:P5)),KPI_Master!$A:$A,0)&amp;":P"&amp;MATCH(SMALL(IF(KPI_Element_Map!$E$2:$E$287=$A5,KPI_Element_Map!$A$2:$A$287),COLUMNS($J5:P5)),KPI_Master!$A:$A,0),SMALL(IF(KPI_Element_Map!$E$2:$E$287=$A5,KPI_Element_Map!$A$2:$A$287),COLUMNS($J5:P5))),"")</f>
        <v>84</v>
      </c>
      <c r="Q5" s="25">
        <f t="array" ref="Q5">IFERROR(HYPERLINK("#KPI_Master!A"&amp;MATCH(SMALL(IF(KPI_Element_Map!$E$2:$E$287=$A5,KPI_Element_Map!$A$2:$A$287),COLUMNS($J5:Q5)),KPI_Master!$A:$A,0)&amp;":P"&amp;MATCH(SMALL(IF(KPI_Element_Map!$E$2:$E$287=$A5,KPI_Element_Map!$A$2:$A$287),COLUMNS($J5:Q5)),KPI_Master!$A:$A,0),SMALL(IF(KPI_Element_Map!$E$2:$E$287=$A5,KPI_Element_Map!$A$2:$A$287),COLUMNS($J5:Q5))),"")</f>
        <v>87</v>
      </c>
      <c r="R5" s="25">
        <f t="array" ref="R5">IFERROR(HYPERLINK("#KPI_Master!A"&amp;MATCH(SMALL(IF(KPI_Element_Map!$E$2:$E$287=$A5,KPI_Element_Map!$A$2:$A$287),COLUMNS($J5:R5)),KPI_Master!$A:$A,0)&amp;":P"&amp;MATCH(SMALL(IF(KPI_Element_Map!$E$2:$E$287=$A5,KPI_Element_Map!$A$2:$A$287),COLUMNS($J5:R5)),KPI_Master!$A:$A,0),SMALL(IF(KPI_Element_Map!$E$2:$E$287=$A5,KPI_Element_Map!$A$2:$A$287),COLUMNS($J5:R5))),"")</f>
        <v>88</v>
      </c>
      <c r="S5" s="25">
        <f t="array" ref="S5">IFERROR(HYPERLINK("#KPI_Master!A"&amp;MATCH(SMALL(IF(KPI_Element_Map!$E$2:$E$287=$A5,KPI_Element_Map!$A$2:$A$287),COLUMNS($J5:S5)),KPI_Master!$A:$A,0)&amp;":P"&amp;MATCH(SMALL(IF(KPI_Element_Map!$E$2:$E$287=$A5,KPI_Element_Map!$A$2:$A$287),COLUMNS($J5:S5)),KPI_Master!$A:$A,0),SMALL(IF(KPI_Element_Map!$E$2:$E$287=$A5,KPI_Element_Map!$A$2:$A$287),COLUMNS($J5:S5))),"")</f>
        <v>89</v>
      </c>
      <c r="T5" s="25">
        <f t="array" ref="T5">IFERROR(HYPERLINK("#KPI_Master!A"&amp;MATCH(SMALL(IF(KPI_Element_Map!$E$2:$E$287=$A5,KPI_Element_Map!$A$2:$A$287),COLUMNS($J5:T5)),KPI_Master!$A:$A,0)&amp;":P"&amp;MATCH(SMALL(IF(KPI_Element_Map!$E$2:$E$287=$A5,KPI_Element_Map!$A$2:$A$287),COLUMNS($J5:T5)),KPI_Master!$A:$A,0),SMALL(IF(KPI_Element_Map!$E$2:$E$287=$A5,KPI_Element_Map!$A$2:$A$287),COLUMNS($J5:T5))),"")</f>
        <v>95</v>
      </c>
      <c r="U5" s="25">
        <f t="array" ref="U5">IFERROR(HYPERLINK("#KPI_Master!A"&amp;MATCH(SMALL(IF(KPI_Element_Map!$E$2:$E$287=$A5,KPI_Element_Map!$A$2:$A$287),COLUMNS($J5:U5)),KPI_Master!$A:$A,0)&amp;":P"&amp;MATCH(SMALL(IF(KPI_Element_Map!$E$2:$E$287=$A5,KPI_Element_Map!$A$2:$A$287),COLUMNS($J5:U5)),KPI_Master!$A:$A,0),SMALL(IF(KPI_Element_Map!$E$2:$E$287=$A5,KPI_Element_Map!$A$2:$A$287),COLUMNS($J5:U5))),"")</f>
        <v>98</v>
      </c>
      <c r="V5" s="25">
        <f t="array" ref="V5">IFERROR(HYPERLINK("#KPI_Master!A"&amp;MATCH(SMALL(IF(KPI_Element_Map!$E$2:$E$287=$A5,KPI_Element_Map!$A$2:$A$287),COLUMNS($J5:V5)),KPI_Master!$A:$A,0)&amp;":P"&amp;MATCH(SMALL(IF(KPI_Element_Map!$E$2:$E$287=$A5,KPI_Element_Map!$A$2:$A$287),COLUMNS($J5:V5)),KPI_Master!$A:$A,0),SMALL(IF(KPI_Element_Map!$E$2:$E$287=$A5,KPI_Element_Map!$A$2:$A$287),COLUMNS($J5:V5))),"")</f>
        <v>115</v>
      </c>
      <c r="W5" s="25">
        <f t="array" ref="W5">IFERROR(HYPERLINK("#KPI_Master!A"&amp;MATCH(SMALL(IF(KPI_Element_Map!$E$2:$E$287=$A5,KPI_Element_Map!$A$2:$A$287),COLUMNS($J5:W5)),KPI_Master!$A:$A,0)&amp;":P"&amp;MATCH(SMALL(IF(KPI_Element_Map!$E$2:$E$287=$A5,KPI_Element_Map!$A$2:$A$287),COLUMNS($J5:W5)),KPI_Master!$A:$A,0),SMALL(IF(KPI_Element_Map!$E$2:$E$287=$A5,KPI_Element_Map!$A$2:$A$287),COLUMNS($J5:W5))),"")</f>
        <v>144</v>
      </c>
      <c r="X5" s="25">
        <f t="array" ref="X5">IFERROR(HYPERLINK("#KPI_Master!A"&amp;MATCH(SMALL(IF(KPI_Element_Map!$E$2:$E$287=$A5,KPI_Element_Map!$A$2:$A$287),COLUMNS($J5:X5)),KPI_Master!$A:$A,0)&amp;":P"&amp;MATCH(SMALL(IF(KPI_Element_Map!$E$2:$E$287=$A5,KPI_Element_Map!$A$2:$A$287),COLUMNS($J5:X5)),KPI_Master!$A:$A,0),SMALL(IF(KPI_Element_Map!$E$2:$E$287=$A5,KPI_Element_Map!$A$2:$A$287),COLUMNS($J5:X5))),"")</f>
        <v>169</v>
      </c>
      <c r="Y5" s="25" t="str">
        <f t="array" ref="Y5">IFERROR(HYPERLINK("#KPI_Master!A"&amp;MATCH(SMALL(IF(KPI_Element_Map!$E$2:$E$287=$A5,KPI_Element_Map!$A$2:$A$287),COLUMNS($J5:Y5)),KPI_Master!$A:$A,0)&amp;":P"&amp;MATCH(SMALL(IF(KPI_Element_Map!$E$2:$E$287=$A5,KPI_Element_Map!$A$2:$A$287),COLUMNS($J5:Y5)),KPI_Master!$A:$A,0),SMALL(IF(KPI_Element_Map!$E$2:$E$287=$A5,KPI_Element_Map!$A$2:$A$287),COLUMNS($J5:Y5))),"")</f>
        <v/>
      </c>
      <c r="Z5" s="25" t="str">
        <f t="array" ref="Z5">IFERROR(HYPERLINK("#KPI_Master!A"&amp;MATCH(SMALL(IF(KPI_Element_Map!$E$2:$E$287=$A5,KPI_Element_Map!$A$2:$A$287),COLUMNS($J5:Z5)),KPI_Master!$A:$A,0)&amp;":P"&amp;MATCH(SMALL(IF(KPI_Element_Map!$E$2:$E$287=$A5,KPI_Element_Map!$A$2:$A$287),COLUMNS($J5:Z5)),KPI_Master!$A:$A,0),SMALL(IF(KPI_Element_Map!$E$2:$E$287=$A5,KPI_Element_Map!$A$2:$A$287),COLUMNS($J5:Z5))),"")</f>
        <v/>
      </c>
      <c r="AA5" s="25" t="str">
        <f t="array" ref="AA5">IFERROR(HYPERLINK("#KPI_Master!A"&amp;MATCH(SMALL(IF(KPI_Element_Map!$E$2:$E$287=$A5,KPI_Element_Map!$A$2:$A$287),COLUMNS($J5:AA5)),KPI_Master!$A:$A,0)&amp;":P"&amp;MATCH(SMALL(IF(KPI_Element_Map!$E$2:$E$287=$A5,KPI_Element_Map!$A$2:$A$287),COLUMNS($J5:AA5)),KPI_Master!$A:$A,0),SMALL(IF(KPI_Element_Map!$E$2:$E$287=$A5,KPI_Element_Map!$A$2:$A$287),COLUMNS($J5:AA5))),"")</f>
        <v/>
      </c>
      <c r="AB5" s="25" t="str">
        <f t="array" ref="AB5">IFERROR(HYPERLINK("#KPI_Master!A"&amp;MATCH(SMALL(IF(KPI_Element_Map!$E$2:$E$287=$A5,KPI_Element_Map!$A$2:$A$287),COLUMNS($J5:AB5)),KPI_Master!$A:$A,0)&amp;":P"&amp;MATCH(SMALL(IF(KPI_Element_Map!$E$2:$E$287=$A5,KPI_Element_Map!$A$2:$A$287),COLUMNS($J5:AB5)),KPI_Master!$A:$A,0),SMALL(IF(KPI_Element_Map!$E$2:$E$287=$A5,KPI_Element_Map!$A$2:$A$287),COLUMNS($J5:AB5))),"")</f>
        <v/>
      </c>
      <c r="AC5" s="25" t="str">
        <f t="array" ref="AC5">IFERROR(HYPERLINK("#KPI_Master!A"&amp;MATCH(SMALL(IF(KPI_Element_Map!$E$2:$E$287=$A5,KPI_Element_Map!$A$2:$A$287),COLUMNS($J5:AC5)),KPI_Master!$A:$A,0)&amp;":P"&amp;MATCH(SMALL(IF(KPI_Element_Map!$E$2:$E$287=$A5,KPI_Element_Map!$A$2:$A$287),COLUMNS($J5:AC5)),KPI_Master!$A:$A,0),SMALL(IF(KPI_Element_Map!$E$2:$E$287=$A5,KPI_Element_Map!$A$2:$A$287),COLUMNS($J5:AC5))),"")</f>
        <v/>
      </c>
      <c r="AD5" s="25" t="str">
        <f t="array" ref="AD5">IFERROR(HYPERLINK("#KPI_Master!A"&amp;MATCH(SMALL(IF(KPI_Element_Map!$E$2:$E$287=$A5,KPI_Element_Map!$A$2:$A$287),COLUMNS($J5:AD5)),KPI_Master!$A:$A,0)&amp;":P"&amp;MATCH(SMALL(IF(KPI_Element_Map!$E$2:$E$287=$A5,KPI_Element_Map!$A$2:$A$287),COLUMNS($J5:AD5)),KPI_Master!$A:$A,0),SMALL(IF(KPI_Element_Map!$E$2:$E$287=$A5,KPI_Element_Map!$A$2:$A$287),COLUMNS($J5:AD5))),"")</f>
        <v/>
      </c>
      <c r="AE5" s="25" t="str">
        <f t="array" ref="AE5">IFERROR(HYPERLINK("#KPI_Master!A"&amp;MATCH(SMALL(IF(KPI_Element_Map!$E$2:$E$287=$A5,KPI_Element_Map!$A$2:$A$287),COLUMNS($J5:AE5)),KPI_Master!$A:$A,0)&amp;":P"&amp;MATCH(SMALL(IF(KPI_Element_Map!$E$2:$E$287=$A5,KPI_Element_Map!$A$2:$A$287),COLUMNS($J5:AE5)),KPI_Master!$A:$A,0),SMALL(IF(KPI_Element_Map!$E$2:$E$287=$A5,KPI_Element_Map!$A$2:$A$287),COLUMNS($J5:AE5))),"")</f>
        <v/>
      </c>
      <c r="AF5" s="25" t="str">
        <f t="array" ref="AF5">IFERROR(HYPERLINK("#KPI_Master!A"&amp;MATCH(SMALL(IF(KPI_Element_Map!$E$2:$E$287=$A5,KPI_Element_Map!$A$2:$A$287),COLUMNS($J5:AF5)),KPI_Master!$A:$A,0)&amp;":P"&amp;MATCH(SMALL(IF(KPI_Element_Map!$E$2:$E$287=$A5,KPI_Element_Map!$A$2:$A$287),COLUMNS($J5:AF5)),KPI_Master!$A:$A,0),SMALL(IF(KPI_Element_Map!$E$2:$E$287=$A5,KPI_Element_Map!$A$2:$A$287),COLUMNS($J5:AF5))),"")</f>
        <v/>
      </c>
      <c r="AG5" s="25" t="str">
        <f t="array" ref="AG5">IFERROR(HYPERLINK("#KPI_Master!A"&amp;MATCH(SMALL(IF(KPI_Element_Map!$E$2:$E$287=$A5,KPI_Element_Map!$A$2:$A$287),COLUMNS($J5:AG5)),KPI_Master!$A:$A,0)&amp;":P"&amp;MATCH(SMALL(IF(KPI_Element_Map!$E$2:$E$287=$A5,KPI_Element_Map!$A$2:$A$287),COLUMNS($J5:AG5)),KPI_Master!$A:$A,0),SMALL(IF(KPI_Element_Map!$E$2:$E$287=$A5,KPI_Element_Map!$A$2:$A$287),COLUMNS($J5:AG5))),"")</f>
        <v/>
      </c>
      <c r="AH5" s="25" t="str">
        <f t="array" ref="AH5">IFERROR(HYPERLINK("#KPI_Master!A"&amp;MATCH(SMALL(IF(KPI_Element_Map!$E$2:$E$287=$A5,KPI_Element_Map!$A$2:$A$287),COLUMNS($J5:AH5)),KPI_Master!$A:$A,0)&amp;":P"&amp;MATCH(SMALL(IF(KPI_Element_Map!$E$2:$E$287=$A5,KPI_Element_Map!$A$2:$A$287),COLUMNS($J5:AH5)),KPI_Master!$A:$A,0),SMALL(IF(KPI_Element_Map!$E$2:$E$287=$A5,KPI_Element_Map!$A$2:$A$287),COLUMNS($J5:AH5))),"")</f>
        <v/>
      </c>
    </row>
    <row r="6" spans="1:34" ht="28.5" customHeight="1">
      <c r="A6" s="21" t="s">
        <v>932</v>
      </c>
      <c r="B6" s="22" t="s">
        <v>933</v>
      </c>
      <c r="C6" s="23" t="s">
        <v>934</v>
      </c>
      <c r="D6" s="23" t="str">
        <f t="array" ref="D6">_xlfn.TEXTJOIN(", ",TRUE(),IF(KPI_Element_Map!$E$2:$E$287=$A6,KPI_Element_Map!$A$2:$A$287,""))</f>
        <v>12, 13, 24, 25, 78, 113, 153, 159, 160</v>
      </c>
      <c r="E6" s="21">
        <f>COUNTIF(KPI_Element_Map!$E$2:$E$287,$A6)</f>
        <v>9</v>
      </c>
      <c r="F6" s="21">
        <f>COUNTIFS(KPI_Element_Map!$E$2:$E$287,$A6,KPI_Element_Map!$D$2:$D$287,"1 - Core")</f>
        <v>3</v>
      </c>
      <c r="G6" s="24" t="s">
        <v>931</v>
      </c>
      <c r="H6" s="23" t="str">
        <f>INDEX(Minimum_Documents!$B:$B,MATCH($G6,Minimum_Documents!$A:$A,0))</f>
        <v>Census &amp; ADT Register</v>
      </c>
      <c r="J6" s="25">
        <f t="array" ref="J6">IFERROR(HYPERLINK("#KPI_Master!A"&amp;MATCH(SMALL(IF(KPI_Element_Map!$E$2:$E$287=$A6,KPI_Element_Map!$A$2:$A$287),COLUMNS($J6:J6)),KPI_Master!$A:$A,0)&amp;":P"&amp;MATCH(SMALL(IF(KPI_Element_Map!$E$2:$E$287=$A6,KPI_Element_Map!$A$2:$A$287),COLUMNS($J6:J6)),KPI_Master!$A:$A,0),SMALL(IF(KPI_Element_Map!$E$2:$E$287=$A6,KPI_Element_Map!$A$2:$A$287),COLUMNS($J6:J6))),"")</f>
        <v>12</v>
      </c>
      <c r="K6" s="25">
        <f t="array" ref="K6">IFERROR(HYPERLINK("#KPI_Master!A"&amp;MATCH(SMALL(IF(KPI_Element_Map!$E$2:$E$287=$A6,KPI_Element_Map!$A$2:$A$287),COLUMNS($J6:K6)),KPI_Master!$A:$A,0)&amp;":P"&amp;MATCH(SMALL(IF(KPI_Element_Map!$E$2:$E$287=$A6,KPI_Element_Map!$A$2:$A$287),COLUMNS($J6:K6)),KPI_Master!$A:$A,0),SMALL(IF(KPI_Element_Map!$E$2:$E$287=$A6,KPI_Element_Map!$A$2:$A$287),COLUMNS($J6:K6))),"")</f>
        <v>13</v>
      </c>
      <c r="L6" s="25">
        <f t="array" ref="L6">IFERROR(HYPERLINK("#KPI_Master!A"&amp;MATCH(SMALL(IF(KPI_Element_Map!$E$2:$E$287=$A6,KPI_Element_Map!$A$2:$A$287),COLUMNS($J6:L6)),KPI_Master!$A:$A,0)&amp;":P"&amp;MATCH(SMALL(IF(KPI_Element_Map!$E$2:$E$287=$A6,KPI_Element_Map!$A$2:$A$287),COLUMNS($J6:L6)),KPI_Master!$A:$A,0),SMALL(IF(KPI_Element_Map!$E$2:$E$287=$A6,KPI_Element_Map!$A$2:$A$287),COLUMNS($J6:L6))),"")</f>
        <v>24</v>
      </c>
      <c r="M6" s="25">
        <f t="array" ref="M6">IFERROR(HYPERLINK("#KPI_Master!A"&amp;MATCH(SMALL(IF(KPI_Element_Map!$E$2:$E$287=$A6,KPI_Element_Map!$A$2:$A$287),COLUMNS($J6:M6)),KPI_Master!$A:$A,0)&amp;":P"&amp;MATCH(SMALL(IF(KPI_Element_Map!$E$2:$E$287=$A6,KPI_Element_Map!$A$2:$A$287),COLUMNS($J6:M6)),KPI_Master!$A:$A,0),SMALL(IF(KPI_Element_Map!$E$2:$E$287=$A6,KPI_Element_Map!$A$2:$A$287),COLUMNS($J6:M6))),"")</f>
        <v>25</v>
      </c>
      <c r="N6" s="25">
        <f t="array" ref="N6">IFERROR(HYPERLINK("#KPI_Master!A"&amp;MATCH(SMALL(IF(KPI_Element_Map!$E$2:$E$287=$A6,KPI_Element_Map!$A$2:$A$287),COLUMNS($J6:N6)),KPI_Master!$A:$A,0)&amp;":P"&amp;MATCH(SMALL(IF(KPI_Element_Map!$E$2:$E$287=$A6,KPI_Element_Map!$A$2:$A$287),COLUMNS($J6:N6)),KPI_Master!$A:$A,0),SMALL(IF(KPI_Element_Map!$E$2:$E$287=$A6,KPI_Element_Map!$A$2:$A$287),COLUMNS($J6:N6))),"")</f>
        <v>78</v>
      </c>
      <c r="O6" s="25">
        <f t="array" ref="O6">IFERROR(HYPERLINK("#KPI_Master!A"&amp;MATCH(SMALL(IF(KPI_Element_Map!$E$2:$E$287=$A6,KPI_Element_Map!$A$2:$A$287),COLUMNS($J6:O6)),KPI_Master!$A:$A,0)&amp;":P"&amp;MATCH(SMALL(IF(KPI_Element_Map!$E$2:$E$287=$A6,KPI_Element_Map!$A$2:$A$287),COLUMNS($J6:O6)),KPI_Master!$A:$A,0),SMALL(IF(KPI_Element_Map!$E$2:$E$287=$A6,KPI_Element_Map!$A$2:$A$287),COLUMNS($J6:O6))),"")</f>
        <v>113</v>
      </c>
      <c r="P6" s="25">
        <f t="array" ref="P6">IFERROR(HYPERLINK("#KPI_Master!A"&amp;MATCH(SMALL(IF(KPI_Element_Map!$E$2:$E$287=$A6,KPI_Element_Map!$A$2:$A$287),COLUMNS($J6:P6)),KPI_Master!$A:$A,0)&amp;":P"&amp;MATCH(SMALL(IF(KPI_Element_Map!$E$2:$E$287=$A6,KPI_Element_Map!$A$2:$A$287),COLUMNS($J6:P6)),KPI_Master!$A:$A,0),SMALL(IF(KPI_Element_Map!$E$2:$E$287=$A6,KPI_Element_Map!$A$2:$A$287),COLUMNS($J6:P6))),"")</f>
        <v>153</v>
      </c>
      <c r="Q6" s="25">
        <f t="array" ref="Q6">IFERROR(HYPERLINK("#KPI_Master!A"&amp;MATCH(SMALL(IF(KPI_Element_Map!$E$2:$E$287=$A6,KPI_Element_Map!$A$2:$A$287),COLUMNS($J6:Q6)),KPI_Master!$A:$A,0)&amp;":P"&amp;MATCH(SMALL(IF(KPI_Element_Map!$E$2:$E$287=$A6,KPI_Element_Map!$A$2:$A$287),COLUMNS($J6:Q6)),KPI_Master!$A:$A,0),SMALL(IF(KPI_Element_Map!$E$2:$E$287=$A6,KPI_Element_Map!$A$2:$A$287),COLUMNS($J6:Q6))),"")</f>
        <v>159</v>
      </c>
      <c r="R6" s="25">
        <f t="array" ref="R6">IFERROR(HYPERLINK("#KPI_Master!A"&amp;MATCH(SMALL(IF(KPI_Element_Map!$E$2:$E$287=$A6,KPI_Element_Map!$A$2:$A$287),COLUMNS($J6:R6)),KPI_Master!$A:$A,0)&amp;":P"&amp;MATCH(SMALL(IF(KPI_Element_Map!$E$2:$E$287=$A6,KPI_Element_Map!$A$2:$A$287),COLUMNS($J6:R6)),KPI_Master!$A:$A,0),SMALL(IF(KPI_Element_Map!$E$2:$E$287=$A6,KPI_Element_Map!$A$2:$A$287),COLUMNS($J6:R6))),"")</f>
        <v>160</v>
      </c>
      <c r="S6" s="25" t="str">
        <f t="array" ref="S6">IFERROR(HYPERLINK("#KPI_Master!A"&amp;MATCH(SMALL(IF(KPI_Element_Map!$E$2:$E$287=$A6,KPI_Element_Map!$A$2:$A$287),COLUMNS($J6:S6)),KPI_Master!$A:$A,0)&amp;":P"&amp;MATCH(SMALL(IF(KPI_Element_Map!$E$2:$E$287=$A6,KPI_Element_Map!$A$2:$A$287),COLUMNS($J6:S6)),KPI_Master!$A:$A,0),SMALL(IF(KPI_Element_Map!$E$2:$E$287=$A6,KPI_Element_Map!$A$2:$A$287),COLUMNS($J6:S6))),"")</f>
        <v/>
      </c>
      <c r="T6" s="25" t="str">
        <f t="array" ref="T6">IFERROR(HYPERLINK("#KPI_Master!A"&amp;MATCH(SMALL(IF(KPI_Element_Map!$E$2:$E$287=$A6,KPI_Element_Map!$A$2:$A$287),COLUMNS($J6:T6)),KPI_Master!$A:$A,0)&amp;":P"&amp;MATCH(SMALL(IF(KPI_Element_Map!$E$2:$E$287=$A6,KPI_Element_Map!$A$2:$A$287),COLUMNS($J6:T6)),KPI_Master!$A:$A,0),SMALL(IF(KPI_Element_Map!$E$2:$E$287=$A6,KPI_Element_Map!$A$2:$A$287),COLUMNS($J6:T6))),"")</f>
        <v/>
      </c>
      <c r="U6" s="25" t="str">
        <f t="array" ref="U6">IFERROR(HYPERLINK("#KPI_Master!A"&amp;MATCH(SMALL(IF(KPI_Element_Map!$E$2:$E$287=$A6,KPI_Element_Map!$A$2:$A$287),COLUMNS($J6:U6)),KPI_Master!$A:$A,0)&amp;":P"&amp;MATCH(SMALL(IF(KPI_Element_Map!$E$2:$E$287=$A6,KPI_Element_Map!$A$2:$A$287),COLUMNS($J6:U6)),KPI_Master!$A:$A,0),SMALL(IF(KPI_Element_Map!$E$2:$E$287=$A6,KPI_Element_Map!$A$2:$A$287),COLUMNS($J6:U6))),"")</f>
        <v/>
      </c>
      <c r="V6" s="25" t="str">
        <f t="array" ref="V6">IFERROR(HYPERLINK("#KPI_Master!A"&amp;MATCH(SMALL(IF(KPI_Element_Map!$E$2:$E$287=$A6,KPI_Element_Map!$A$2:$A$287),COLUMNS($J6:V6)),KPI_Master!$A:$A,0)&amp;":P"&amp;MATCH(SMALL(IF(KPI_Element_Map!$E$2:$E$287=$A6,KPI_Element_Map!$A$2:$A$287),COLUMNS($J6:V6)),KPI_Master!$A:$A,0),SMALL(IF(KPI_Element_Map!$E$2:$E$287=$A6,KPI_Element_Map!$A$2:$A$287),COLUMNS($J6:V6))),"")</f>
        <v/>
      </c>
      <c r="W6" s="25" t="str">
        <f t="array" ref="W6">IFERROR(HYPERLINK("#KPI_Master!A"&amp;MATCH(SMALL(IF(KPI_Element_Map!$E$2:$E$287=$A6,KPI_Element_Map!$A$2:$A$287),COLUMNS($J6:W6)),KPI_Master!$A:$A,0)&amp;":P"&amp;MATCH(SMALL(IF(KPI_Element_Map!$E$2:$E$287=$A6,KPI_Element_Map!$A$2:$A$287),COLUMNS($J6:W6)),KPI_Master!$A:$A,0),SMALL(IF(KPI_Element_Map!$E$2:$E$287=$A6,KPI_Element_Map!$A$2:$A$287),COLUMNS($J6:W6))),"")</f>
        <v/>
      </c>
      <c r="X6" s="25" t="str">
        <f t="array" ref="X6">IFERROR(HYPERLINK("#KPI_Master!A"&amp;MATCH(SMALL(IF(KPI_Element_Map!$E$2:$E$287=$A6,KPI_Element_Map!$A$2:$A$287),COLUMNS($J6:X6)),KPI_Master!$A:$A,0)&amp;":P"&amp;MATCH(SMALL(IF(KPI_Element_Map!$E$2:$E$287=$A6,KPI_Element_Map!$A$2:$A$287),COLUMNS($J6:X6)),KPI_Master!$A:$A,0),SMALL(IF(KPI_Element_Map!$E$2:$E$287=$A6,KPI_Element_Map!$A$2:$A$287),COLUMNS($J6:X6))),"")</f>
        <v/>
      </c>
      <c r="Y6" s="25" t="str">
        <f t="array" ref="Y6">IFERROR(HYPERLINK("#KPI_Master!A"&amp;MATCH(SMALL(IF(KPI_Element_Map!$E$2:$E$287=$A6,KPI_Element_Map!$A$2:$A$287),COLUMNS($J6:Y6)),KPI_Master!$A:$A,0)&amp;":P"&amp;MATCH(SMALL(IF(KPI_Element_Map!$E$2:$E$287=$A6,KPI_Element_Map!$A$2:$A$287),COLUMNS($J6:Y6)),KPI_Master!$A:$A,0),SMALL(IF(KPI_Element_Map!$E$2:$E$287=$A6,KPI_Element_Map!$A$2:$A$287),COLUMNS($J6:Y6))),"")</f>
        <v/>
      </c>
      <c r="Z6" s="25" t="str">
        <f t="array" ref="Z6">IFERROR(HYPERLINK("#KPI_Master!A"&amp;MATCH(SMALL(IF(KPI_Element_Map!$E$2:$E$287=$A6,KPI_Element_Map!$A$2:$A$287),COLUMNS($J6:Z6)),KPI_Master!$A:$A,0)&amp;":P"&amp;MATCH(SMALL(IF(KPI_Element_Map!$E$2:$E$287=$A6,KPI_Element_Map!$A$2:$A$287),COLUMNS($J6:Z6)),KPI_Master!$A:$A,0),SMALL(IF(KPI_Element_Map!$E$2:$E$287=$A6,KPI_Element_Map!$A$2:$A$287),COLUMNS($J6:Z6))),"")</f>
        <v/>
      </c>
      <c r="AA6" s="25" t="str">
        <f t="array" ref="AA6">IFERROR(HYPERLINK("#KPI_Master!A"&amp;MATCH(SMALL(IF(KPI_Element_Map!$E$2:$E$287=$A6,KPI_Element_Map!$A$2:$A$287),COLUMNS($J6:AA6)),KPI_Master!$A:$A,0)&amp;":P"&amp;MATCH(SMALL(IF(KPI_Element_Map!$E$2:$E$287=$A6,KPI_Element_Map!$A$2:$A$287),COLUMNS($J6:AA6)),KPI_Master!$A:$A,0),SMALL(IF(KPI_Element_Map!$E$2:$E$287=$A6,KPI_Element_Map!$A$2:$A$287),COLUMNS($J6:AA6))),"")</f>
        <v/>
      </c>
      <c r="AB6" s="25" t="str">
        <f t="array" ref="AB6">IFERROR(HYPERLINK("#KPI_Master!A"&amp;MATCH(SMALL(IF(KPI_Element_Map!$E$2:$E$287=$A6,KPI_Element_Map!$A$2:$A$287),COLUMNS($J6:AB6)),KPI_Master!$A:$A,0)&amp;":P"&amp;MATCH(SMALL(IF(KPI_Element_Map!$E$2:$E$287=$A6,KPI_Element_Map!$A$2:$A$287),COLUMNS($J6:AB6)),KPI_Master!$A:$A,0),SMALL(IF(KPI_Element_Map!$E$2:$E$287=$A6,KPI_Element_Map!$A$2:$A$287),COLUMNS($J6:AB6))),"")</f>
        <v/>
      </c>
      <c r="AC6" s="25" t="str">
        <f t="array" ref="AC6">IFERROR(HYPERLINK("#KPI_Master!A"&amp;MATCH(SMALL(IF(KPI_Element_Map!$E$2:$E$287=$A6,KPI_Element_Map!$A$2:$A$287),COLUMNS($J6:AC6)),KPI_Master!$A:$A,0)&amp;":P"&amp;MATCH(SMALL(IF(KPI_Element_Map!$E$2:$E$287=$A6,KPI_Element_Map!$A$2:$A$287),COLUMNS($J6:AC6)),KPI_Master!$A:$A,0),SMALL(IF(KPI_Element_Map!$E$2:$E$287=$A6,KPI_Element_Map!$A$2:$A$287),COLUMNS($J6:AC6))),"")</f>
        <v/>
      </c>
      <c r="AD6" s="25" t="str">
        <f t="array" ref="AD6">IFERROR(HYPERLINK("#KPI_Master!A"&amp;MATCH(SMALL(IF(KPI_Element_Map!$E$2:$E$287=$A6,KPI_Element_Map!$A$2:$A$287),COLUMNS($J6:AD6)),KPI_Master!$A:$A,0)&amp;":P"&amp;MATCH(SMALL(IF(KPI_Element_Map!$E$2:$E$287=$A6,KPI_Element_Map!$A$2:$A$287),COLUMNS($J6:AD6)),KPI_Master!$A:$A,0),SMALL(IF(KPI_Element_Map!$E$2:$E$287=$A6,KPI_Element_Map!$A$2:$A$287),COLUMNS($J6:AD6))),"")</f>
        <v/>
      </c>
      <c r="AE6" s="25" t="str">
        <f t="array" ref="AE6">IFERROR(HYPERLINK("#KPI_Master!A"&amp;MATCH(SMALL(IF(KPI_Element_Map!$E$2:$E$287=$A6,KPI_Element_Map!$A$2:$A$287),COLUMNS($J6:AE6)),KPI_Master!$A:$A,0)&amp;":P"&amp;MATCH(SMALL(IF(KPI_Element_Map!$E$2:$E$287=$A6,KPI_Element_Map!$A$2:$A$287),COLUMNS($J6:AE6)),KPI_Master!$A:$A,0),SMALL(IF(KPI_Element_Map!$E$2:$E$287=$A6,KPI_Element_Map!$A$2:$A$287),COLUMNS($J6:AE6))),"")</f>
        <v/>
      </c>
      <c r="AF6" s="25" t="str">
        <f t="array" ref="AF6">IFERROR(HYPERLINK("#KPI_Master!A"&amp;MATCH(SMALL(IF(KPI_Element_Map!$E$2:$E$287=$A6,KPI_Element_Map!$A$2:$A$287),COLUMNS($J6:AF6)),KPI_Master!$A:$A,0)&amp;":P"&amp;MATCH(SMALL(IF(KPI_Element_Map!$E$2:$E$287=$A6,KPI_Element_Map!$A$2:$A$287),COLUMNS($J6:AF6)),KPI_Master!$A:$A,0),SMALL(IF(KPI_Element_Map!$E$2:$E$287=$A6,KPI_Element_Map!$A$2:$A$287),COLUMNS($J6:AF6))),"")</f>
        <v/>
      </c>
      <c r="AG6" s="25" t="str">
        <f t="array" ref="AG6">IFERROR(HYPERLINK("#KPI_Master!A"&amp;MATCH(SMALL(IF(KPI_Element_Map!$E$2:$E$287=$A6,KPI_Element_Map!$A$2:$A$287),COLUMNS($J6:AG6)),KPI_Master!$A:$A,0)&amp;":P"&amp;MATCH(SMALL(IF(KPI_Element_Map!$E$2:$E$287=$A6,KPI_Element_Map!$A$2:$A$287),COLUMNS($J6:AG6)),KPI_Master!$A:$A,0),SMALL(IF(KPI_Element_Map!$E$2:$E$287=$A6,KPI_Element_Map!$A$2:$A$287),COLUMNS($J6:AG6))),"")</f>
        <v/>
      </c>
      <c r="AH6" s="25" t="str">
        <f t="array" ref="AH6">IFERROR(HYPERLINK("#KPI_Master!A"&amp;MATCH(SMALL(IF(KPI_Element_Map!$E$2:$E$287=$A6,KPI_Element_Map!$A$2:$A$287),COLUMNS($J6:AH6)),KPI_Master!$A:$A,0)&amp;":P"&amp;MATCH(SMALL(IF(KPI_Element_Map!$E$2:$E$287=$A6,KPI_Element_Map!$A$2:$A$287),COLUMNS($J6:AH6)),KPI_Master!$A:$A,0),SMALL(IF(KPI_Element_Map!$E$2:$E$287=$A6,KPI_Element_Map!$A$2:$A$287),COLUMNS($J6:AH6))),"")</f>
        <v/>
      </c>
    </row>
    <row r="7" spans="1:34">
      <c r="A7" s="21" t="s">
        <v>935</v>
      </c>
      <c r="B7" s="22" t="s">
        <v>936</v>
      </c>
      <c r="C7" s="23" t="s">
        <v>937</v>
      </c>
      <c r="D7" s="23" t="str">
        <f t="array" ref="D7">_xlfn.TEXTJOIN(", ",TRUE(),IF(KPI_Element_Map!$E$2:$E$287=$A7,KPI_Element_Map!$A$2:$A$287,""))</f>
        <v>74, 75, 91, 94, 97, 110</v>
      </c>
      <c r="E7" s="21">
        <f>COUNTIF(KPI_Element_Map!$E$2:$E$287,$A7)</f>
        <v>6</v>
      </c>
      <c r="F7" s="21">
        <f>COUNTIFS(KPI_Element_Map!$E$2:$E$287,$A7,KPI_Element_Map!$D$2:$D$287,"1 - Core")</f>
        <v>1</v>
      </c>
      <c r="G7" s="24" t="s">
        <v>931</v>
      </c>
      <c r="H7" s="23" t="str">
        <f>INDEX(Minimum_Documents!$B:$B,MATCH($G7,Minimum_Documents!$A:$A,0))</f>
        <v>Census &amp; ADT Register</v>
      </c>
      <c r="J7" s="25">
        <f t="array" ref="J7">IFERROR(HYPERLINK("#KPI_Master!A"&amp;MATCH(SMALL(IF(KPI_Element_Map!$E$2:$E$287=$A7,KPI_Element_Map!$A$2:$A$287),COLUMNS($J7:J7)),KPI_Master!$A:$A,0)&amp;":P"&amp;MATCH(SMALL(IF(KPI_Element_Map!$E$2:$E$287=$A7,KPI_Element_Map!$A$2:$A$287),COLUMNS($J7:J7)),KPI_Master!$A:$A,0),SMALL(IF(KPI_Element_Map!$E$2:$E$287=$A7,KPI_Element_Map!$A$2:$A$287),COLUMNS($J7:J7))),"")</f>
        <v>74</v>
      </c>
      <c r="K7" s="25">
        <f t="array" ref="K7">IFERROR(HYPERLINK("#KPI_Master!A"&amp;MATCH(SMALL(IF(KPI_Element_Map!$E$2:$E$287=$A7,KPI_Element_Map!$A$2:$A$287),COLUMNS($J7:K7)),KPI_Master!$A:$A,0)&amp;":P"&amp;MATCH(SMALL(IF(KPI_Element_Map!$E$2:$E$287=$A7,KPI_Element_Map!$A$2:$A$287),COLUMNS($J7:K7)),KPI_Master!$A:$A,0),SMALL(IF(KPI_Element_Map!$E$2:$E$287=$A7,KPI_Element_Map!$A$2:$A$287),COLUMNS($J7:K7))),"")</f>
        <v>75</v>
      </c>
      <c r="L7" s="25">
        <f t="array" ref="L7">IFERROR(HYPERLINK("#KPI_Master!A"&amp;MATCH(SMALL(IF(KPI_Element_Map!$E$2:$E$287=$A7,KPI_Element_Map!$A$2:$A$287),COLUMNS($J7:L7)),KPI_Master!$A:$A,0)&amp;":P"&amp;MATCH(SMALL(IF(KPI_Element_Map!$E$2:$E$287=$A7,KPI_Element_Map!$A$2:$A$287),COLUMNS($J7:L7)),KPI_Master!$A:$A,0),SMALL(IF(KPI_Element_Map!$E$2:$E$287=$A7,KPI_Element_Map!$A$2:$A$287),COLUMNS($J7:L7))),"")</f>
        <v>91</v>
      </c>
      <c r="M7" s="25">
        <f t="array" ref="M7">IFERROR(HYPERLINK("#KPI_Master!A"&amp;MATCH(SMALL(IF(KPI_Element_Map!$E$2:$E$287=$A7,KPI_Element_Map!$A$2:$A$287),COLUMNS($J7:M7)),KPI_Master!$A:$A,0)&amp;":P"&amp;MATCH(SMALL(IF(KPI_Element_Map!$E$2:$E$287=$A7,KPI_Element_Map!$A$2:$A$287),COLUMNS($J7:M7)),KPI_Master!$A:$A,0),SMALL(IF(KPI_Element_Map!$E$2:$E$287=$A7,KPI_Element_Map!$A$2:$A$287),COLUMNS($J7:M7))),"")</f>
        <v>94</v>
      </c>
      <c r="N7" s="25">
        <f t="array" ref="N7">IFERROR(HYPERLINK("#KPI_Master!A"&amp;MATCH(SMALL(IF(KPI_Element_Map!$E$2:$E$287=$A7,KPI_Element_Map!$A$2:$A$287),COLUMNS($J7:N7)),KPI_Master!$A:$A,0)&amp;":P"&amp;MATCH(SMALL(IF(KPI_Element_Map!$E$2:$E$287=$A7,KPI_Element_Map!$A$2:$A$287),COLUMNS($J7:N7)),KPI_Master!$A:$A,0),SMALL(IF(KPI_Element_Map!$E$2:$E$287=$A7,KPI_Element_Map!$A$2:$A$287),COLUMNS($J7:N7))),"")</f>
        <v>97</v>
      </c>
      <c r="O7" s="25">
        <f t="array" ref="O7">IFERROR(HYPERLINK("#KPI_Master!A"&amp;MATCH(SMALL(IF(KPI_Element_Map!$E$2:$E$287=$A7,KPI_Element_Map!$A$2:$A$287),COLUMNS($J7:O7)),KPI_Master!$A:$A,0)&amp;":P"&amp;MATCH(SMALL(IF(KPI_Element_Map!$E$2:$E$287=$A7,KPI_Element_Map!$A$2:$A$287),COLUMNS($J7:O7)),KPI_Master!$A:$A,0),SMALL(IF(KPI_Element_Map!$E$2:$E$287=$A7,KPI_Element_Map!$A$2:$A$287),COLUMNS($J7:O7))),"")</f>
        <v>110</v>
      </c>
      <c r="P7" s="25" t="str">
        <f t="array" ref="P7">IFERROR(HYPERLINK("#KPI_Master!A"&amp;MATCH(SMALL(IF(KPI_Element_Map!$E$2:$E$287=$A7,KPI_Element_Map!$A$2:$A$287),COLUMNS($J7:P7)),KPI_Master!$A:$A,0)&amp;":P"&amp;MATCH(SMALL(IF(KPI_Element_Map!$E$2:$E$287=$A7,KPI_Element_Map!$A$2:$A$287),COLUMNS($J7:P7)),KPI_Master!$A:$A,0),SMALL(IF(KPI_Element_Map!$E$2:$E$287=$A7,KPI_Element_Map!$A$2:$A$287),COLUMNS($J7:P7))),"")</f>
        <v/>
      </c>
      <c r="Q7" s="25" t="str">
        <f t="array" ref="Q7">IFERROR(HYPERLINK("#KPI_Master!A"&amp;MATCH(SMALL(IF(KPI_Element_Map!$E$2:$E$287=$A7,KPI_Element_Map!$A$2:$A$287),COLUMNS($J7:Q7)),KPI_Master!$A:$A,0)&amp;":P"&amp;MATCH(SMALL(IF(KPI_Element_Map!$E$2:$E$287=$A7,KPI_Element_Map!$A$2:$A$287),COLUMNS($J7:Q7)),KPI_Master!$A:$A,0),SMALL(IF(KPI_Element_Map!$E$2:$E$287=$A7,KPI_Element_Map!$A$2:$A$287),COLUMNS($J7:Q7))),"")</f>
        <v/>
      </c>
      <c r="R7" s="25" t="str">
        <f t="array" ref="R7">IFERROR(HYPERLINK("#KPI_Master!A"&amp;MATCH(SMALL(IF(KPI_Element_Map!$E$2:$E$287=$A7,KPI_Element_Map!$A$2:$A$287),COLUMNS($J7:R7)),KPI_Master!$A:$A,0)&amp;":P"&amp;MATCH(SMALL(IF(KPI_Element_Map!$E$2:$E$287=$A7,KPI_Element_Map!$A$2:$A$287),COLUMNS($J7:R7)),KPI_Master!$A:$A,0),SMALL(IF(KPI_Element_Map!$E$2:$E$287=$A7,KPI_Element_Map!$A$2:$A$287),COLUMNS($J7:R7))),"")</f>
        <v/>
      </c>
      <c r="S7" s="25" t="str">
        <f t="array" ref="S7">IFERROR(HYPERLINK("#KPI_Master!A"&amp;MATCH(SMALL(IF(KPI_Element_Map!$E$2:$E$287=$A7,KPI_Element_Map!$A$2:$A$287),COLUMNS($J7:S7)),KPI_Master!$A:$A,0)&amp;":P"&amp;MATCH(SMALL(IF(KPI_Element_Map!$E$2:$E$287=$A7,KPI_Element_Map!$A$2:$A$287),COLUMNS($J7:S7)),KPI_Master!$A:$A,0),SMALL(IF(KPI_Element_Map!$E$2:$E$287=$A7,KPI_Element_Map!$A$2:$A$287),COLUMNS($J7:S7))),"")</f>
        <v/>
      </c>
      <c r="T7" s="25" t="str">
        <f t="array" ref="T7">IFERROR(HYPERLINK("#KPI_Master!A"&amp;MATCH(SMALL(IF(KPI_Element_Map!$E$2:$E$287=$A7,KPI_Element_Map!$A$2:$A$287),COLUMNS($J7:T7)),KPI_Master!$A:$A,0)&amp;":P"&amp;MATCH(SMALL(IF(KPI_Element_Map!$E$2:$E$287=$A7,KPI_Element_Map!$A$2:$A$287),COLUMNS($J7:T7)),KPI_Master!$A:$A,0),SMALL(IF(KPI_Element_Map!$E$2:$E$287=$A7,KPI_Element_Map!$A$2:$A$287),COLUMNS($J7:T7))),"")</f>
        <v/>
      </c>
      <c r="U7" s="25" t="str">
        <f t="array" ref="U7">IFERROR(HYPERLINK("#KPI_Master!A"&amp;MATCH(SMALL(IF(KPI_Element_Map!$E$2:$E$287=$A7,KPI_Element_Map!$A$2:$A$287),COLUMNS($J7:U7)),KPI_Master!$A:$A,0)&amp;":P"&amp;MATCH(SMALL(IF(KPI_Element_Map!$E$2:$E$287=$A7,KPI_Element_Map!$A$2:$A$287),COLUMNS($J7:U7)),KPI_Master!$A:$A,0),SMALL(IF(KPI_Element_Map!$E$2:$E$287=$A7,KPI_Element_Map!$A$2:$A$287),COLUMNS($J7:U7))),"")</f>
        <v/>
      </c>
      <c r="V7" s="25" t="str">
        <f t="array" ref="V7">IFERROR(HYPERLINK("#KPI_Master!A"&amp;MATCH(SMALL(IF(KPI_Element_Map!$E$2:$E$287=$A7,KPI_Element_Map!$A$2:$A$287),COLUMNS($J7:V7)),KPI_Master!$A:$A,0)&amp;":P"&amp;MATCH(SMALL(IF(KPI_Element_Map!$E$2:$E$287=$A7,KPI_Element_Map!$A$2:$A$287),COLUMNS($J7:V7)),KPI_Master!$A:$A,0),SMALL(IF(KPI_Element_Map!$E$2:$E$287=$A7,KPI_Element_Map!$A$2:$A$287),COLUMNS($J7:V7))),"")</f>
        <v/>
      </c>
      <c r="W7" s="25" t="str">
        <f t="array" ref="W7">IFERROR(HYPERLINK("#KPI_Master!A"&amp;MATCH(SMALL(IF(KPI_Element_Map!$E$2:$E$287=$A7,KPI_Element_Map!$A$2:$A$287),COLUMNS($J7:W7)),KPI_Master!$A:$A,0)&amp;":P"&amp;MATCH(SMALL(IF(KPI_Element_Map!$E$2:$E$287=$A7,KPI_Element_Map!$A$2:$A$287),COLUMNS($J7:W7)),KPI_Master!$A:$A,0),SMALL(IF(KPI_Element_Map!$E$2:$E$287=$A7,KPI_Element_Map!$A$2:$A$287),COLUMNS($J7:W7))),"")</f>
        <v/>
      </c>
      <c r="X7" s="25" t="str">
        <f t="array" ref="X7">IFERROR(HYPERLINK("#KPI_Master!A"&amp;MATCH(SMALL(IF(KPI_Element_Map!$E$2:$E$287=$A7,KPI_Element_Map!$A$2:$A$287),COLUMNS($J7:X7)),KPI_Master!$A:$A,0)&amp;":P"&amp;MATCH(SMALL(IF(KPI_Element_Map!$E$2:$E$287=$A7,KPI_Element_Map!$A$2:$A$287),COLUMNS($J7:X7)),KPI_Master!$A:$A,0),SMALL(IF(KPI_Element_Map!$E$2:$E$287=$A7,KPI_Element_Map!$A$2:$A$287),COLUMNS($J7:X7))),"")</f>
        <v/>
      </c>
      <c r="Y7" s="25" t="str">
        <f t="array" ref="Y7">IFERROR(HYPERLINK("#KPI_Master!A"&amp;MATCH(SMALL(IF(KPI_Element_Map!$E$2:$E$287=$A7,KPI_Element_Map!$A$2:$A$287),COLUMNS($J7:Y7)),KPI_Master!$A:$A,0)&amp;":P"&amp;MATCH(SMALL(IF(KPI_Element_Map!$E$2:$E$287=$A7,KPI_Element_Map!$A$2:$A$287),COLUMNS($J7:Y7)),KPI_Master!$A:$A,0),SMALL(IF(KPI_Element_Map!$E$2:$E$287=$A7,KPI_Element_Map!$A$2:$A$287),COLUMNS($J7:Y7))),"")</f>
        <v/>
      </c>
      <c r="Z7" s="25" t="str">
        <f t="array" ref="Z7">IFERROR(HYPERLINK("#KPI_Master!A"&amp;MATCH(SMALL(IF(KPI_Element_Map!$E$2:$E$287=$A7,KPI_Element_Map!$A$2:$A$287),COLUMNS($J7:Z7)),KPI_Master!$A:$A,0)&amp;":P"&amp;MATCH(SMALL(IF(KPI_Element_Map!$E$2:$E$287=$A7,KPI_Element_Map!$A$2:$A$287),COLUMNS($J7:Z7)),KPI_Master!$A:$A,0),SMALL(IF(KPI_Element_Map!$E$2:$E$287=$A7,KPI_Element_Map!$A$2:$A$287),COLUMNS($J7:Z7))),"")</f>
        <v/>
      </c>
      <c r="AA7" s="25" t="str">
        <f t="array" ref="AA7">IFERROR(HYPERLINK("#KPI_Master!A"&amp;MATCH(SMALL(IF(KPI_Element_Map!$E$2:$E$287=$A7,KPI_Element_Map!$A$2:$A$287),COLUMNS($J7:AA7)),KPI_Master!$A:$A,0)&amp;":P"&amp;MATCH(SMALL(IF(KPI_Element_Map!$E$2:$E$287=$A7,KPI_Element_Map!$A$2:$A$287),COLUMNS($J7:AA7)),KPI_Master!$A:$A,0),SMALL(IF(KPI_Element_Map!$E$2:$E$287=$A7,KPI_Element_Map!$A$2:$A$287),COLUMNS($J7:AA7))),"")</f>
        <v/>
      </c>
      <c r="AB7" s="25" t="str">
        <f t="array" ref="AB7">IFERROR(HYPERLINK("#KPI_Master!A"&amp;MATCH(SMALL(IF(KPI_Element_Map!$E$2:$E$287=$A7,KPI_Element_Map!$A$2:$A$287),COLUMNS($J7:AB7)),KPI_Master!$A:$A,0)&amp;":P"&amp;MATCH(SMALL(IF(KPI_Element_Map!$E$2:$E$287=$A7,KPI_Element_Map!$A$2:$A$287),COLUMNS($J7:AB7)),KPI_Master!$A:$A,0),SMALL(IF(KPI_Element_Map!$E$2:$E$287=$A7,KPI_Element_Map!$A$2:$A$287),COLUMNS($J7:AB7))),"")</f>
        <v/>
      </c>
      <c r="AC7" s="25" t="str">
        <f t="array" ref="AC7">IFERROR(HYPERLINK("#KPI_Master!A"&amp;MATCH(SMALL(IF(KPI_Element_Map!$E$2:$E$287=$A7,KPI_Element_Map!$A$2:$A$287),COLUMNS($J7:AC7)),KPI_Master!$A:$A,0)&amp;":P"&amp;MATCH(SMALL(IF(KPI_Element_Map!$E$2:$E$287=$A7,KPI_Element_Map!$A$2:$A$287),COLUMNS($J7:AC7)),KPI_Master!$A:$A,0),SMALL(IF(KPI_Element_Map!$E$2:$E$287=$A7,KPI_Element_Map!$A$2:$A$287),COLUMNS($J7:AC7))),"")</f>
        <v/>
      </c>
      <c r="AD7" s="25" t="str">
        <f t="array" ref="AD7">IFERROR(HYPERLINK("#KPI_Master!A"&amp;MATCH(SMALL(IF(KPI_Element_Map!$E$2:$E$287=$A7,KPI_Element_Map!$A$2:$A$287),COLUMNS($J7:AD7)),KPI_Master!$A:$A,0)&amp;":P"&amp;MATCH(SMALL(IF(KPI_Element_Map!$E$2:$E$287=$A7,KPI_Element_Map!$A$2:$A$287),COLUMNS($J7:AD7)),KPI_Master!$A:$A,0),SMALL(IF(KPI_Element_Map!$E$2:$E$287=$A7,KPI_Element_Map!$A$2:$A$287),COLUMNS($J7:AD7))),"")</f>
        <v/>
      </c>
      <c r="AE7" s="25" t="str">
        <f t="array" ref="AE7">IFERROR(HYPERLINK("#KPI_Master!A"&amp;MATCH(SMALL(IF(KPI_Element_Map!$E$2:$E$287=$A7,KPI_Element_Map!$A$2:$A$287),COLUMNS($J7:AE7)),KPI_Master!$A:$A,0)&amp;":P"&amp;MATCH(SMALL(IF(KPI_Element_Map!$E$2:$E$287=$A7,KPI_Element_Map!$A$2:$A$287),COLUMNS($J7:AE7)),KPI_Master!$A:$A,0),SMALL(IF(KPI_Element_Map!$E$2:$E$287=$A7,KPI_Element_Map!$A$2:$A$287),COLUMNS($J7:AE7))),"")</f>
        <v/>
      </c>
      <c r="AF7" s="25" t="str">
        <f t="array" ref="AF7">IFERROR(HYPERLINK("#KPI_Master!A"&amp;MATCH(SMALL(IF(KPI_Element_Map!$E$2:$E$287=$A7,KPI_Element_Map!$A$2:$A$287),COLUMNS($J7:AF7)),KPI_Master!$A:$A,0)&amp;":P"&amp;MATCH(SMALL(IF(KPI_Element_Map!$E$2:$E$287=$A7,KPI_Element_Map!$A$2:$A$287),COLUMNS($J7:AF7)),KPI_Master!$A:$A,0),SMALL(IF(KPI_Element_Map!$E$2:$E$287=$A7,KPI_Element_Map!$A$2:$A$287),COLUMNS($J7:AF7))),"")</f>
        <v/>
      </c>
      <c r="AG7" s="25" t="str">
        <f t="array" ref="AG7">IFERROR(HYPERLINK("#KPI_Master!A"&amp;MATCH(SMALL(IF(KPI_Element_Map!$E$2:$E$287=$A7,KPI_Element_Map!$A$2:$A$287),COLUMNS($J7:AG7)),KPI_Master!$A:$A,0)&amp;":P"&amp;MATCH(SMALL(IF(KPI_Element_Map!$E$2:$E$287=$A7,KPI_Element_Map!$A$2:$A$287),COLUMNS($J7:AG7)),KPI_Master!$A:$A,0),SMALL(IF(KPI_Element_Map!$E$2:$E$287=$A7,KPI_Element_Map!$A$2:$A$287),COLUMNS($J7:AG7))),"")</f>
        <v/>
      </c>
      <c r="AH7" s="25" t="str">
        <f t="array" ref="AH7">IFERROR(HYPERLINK("#KPI_Master!A"&amp;MATCH(SMALL(IF(KPI_Element_Map!$E$2:$E$287=$A7,KPI_Element_Map!$A$2:$A$287),COLUMNS($J7:AH7)),KPI_Master!$A:$A,0)&amp;":P"&amp;MATCH(SMALL(IF(KPI_Element_Map!$E$2:$E$287=$A7,KPI_Element_Map!$A$2:$A$287),COLUMNS($J7:AH7)),KPI_Master!$A:$A,0),SMALL(IF(KPI_Element_Map!$E$2:$E$287=$A7,KPI_Element_Map!$A$2:$A$287),COLUMNS($J7:AH7))),"")</f>
        <v/>
      </c>
    </row>
    <row r="8" spans="1:34">
      <c r="A8" s="21" t="s">
        <v>938</v>
      </c>
      <c r="B8" s="22" t="s">
        <v>939</v>
      </c>
      <c r="C8" s="23" t="s">
        <v>940</v>
      </c>
      <c r="D8" s="23" t="str">
        <f t="array" ref="D8">_xlfn.TEXTJOIN(", ",TRUE(),IF(KPI_Element_Map!$E$2:$E$287=$A8,KPI_Element_Map!$A$2:$A$287,""))</f>
        <v>22</v>
      </c>
      <c r="E8" s="21">
        <f>COUNTIF(KPI_Element_Map!$E$2:$E$287,$A8)</f>
        <v>1</v>
      </c>
      <c r="F8" s="21">
        <f>COUNTIFS(KPI_Element_Map!$E$2:$E$287,$A8,KPI_Element_Map!$D$2:$D$287,"1 - Core")</f>
        <v>0</v>
      </c>
      <c r="G8" s="24" t="s">
        <v>931</v>
      </c>
      <c r="H8" s="23" t="str">
        <f>INDEX(Minimum_Documents!$B:$B,MATCH($G8,Minimum_Documents!$A:$A,0))</f>
        <v>Census &amp; ADT Register</v>
      </c>
      <c r="J8" s="25">
        <f t="array" ref="J8">IFERROR(HYPERLINK("#KPI_Master!A"&amp;MATCH(SMALL(IF(KPI_Element_Map!$E$2:$E$287=$A8,KPI_Element_Map!$A$2:$A$287),COLUMNS($J8:J8)),KPI_Master!$A:$A,0)&amp;":P"&amp;MATCH(SMALL(IF(KPI_Element_Map!$E$2:$E$287=$A8,KPI_Element_Map!$A$2:$A$287),COLUMNS($J8:J8)),KPI_Master!$A:$A,0),SMALL(IF(KPI_Element_Map!$E$2:$E$287=$A8,KPI_Element_Map!$A$2:$A$287),COLUMNS($J8:J8))),"")</f>
        <v>22</v>
      </c>
      <c r="K8" s="25" t="str">
        <f t="array" ref="K8">IFERROR(HYPERLINK("#KPI_Master!A"&amp;MATCH(SMALL(IF(KPI_Element_Map!$E$2:$E$287=$A8,KPI_Element_Map!$A$2:$A$287),COLUMNS($J8:K8)),KPI_Master!$A:$A,0)&amp;":P"&amp;MATCH(SMALL(IF(KPI_Element_Map!$E$2:$E$287=$A8,KPI_Element_Map!$A$2:$A$287),COLUMNS($J8:K8)),KPI_Master!$A:$A,0),SMALL(IF(KPI_Element_Map!$E$2:$E$287=$A8,KPI_Element_Map!$A$2:$A$287),COLUMNS($J8:K8))),"")</f>
        <v/>
      </c>
      <c r="L8" s="25" t="str">
        <f t="array" ref="L8">IFERROR(HYPERLINK("#KPI_Master!A"&amp;MATCH(SMALL(IF(KPI_Element_Map!$E$2:$E$287=$A8,KPI_Element_Map!$A$2:$A$287),COLUMNS($J8:L8)),KPI_Master!$A:$A,0)&amp;":P"&amp;MATCH(SMALL(IF(KPI_Element_Map!$E$2:$E$287=$A8,KPI_Element_Map!$A$2:$A$287),COLUMNS($J8:L8)),KPI_Master!$A:$A,0),SMALL(IF(KPI_Element_Map!$E$2:$E$287=$A8,KPI_Element_Map!$A$2:$A$287),COLUMNS($J8:L8))),"")</f>
        <v/>
      </c>
      <c r="M8" s="25" t="str">
        <f t="array" ref="M8">IFERROR(HYPERLINK("#KPI_Master!A"&amp;MATCH(SMALL(IF(KPI_Element_Map!$E$2:$E$287=$A8,KPI_Element_Map!$A$2:$A$287),COLUMNS($J8:M8)),KPI_Master!$A:$A,0)&amp;":P"&amp;MATCH(SMALL(IF(KPI_Element_Map!$E$2:$E$287=$A8,KPI_Element_Map!$A$2:$A$287),COLUMNS($J8:M8)),KPI_Master!$A:$A,0),SMALL(IF(KPI_Element_Map!$E$2:$E$287=$A8,KPI_Element_Map!$A$2:$A$287),COLUMNS($J8:M8))),"")</f>
        <v/>
      </c>
      <c r="N8" s="25" t="str">
        <f t="array" ref="N8">IFERROR(HYPERLINK("#KPI_Master!A"&amp;MATCH(SMALL(IF(KPI_Element_Map!$E$2:$E$287=$A8,KPI_Element_Map!$A$2:$A$287),COLUMNS($J8:N8)),KPI_Master!$A:$A,0)&amp;":P"&amp;MATCH(SMALL(IF(KPI_Element_Map!$E$2:$E$287=$A8,KPI_Element_Map!$A$2:$A$287),COLUMNS($J8:N8)),KPI_Master!$A:$A,0),SMALL(IF(KPI_Element_Map!$E$2:$E$287=$A8,KPI_Element_Map!$A$2:$A$287),COLUMNS($J8:N8))),"")</f>
        <v/>
      </c>
      <c r="O8" s="25" t="str">
        <f t="array" ref="O8">IFERROR(HYPERLINK("#KPI_Master!A"&amp;MATCH(SMALL(IF(KPI_Element_Map!$E$2:$E$287=$A8,KPI_Element_Map!$A$2:$A$287),COLUMNS($J8:O8)),KPI_Master!$A:$A,0)&amp;":P"&amp;MATCH(SMALL(IF(KPI_Element_Map!$E$2:$E$287=$A8,KPI_Element_Map!$A$2:$A$287),COLUMNS($J8:O8)),KPI_Master!$A:$A,0),SMALL(IF(KPI_Element_Map!$E$2:$E$287=$A8,KPI_Element_Map!$A$2:$A$287),COLUMNS($J8:O8))),"")</f>
        <v/>
      </c>
      <c r="P8" s="25" t="str">
        <f t="array" ref="P8">IFERROR(HYPERLINK("#KPI_Master!A"&amp;MATCH(SMALL(IF(KPI_Element_Map!$E$2:$E$287=$A8,KPI_Element_Map!$A$2:$A$287),COLUMNS($J8:P8)),KPI_Master!$A:$A,0)&amp;":P"&amp;MATCH(SMALL(IF(KPI_Element_Map!$E$2:$E$287=$A8,KPI_Element_Map!$A$2:$A$287),COLUMNS($J8:P8)),KPI_Master!$A:$A,0),SMALL(IF(KPI_Element_Map!$E$2:$E$287=$A8,KPI_Element_Map!$A$2:$A$287),COLUMNS($J8:P8))),"")</f>
        <v/>
      </c>
      <c r="Q8" s="25" t="str">
        <f t="array" ref="Q8">IFERROR(HYPERLINK("#KPI_Master!A"&amp;MATCH(SMALL(IF(KPI_Element_Map!$E$2:$E$287=$A8,KPI_Element_Map!$A$2:$A$287),COLUMNS($J8:Q8)),KPI_Master!$A:$A,0)&amp;":P"&amp;MATCH(SMALL(IF(KPI_Element_Map!$E$2:$E$287=$A8,KPI_Element_Map!$A$2:$A$287),COLUMNS($J8:Q8)),KPI_Master!$A:$A,0),SMALL(IF(KPI_Element_Map!$E$2:$E$287=$A8,KPI_Element_Map!$A$2:$A$287),COLUMNS($J8:Q8))),"")</f>
        <v/>
      </c>
      <c r="R8" s="25" t="str">
        <f t="array" ref="R8">IFERROR(HYPERLINK("#KPI_Master!A"&amp;MATCH(SMALL(IF(KPI_Element_Map!$E$2:$E$287=$A8,KPI_Element_Map!$A$2:$A$287),COLUMNS($J8:R8)),KPI_Master!$A:$A,0)&amp;":P"&amp;MATCH(SMALL(IF(KPI_Element_Map!$E$2:$E$287=$A8,KPI_Element_Map!$A$2:$A$287),COLUMNS($J8:R8)),KPI_Master!$A:$A,0),SMALL(IF(KPI_Element_Map!$E$2:$E$287=$A8,KPI_Element_Map!$A$2:$A$287),COLUMNS($J8:R8))),"")</f>
        <v/>
      </c>
      <c r="S8" s="25" t="str">
        <f t="array" ref="S8">IFERROR(HYPERLINK("#KPI_Master!A"&amp;MATCH(SMALL(IF(KPI_Element_Map!$E$2:$E$287=$A8,KPI_Element_Map!$A$2:$A$287),COLUMNS($J8:S8)),KPI_Master!$A:$A,0)&amp;":P"&amp;MATCH(SMALL(IF(KPI_Element_Map!$E$2:$E$287=$A8,KPI_Element_Map!$A$2:$A$287),COLUMNS($J8:S8)),KPI_Master!$A:$A,0),SMALL(IF(KPI_Element_Map!$E$2:$E$287=$A8,KPI_Element_Map!$A$2:$A$287),COLUMNS($J8:S8))),"")</f>
        <v/>
      </c>
      <c r="T8" s="25" t="str">
        <f t="array" ref="T8">IFERROR(HYPERLINK("#KPI_Master!A"&amp;MATCH(SMALL(IF(KPI_Element_Map!$E$2:$E$287=$A8,KPI_Element_Map!$A$2:$A$287),COLUMNS($J8:T8)),KPI_Master!$A:$A,0)&amp;":P"&amp;MATCH(SMALL(IF(KPI_Element_Map!$E$2:$E$287=$A8,KPI_Element_Map!$A$2:$A$287),COLUMNS($J8:T8)),KPI_Master!$A:$A,0),SMALL(IF(KPI_Element_Map!$E$2:$E$287=$A8,KPI_Element_Map!$A$2:$A$287),COLUMNS($J8:T8))),"")</f>
        <v/>
      </c>
      <c r="U8" s="25" t="str">
        <f t="array" ref="U8">IFERROR(HYPERLINK("#KPI_Master!A"&amp;MATCH(SMALL(IF(KPI_Element_Map!$E$2:$E$287=$A8,KPI_Element_Map!$A$2:$A$287),COLUMNS($J8:U8)),KPI_Master!$A:$A,0)&amp;":P"&amp;MATCH(SMALL(IF(KPI_Element_Map!$E$2:$E$287=$A8,KPI_Element_Map!$A$2:$A$287),COLUMNS($J8:U8)),KPI_Master!$A:$A,0),SMALL(IF(KPI_Element_Map!$E$2:$E$287=$A8,KPI_Element_Map!$A$2:$A$287),COLUMNS($J8:U8))),"")</f>
        <v/>
      </c>
      <c r="V8" s="25" t="str">
        <f t="array" ref="V8">IFERROR(HYPERLINK("#KPI_Master!A"&amp;MATCH(SMALL(IF(KPI_Element_Map!$E$2:$E$287=$A8,KPI_Element_Map!$A$2:$A$287),COLUMNS($J8:V8)),KPI_Master!$A:$A,0)&amp;":P"&amp;MATCH(SMALL(IF(KPI_Element_Map!$E$2:$E$287=$A8,KPI_Element_Map!$A$2:$A$287),COLUMNS($J8:V8)),KPI_Master!$A:$A,0),SMALL(IF(KPI_Element_Map!$E$2:$E$287=$A8,KPI_Element_Map!$A$2:$A$287),COLUMNS($J8:V8))),"")</f>
        <v/>
      </c>
      <c r="W8" s="25" t="str">
        <f t="array" ref="W8">IFERROR(HYPERLINK("#KPI_Master!A"&amp;MATCH(SMALL(IF(KPI_Element_Map!$E$2:$E$287=$A8,KPI_Element_Map!$A$2:$A$287),COLUMNS($J8:W8)),KPI_Master!$A:$A,0)&amp;":P"&amp;MATCH(SMALL(IF(KPI_Element_Map!$E$2:$E$287=$A8,KPI_Element_Map!$A$2:$A$287),COLUMNS($J8:W8)),KPI_Master!$A:$A,0),SMALL(IF(KPI_Element_Map!$E$2:$E$287=$A8,KPI_Element_Map!$A$2:$A$287),COLUMNS($J8:W8))),"")</f>
        <v/>
      </c>
      <c r="X8" s="25" t="str">
        <f t="array" ref="X8">IFERROR(HYPERLINK("#KPI_Master!A"&amp;MATCH(SMALL(IF(KPI_Element_Map!$E$2:$E$287=$A8,KPI_Element_Map!$A$2:$A$287),COLUMNS($J8:X8)),KPI_Master!$A:$A,0)&amp;":P"&amp;MATCH(SMALL(IF(KPI_Element_Map!$E$2:$E$287=$A8,KPI_Element_Map!$A$2:$A$287),COLUMNS($J8:X8)),KPI_Master!$A:$A,0),SMALL(IF(KPI_Element_Map!$E$2:$E$287=$A8,KPI_Element_Map!$A$2:$A$287),COLUMNS($J8:X8))),"")</f>
        <v/>
      </c>
      <c r="Y8" s="25" t="str">
        <f t="array" ref="Y8">IFERROR(HYPERLINK("#KPI_Master!A"&amp;MATCH(SMALL(IF(KPI_Element_Map!$E$2:$E$287=$A8,KPI_Element_Map!$A$2:$A$287),COLUMNS($J8:Y8)),KPI_Master!$A:$A,0)&amp;":P"&amp;MATCH(SMALL(IF(KPI_Element_Map!$E$2:$E$287=$A8,KPI_Element_Map!$A$2:$A$287),COLUMNS($J8:Y8)),KPI_Master!$A:$A,0),SMALL(IF(KPI_Element_Map!$E$2:$E$287=$A8,KPI_Element_Map!$A$2:$A$287),COLUMNS($J8:Y8))),"")</f>
        <v/>
      </c>
      <c r="Z8" s="25" t="str">
        <f t="array" ref="Z8">IFERROR(HYPERLINK("#KPI_Master!A"&amp;MATCH(SMALL(IF(KPI_Element_Map!$E$2:$E$287=$A8,KPI_Element_Map!$A$2:$A$287),COLUMNS($J8:Z8)),KPI_Master!$A:$A,0)&amp;":P"&amp;MATCH(SMALL(IF(KPI_Element_Map!$E$2:$E$287=$A8,KPI_Element_Map!$A$2:$A$287),COLUMNS($J8:Z8)),KPI_Master!$A:$A,0),SMALL(IF(KPI_Element_Map!$E$2:$E$287=$A8,KPI_Element_Map!$A$2:$A$287),COLUMNS($J8:Z8))),"")</f>
        <v/>
      </c>
      <c r="AA8" s="25" t="str">
        <f t="array" ref="AA8">IFERROR(HYPERLINK("#KPI_Master!A"&amp;MATCH(SMALL(IF(KPI_Element_Map!$E$2:$E$287=$A8,KPI_Element_Map!$A$2:$A$287),COLUMNS($J8:AA8)),KPI_Master!$A:$A,0)&amp;":P"&amp;MATCH(SMALL(IF(KPI_Element_Map!$E$2:$E$287=$A8,KPI_Element_Map!$A$2:$A$287),COLUMNS($J8:AA8)),KPI_Master!$A:$A,0),SMALL(IF(KPI_Element_Map!$E$2:$E$287=$A8,KPI_Element_Map!$A$2:$A$287),COLUMNS($J8:AA8))),"")</f>
        <v/>
      </c>
      <c r="AB8" s="25" t="str">
        <f t="array" ref="AB8">IFERROR(HYPERLINK("#KPI_Master!A"&amp;MATCH(SMALL(IF(KPI_Element_Map!$E$2:$E$287=$A8,KPI_Element_Map!$A$2:$A$287),COLUMNS($J8:AB8)),KPI_Master!$A:$A,0)&amp;":P"&amp;MATCH(SMALL(IF(KPI_Element_Map!$E$2:$E$287=$A8,KPI_Element_Map!$A$2:$A$287),COLUMNS($J8:AB8)),KPI_Master!$A:$A,0),SMALL(IF(KPI_Element_Map!$E$2:$E$287=$A8,KPI_Element_Map!$A$2:$A$287),COLUMNS($J8:AB8))),"")</f>
        <v/>
      </c>
      <c r="AC8" s="25" t="str">
        <f t="array" ref="AC8">IFERROR(HYPERLINK("#KPI_Master!A"&amp;MATCH(SMALL(IF(KPI_Element_Map!$E$2:$E$287=$A8,KPI_Element_Map!$A$2:$A$287),COLUMNS($J8:AC8)),KPI_Master!$A:$A,0)&amp;":P"&amp;MATCH(SMALL(IF(KPI_Element_Map!$E$2:$E$287=$A8,KPI_Element_Map!$A$2:$A$287),COLUMNS($J8:AC8)),KPI_Master!$A:$A,0),SMALL(IF(KPI_Element_Map!$E$2:$E$287=$A8,KPI_Element_Map!$A$2:$A$287),COLUMNS($J8:AC8))),"")</f>
        <v/>
      </c>
      <c r="AD8" s="25" t="str">
        <f t="array" ref="AD8">IFERROR(HYPERLINK("#KPI_Master!A"&amp;MATCH(SMALL(IF(KPI_Element_Map!$E$2:$E$287=$A8,KPI_Element_Map!$A$2:$A$287),COLUMNS($J8:AD8)),KPI_Master!$A:$A,0)&amp;":P"&amp;MATCH(SMALL(IF(KPI_Element_Map!$E$2:$E$287=$A8,KPI_Element_Map!$A$2:$A$287),COLUMNS($J8:AD8)),KPI_Master!$A:$A,0),SMALL(IF(KPI_Element_Map!$E$2:$E$287=$A8,KPI_Element_Map!$A$2:$A$287),COLUMNS($J8:AD8))),"")</f>
        <v/>
      </c>
      <c r="AE8" s="25" t="str">
        <f t="array" ref="AE8">IFERROR(HYPERLINK("#KPI_Master!A"&amp;MATCH(SMALL(IF(KPI_Element_Map!$E$2:$E$287=$A8,KPI_Element_Map!$A$2:$A$287),COLUMNS($J8:AE8)),KPI_Master!$A:$A,0)&amp;":P"&amp;MATCH(SMALL(IF(KPI_Element_Map!$E$2:$E$287=$A8,KPI_Element_Map!$A$2:$A$287),COLUMNS($J8:AE8)),KPI_Master!$A:$A,0),SMALL(IF(KPI_Element_Map!$E$2:$E$287=$A8,KPI_Element_Map!$A$2:$A$287),COLUMNS($J8:AE8))),"")</f>
        <v/>
      </c>
      <c r="AF8" s="25" t="str">
        <f t="array" ref="AF8">IFERROR(HYPERLINK("#KPI_Master!A"&amp;MATCH(SMALL(IF(KPI_Element_Map!$E$2:$E$287=$A8,KPI_Element_Map!$A$2:$A$287),COLUMNS($J8:AF8)),KPI_Master!$A:$A,0)&amp;":P"&amp;MATCH(SMALL(IF(KPI_Element_Map!$E$2:$E$287=$A8,KPI_Element_Map!$A$2:$A$287),COLUMNS($J8:AF8)),KPI_Master!$A:$A,0),SMALL(IF(KPI_Element_Map!$E$2:$E$287=$A8,KPI_Element_Map!$A$2:$A$287),COLUMNS($J8:AF8))),"")</f>
        <v/>
      </c>
      <c r="AG8" s="25" t="str">
        <f t="array" ref="AG8">IFERROR(HYPERLINK("#KPI_Master!A"&amp;MATCH(SMALL(IF(KPI_Element_Map!$E$2:$E$287=$A8,KPI_Element_Map!$A$2:$A$287),COLUMNS($J8:AG8)),KPI_Master!$A:$A,0)&amp;":P"&amp;MATCH(SMALL(IF(KPI_Element_Map!$E$2:$E$287=$A8,KPI_Element_Map!$A$2:$A$287),COLUMNS($J8:AG8)),KPI_Master!$A:$A,0),SMALL(IF(KPI_Element_Map!$E$2:$E$287=$A8,KPI_Element_Map!$A$2:$A$287),COLUMNS($J8:AG8))),"")</f>
        <v/>
      </c>
      <c r="AH8" s="25" t="str">
        <f t="array" ref="AH8">IFERROR(HYPERLINK("#KPI_Master!A"&amp;MATCH(SMALL(IF(KPI_Element_Map!$E$2:$E$287=$A8,KPI_Element_Map!$A$2:$A$287),COLUMNS($J8:AH8)),KPI_Master!$A:$A,0)&amp;":P"&amp;MATCH(SMALL(IF(KPI_Element_Map!$E$2:$E$287=$A8,KPI_Element_Map!$A$2:$A$287),COLUMNS($J8:AH8)),KPI_Master!$A:$A,0),SMALL(IF(KPI_Element_Map!$E$2:$E$287=$A8,KPI_Element_Map!$A$2:$A$287),COLUMNS($J8:AH8))),"")</f>
        <v/>
      </c>
    </row>
    <row r="9" spans="1:34">
      <c r="A9" s="21" t="s">
        <v>941</v>
      </c>
      <c r="B9" s="22" t="s">
        <v>942</v>
      </c>
      <c r="C9" s="23" t="s">
        <v>943</v>
      </c>
      <c r="D9" s="23" t="str">
        <f t="array" ref="D9">_xlfn.TEXTJOIN(", ",TRUE(),IF(KPI_Element_Map!$E$2:$E$287=$A9,KPI_Element_Map!$A$2:$A$287,""))</f>
        <v>23, 104</v>
      </c>
      <c r="E9" s="21">
        <f>COUNTIF(KPI_Element_Map!$E$2:$E$287,$A9)</f>
        <v>2</v>
      </c>
      <c r="F9" s="21">
        <f>COUNTIFS(KPI_Element_Map!$E$2:$E$287,$A9,KPI_Element_Map!$D$2:$D$287,"1 - Core")</f>
        <v>1</v>
      </c>
      <c r="G9" s="24" t="s">
        <v>931</v>
      </c>
      <c r="H9" s="23" t="str">
        <f>INDEX(Minimum_Documents!$B:$B,MATCH($G9,Minimum_Documents!$A:$A,0))</f>
        <v>Census &amp; ADT Register</v>
      </c>
      <c r="J9" s="25">
        <f t="array" ref="J9">IFERROR(HYPERLINK("#KPI_Master!A"&amp;MATCH(SMALL(IF(KPI_Element_Map!$E$2:$E$287=$A9,KPI_Element_Map!$A$2:$A$287),COLUMNS($J9:J9)),KPI_Master!$A:$A,0)&amp;":P"&amp;MATCH(SMALL(IF(KPI_Element_Map!$E$2:$E$287=$A9,KPI_Element_Map!$A$2:$A$287),COLUMNS($J9:J9)),KPI_Master!$A:$A,0),SMALL(IF(KPI_Element_Map!$E$2:$E$287=$A9,KPI_Element_Map!$A$2:$A$287),COLUMNS($J9:J9))),"")</f>
        <v>23</v>
      </c>
      <c r="K9" s="25">
        <f t="array" ref="K9">IFERROR(HYPERLINK("#KPI_Master!A"&amp;MATCH(SMALL(IF(KPI_Element_Map!$E$2:$E$287=$A9,KPI_Element_Map!$A$2:$A$287),COLUMNS($J9:K9)),KPI_Master!$A:$A,0)&amp;":P"&amp;MATCH(SMALL(IF(KPI_Element_Map!$E$2:$E$287=$A9,KPI_Element_Map!$A$2:$A$287),COLUMNS($J9:K9)),KPI_Master!$A:$A,0),SMALL(IF(KPI_Element_Map!$E$2:$E$287=$A9,KPI_Element_Map!$A$2:$A$287),COLUMNS($J9:K9))),"")</f>
        <v>104</v>
      </c>
      <c r="L9" s="25" t="str">
        <f t="array" ref="L9">IFERROR(HYPERLINK("#KPI_Master!A"&amp;MATCH(SMALL(IF(KPI_Element_Map!$E$2:$E$287=$A9,KPI_Element_Map!$A$2:$A$287),COLUMNS($J9:L9)),KPI_Master!$A:$A,0)&amp;":P"&amp;MATCH(SMALL(IF(KPI_Element_Map!$E$2:$E$287=$A9,KPI_Element_Map!$A$2:$A$287),COLUMNS($J9:L9)),KPI_Master!$A:$A,0),SMALL(IF(KPI_Element_Map!$E$2:$E$287=$A9,KPI_Element_Map!$A$2:$A$287),COLUMNS($J9:L9))),"")</f>
        <v/>
      </c>
      <c r="M9" s="25" t="str">
        <f t="array" ref="M9">IFERROR(HYPERLINK("#KPI_Master!A"&amp;MATCH(SMALL(IF(KPI_Element_Map!$E$2:$E$287=$A9,KPI_Element_Map!$A$2:$A$287),COLUMNS($J9:M9)),KPI_Master!$A:$A,0)&amp;":P"&amp;MATCH(SMALL(IF(KPI_Element_Map!$E$2:$E$287=$A9,KPI_Element_Map!$A$2:$A$287),COLUMNS($J9:M9)),KPI_Master!$A:$A,0),SMALL(IF(KPI_Element_Map!$E$2:$E$287=$A9,KPI_Element_Map!$A$2:$A$287),COLUMNS($J9:M9))),"")</f>
        <v/>
      </c>
      <c r="N9" s="25" t="str">
        <f t="array" ref="N9">IFERROR(HYPERLINK("#KPI_Master!A"&amp;MATCH(SMALL(IF(KPI_Element_Map!$E$2:$E$287=$A9,KPI_Element_Map!$A$2:$A$287),COLUMNS($J9:N9)),KPI_Master!$A:$A,0)&amp;":P"&amp;MATCH(SMALL(IF(KPI_Element_Map!$E$2:$E$287=$A9,KPI_Element_Map!$A$2:$A$287),COLUMNS($J9:N9)),KPI_Master!$A:$A,0),SMALL(IF(KPI_Element_Map!$E$2:$E$287=$A9,KPI_Element_Map!$A$2:$A$287),COLUMNS($J9:N9))),"")</f>
        <v/>
      </c>
      <c r="O9" s="25" t="str">
        <f t="array" ref="O9">IFERROR(HYPERLINK("#KPI_Master!A"&amp;MATCH(SMALL(IF(KPI_Element_Map!$E$2:$E$287=$A9,KPI_Element_Map!$A$2:$A$287),COLUMNS($J9:O9)),KPI_Master!$A:$A,0)&amp;":P"&amp;MATCH(SMALL(IF(KPI_Element_Map!$E$2:$E$287=$A9,KPI_Element_Map!$A$2:$A$287),COLUMNS($J9:O9)),KPI_Master!$A:$A,0),SMALL(IF(KPI_Element_Map!$E$2:$E$287=$A9,KPI_Element_Map!$A$2:$A$287),COLUMNS($J9:O9))),"")</f>
        <v/>
      </c>
      <c r="P9" s="25" t="str">
        <f t="array" ref="P9">IFERROR(HYPERLINK("#KPI_Master!A"&amp;MATCH(SMALL(IF(KPI_Element_Map!$E$2:$E$287=$A9,KPI_Element_Map!$A$2:$A$287),COLUMNS($J9:P9)),KPI_Master!$A:$A,0)&amp;":P"&amp;MATCH(SMALL(IF(KPI_Element_Map!$E$2:$E$287=$A9,KPI_Element_Map!$A$2:$A$287),COLUMNS($J9:P9)),KPI_Master!$A:$A,0),SMALL(IF(KPI_Element_Map!$E$2:$E$287=$A9,KPI_Element_Map!$A$2:$A$287),COLUMNS($J9:P9))),"")</f>
        <v/>
      </c>
      <c r="Q9" s="25" t="str">
        <f t="array" ref="Q9">IFERROR(HYPERLINK("#KPI_Master!A"&amp;MATCH(SMALL(IF(KPI_Element_Map!$E$2:$E$287=$A9,KPI_Element_Map!$A$2:$A$287),COLUMNS($J9:Q9)),KPI_Master!$A:$A,0)&amp;":P"&amp;MATCH(SMALL(IF(KPI_Element_Map!$E$2:$E$287=$A9,KPI_Element_Map!$A$2:$A$287),COLUMNS($J9:Q9)),KPI_Master!$A:$A,0),SMALL(IF(KPI_Element_Map!$E$2:$E$287=$A9,KPI_Element_Map!$A$2:$A$287),COLUMNS($J9:Q9))),"")</f>
        <v/>
      </c>
      <c r="R9" s="25" t="str">
        <f t="array" ref="R9">IFERROR(HYPERLINK("#KPI_Master!A"&amp;MATCH(SMALL(IF(KPI_Element_Map!$E$2:$E$287=$A9,KPI_Element_Map!$A$2:$A$287),COLUMNS($J9:R9)),KPI_Master!$A:$A,0)&amp;":P"&amp;MATCH(SMALL(IF(KPI_Element_Map!$E$2:$E$287=$A9,KPI_Element_Map!$A$2:$A$287),COLUMNS($J9:R9)),KPI_Master!$A:$A,0),SMALL(IF(KPI_Element_Map!$E$2:$E$287=$A9,KPI_Element_Map!$A$2:$A$287),COLUMNS($J9:R9))),"")</f>
        <v/>
      </c>
      <c r="S9" s="25" t="str">
        <f t="array" ref="S9">IFERROR(HYPERLINK("#KPI_Master!A"&amp;MATCH(SMALL(IF(KPI_Element_Map!$E$2:$E$287=$A9,KPI_Element_Map!$A$2:$A$287),COLUMNS($J9:S9)),KPI_Master!$A:$A,0)&amp;":P"&amp;MATCH(SMALL(IF(KPI_Element_Map!$E$2:$E$287=$A9,KPI_Element_Map!$A$2:$A$287),COLUMNS($J9:S9)),KPI_Master!$A:$A,0),SMALL(IF(KPI_Element_Map!$E$2:$E$287=$A9,KPI_Element_Map!$A$2:$A$287),COLUMNS($J9:S9))),"")</f>
        <v/>
      </c>
      <c r="T9" s="25" t="str">
        <f t="array" ref="T9">IFERROR(HYPERLINK("#KPI_Master!A"&amp;MATCH(SMALL(IF(KPI_Element_Map!$E$2:$E$287=$A9,KPI_Element_Map!$A$2:$A$287),COLUMNS($J9:T9)),KPI_Master!$A:$A,0)&amp;":P"&amp;MATCH(SMALL(IF(KPI_Element_Map!$E$2:$E$287=$A9,KPI_Element_Map!$A$2:$A$287),COLUMNS($J9:T9)),KPI_Master!$A:$A,0),SMALL(IF(KPI_Element_Map!$E$2:$E$287=$A9,KPI_Element_Map!$A$2:$A$287),COLUMNS($J9:T9))),"")</f>
        <v/>
      </c>
      <c r="U9" s="25" t="str">
        <f t="array" ref="U9">IFERROR(HYPERLINK("#KPI_Master!A"&amp;MATCH(SMALL(IF(KPI_Element_Map!$E$2:$E$287=$A9,KPI_Element_Map!$A$2:$A$287),COLUMNS($J9:U9)),KPI_Master!$A:$A,0)&amp;":P"&amp;MATCH(SMALL(IF(KPI_Element_Map!$E$2:$E$287=$A9,KPI_Element_Map!$A$2:$A$287),COLUMNS($J9:U9)),KPI_Master!$A:$A,0),SMALL(IF(KPI_Element_Map!$E$2:$E$287=$A9,KPI_Element_Map!$A$2:$A$287),COLUMNS($J9:U9))),"")</f>
        <v/>
      </c>
      <c r="V9" s="25" t="str">
        <f t="array" ref="V9">IFERROR(HYPERLINK("#KPI_Master!A"&amp;MATCH(SMALL(IF(KPI_Element_Map!$E$2:$E$287=$A9,KPI_Element_Map!$A$2:$A$287),COLUMNS($J9:V9)),KPI_Master!$A:$A,0)&amp;":P"&amp;MATCH(SMALL(IF(KPI_Element_Map!$E$2:$E$287=$A9,KPI_Element_Map!$A$2:$A$287),COLUMNS($J9:V9)),KPI_Master!$A:$A,0),SMALL(IF(KPI_Element_Map!$E$2:$E$287=$A9,KPI_Element_Map!$A$2:$A$287),COLUMNS($J9:V9))),"")</f>
        <v/>
      </c>
      <c r="W9" s="25" t="str">
        <f t="array" ref="W9">IFERROR(HYPERLINK("#KPI_Master!A"&amp;MATCH(SMALL(IF(KPI_Element_Map!$E$2:$E$287=$A9,KPI_Element_Map!$A$2:$A$287),COLUMNS($J9:W9)),KPI_Master!$A:$A,0)&amp;":P"&amp;MATCH(SMALL(IF(KPI_Element_Map!$E$2:$E$287=$A9,KPI_Element_Map!$A$2:$A$287),COLUMNS($J9:W9)),KPI_Master!$A:$A,0),SMALL(IF(KPI_Element_Map!$E$2:$E$287=$A9,KPI_Element_Map!$A$2:$A$287),COLUMNS($J9:W9))),"")</f>
        <v/>
      </c>
      <c r="X9" s="25" t="str">
        <f t="array" ref="X9">IFERROR(HYPERLINK("#KPI_Master!A"&amp;MATCH(SMALL(IF(KPI_Element_Map!$E$2:$E$287=$A9,KPI_Element_Map!$A$2:$A$287),COLUMNS($J9:X9)),KPI_Master!$A:$A,0)&amp;":P"&amp;MATCH(SMALL(IF(KPI_Element_Map!$E$2:$E$287=$A9,KPI_Element_Map!$A$2:$A$287),COLUMNS($J9:X9)),KPI_Master!$A:$A,0),SMALL(IF(KPI_Element_Map!$E$2:$E$287=$A9,KPI_Element_Map!$A$2:$A$287),COLUMNS($J9:X9))),"")</f>
        <v/>
      </c>
      <c r="Y9" s="25" t="str">
        <f t="array" ref="Y9">IFERROR(HYPERLINK("#KPI_Master!A"&amp;MATCH(SMALL(IF(KPI_Element_Map!$E$2:$E$287=$A9,KPI_Element_Map!$A$2:$A$287),COLUMNS($J9:Y9)),KPI_Master!$A:$A,0)&amp;":P"&amp;MATCH(SMALL(IF(KPI_Element_Map!$E$2:$E$287=$A9,KPI_Element_Map!$A$2:$A$287),COLUMNS($J9:Y9)),KPI_Master!$A:$A,0),SMALL(IF(KPI_Element_Map!$E$2:$E$287=$A9,KPI_Element_Map!$A$2:$A$287),COLUMNS($J9:Y9))),"")</f>
        <v/>
      </c>
      <c r="Z9" s="25" t="str">
        <f t="array" ref="Z9">IFERROR(HYPERLINK("#KPI_Master!A"&amp;MATCH(SMALL(IF(KPI_Element_Map!$E$2:$E$287=$A9,KPI_Element_Map!$A$2:$A$287),COLUMNS($J9:Z9)),KPI_Master!$A:$A,0)&amp;":P"&amp;MATCH(SMALL(IF(KPI_Element_Map!$E$2:$E$287=$A9,KPI_Element_Map!$A$2:$A$287),COLUMNS($J9:Z9)),KPI_Master!$A:$A,0),SMALL(IF(KPI_Element_Map!$E$2:$E$287=$A9,KPI_Element_Map!$A$2:$A$287),COLUMNS($J9:Z9))),"")</f>
        <v/>
      </c>
      <c r="AA9" s="25" t="str">
        <f t="array" ref="AA9">IFERROR(HYPERLINK("#KPI_Master!A"&amp;MATCH(SMALL(IF(KPI_Element_Map!$E$2:$E$287=$A9,KPI_Element_Map!$A$2:$A$287),COLUMNS($J9:AA9)),KPI_Master!$A:$A,0)&amp;":P"&amp;MATCH(SMALL(IF(KPI_Element_Map!$E$2:$E$287=$A9,KPI_Element_Map!$A$2:$A$287),COLUMNS($J9:AA9)),KPI_Master!$A:$A,0),SMALL(IF(KPI_Element_Map!$E$2:$E$287=$A9,KPI_Element_Map!$A$2:$A$287),COLUMNS($J9:AA9))),"")</f>
        <v/>
      </c>
      <c r="AB9" s="25" t="str">
        <f t="array" ref="AB9">IFERROR(HYPERLINK("#KPI_Master!A"&amp;MATCH(SMALL(IF(KPI_Element_Map!$E$2:$E$287=$A9,KPI_Element_Map!$A$2:$A$287),COLUMNS($J9:AB9)),KPI_Master!$A:$A,0)&amp;":P"&amp;MATCH(SMALL(IF(KPI_Element_Map!$E$2:$E$287=$A9,KPI_Element_Map!$A$2:$A$287),COLUMNS($J9:AB9)),KPI_Master!$A:$A,0),SMALL(IF(KPI_Element_Map!$E$2:$E$287=$A9,KPI_Element_Map!$A$2:$A$287),COLUMNS($J9:AB9))),"")</f>
        <v/>
      </c>
      <c r="AC9" s="25" t="str">
        <f t="array" ref="AC9">IFERROR(HYPERLINK("#KPI_Master!A"&amp;MATCH(SMALL(IF(KPI_Element_Map!$E$2:$E$287=$A9,KPI_Element_Map!$A$2:$A$287),COLUMNS($J9:AC9)),KPI_Master!$A:$A,0)&amp;":P"&amp;MATCH(SMALL(IF(KPI_Element_Map!$E$2:$E$287=$A9,KPI_Element_Map!$A$2:$A$287),COLUMNS($J9:AC9)),KPI_Master!$A:$A,0),SMALL(IF(KPI_Element_Map!$E$2:$E$287=$A9,KPI_Element_Map!$A$2:$A$287),COLUMNS($J9:AC9))),"")</f>
        <v/>
      </c>
      <c r="AD9" s="25" t="str">
        <f t="array" ref="AD9">IFERROR(HYPERLINK("#KPI_Master!A"&amp;MATCH(SMALL(IF(KPI_Element_Map!$E$2:$E$287=$A9,KPI_Element_Map!$A$2:$A$287),COLUMNS($J9:AD9)),KPI_Master!$A:$A,0)&amp;":P"&amp;MATCH(SMALL(IF(KPI_Element_Map!$E$2:$E$287=$A9,KPI_Element_Map!$A$2:$A$287),COLUMNS($J9:AD9)),KPI_Master!$A:$A,0),SMALL(IF(KPI_Element_Map!$E$2:$E$287=$A9,KPI_Element_Map!$A$2:$A$287),COLUMNS($J9:AD9))),"")</f>
        <v/>
      </c>
      <c r="AE9" s="25" t="str">
        <f t="array" ref="AE9">IFERROR(HYPERLINK("#KPI_Master!A"&amp;MATCH(SMALL(IF(KPI_Element_Map!$E$2:$E$287=$A9,KPI_Element_Map!$A$2:$A$287),COLUMNS($J9:AE9)),KPI_Master!$A:$A,0)&amp;":P"&amp;MATCH(SMALL(IF(KPI_Element_Map!$E$2:$E$287=$A9,KPI_Element_Map!$A$2:$A$287),COLUMNS($J9:AE9)),KPI_Master!$A:$A,0),SMALL(IF(KPI_Element_Map!$E$2:$E$287=$A9,KPI_Element_Map!$A$2:$A$287),COLUMNS($J9:AE9))),"")</f>
        <v/>
      </c>
      <c r="AF9" s="25" t="str">
        <f t="array" ref="AF9">IFERROR(HYPERLINK("#KPI_Master!A"&amp;MATCH(SMALL(IF(KPI_Element_Map!$E$2:$E$287=$A9,KPI_Element_Map!$A$2:$A$287),COLUMNS($J9:AF9)),KPI_Master!$A:$A,0)&amp;":P"&amp;MATCH(SMALL(IF(KPI_Element_Map!$E$2:$E$287=$A9,KPI_Element_Map!$A$2:$A$287),COLUMNS($J9:AF9)),KPI_Master!$A:$A,0),SMALL(IF(KPI_Element_Map!$E$2:$E$287=$A9,KPI_Element_Map!$A$2:$A$287),COLUMNS($J9:AF9))),"")</f>
        <v/>
      </c>
      <c r="AG9" s="25" t="str">
        <f t="array" ref="AG9">IFERROR(HYPERLINK("#KPI_Master!A"&amp;MATCH(SMALL(IF(KPI_Element_Map!$E$2:$E$287=$A9,KPI_Element_Map!$A$2:$A$287),COLUMNS($J9:AG9)),KPI_Master!$A:$A,0)&amp;":P"&amp;MATCH(SMALL(IF(KPI_Element_Map!$E$2:$E$287=$A9,KPI_Element_Map!$A$2:$A$287),COLUMNS($J9:AG9)),KPI_Master!$A:$A,0),SMALL(IF(KPI_Element_Map!$E$2:$E$287=$A9,KPI_Element_Map!$A$2:$A$287),COLUMNS($J9:AG9))),"")</f>
        <v/>
      </c>
      <c r="AH9" s="25" t="str">
        <f t="array" ref="AH9">IFERROR(HYPERLINK("#KPI_Master!A"&amp;MATCH(SMALL(IF(KPI_Element_Map!$E$2:$E$287=$A9,KPI_Element_Map!$A$2:$A$287),COLUMNS($J9:AH9)),KPI_Master!$A:$A,0)&amp;":P"&amp;MATCH(SMALL(IF(KPI_Element_Map!$E$2:$E$287=$A9,KPI_Element_Map!$A$2:$A$287),COLUMNS($J9:AH9)),KPI_Master!$A:$A,0),SMALL(IF(KPI_Element_Map!$E$2:$E$287=$A9,KPI_Element_Map!$A$2:$A$287),COLUMNS($J9:AH9))),"")</f>
        <v/>
      </c>
    </row>
    <row r="10" spans="1:34">
      <c r="A10" s="21" t="s">
        <v>944</v>
      </c>
      <c r="B10" s="22" t="s">
        <v>945</v>
      </c>
      <c r="C10" s="23" t="s">
        <v>946</v>
      </c>
      <c r="D10" s="23" t="str">
        <f t="array" ref="D10">_xlfn.TEXTJOIN(", ",TRUE(),IF(KPI_Element_Map!$E$2:$E$287=$A10,KPI_Element_Map!$A$2:$A$287,""))</f>
        <v>41, 77</v>
      </c>
      <c r="E10" s="21">
        <f>COUNTIF(KPI_Element_Map!$E$2:$E$287,$A10)</f>
        <v>2</v>
      </c>
      <c r="F10" s="21">
        <f>COUNTIFS(KPI_Element_Map!$E$2:$E$287,$A10,KPI_Element_Map!$D$2:$D$287,"1 - Core")</f>
        <v>0</v>
      </c>
      <c r="G10" s="24" t="s">
        <v>931</v>
      </c>
      <c r="H10" s="23" t="str">
        <f>INDEX(Minimum_Documents!$B:$B,MATCH($G10,Minimum_Documents!$A:$A,0))</f>
        <v>Census &amp; ADT Register</v>
      </c>
      <c r="J10" s="25">
        <f t="array" ref="J10">IFERROR(HYPERLINK("#KPI_Master!A"&amp;MATCH(SMALL(IF(KPI_Element_Map!$E$2:$E$287=$A10,KPI_Element_Map!$A$2:$A$287),COLUMNS($J10:J10)),KPI_Master!$A:$A,0)&amp;":P"&amp;MATCH(SMALL(IF(KPI_Element_Map!$E$2:$E$287=$A10,KPI_Element_Map!$A$2:$A$287),COLUMNS($J10:J10)),KPI_Master!$A:$A,0),SMALL(IF(KPI_Element_Map!$E$2:$E$287=$A10,KPI_Element_Map!$A$2:$A$287),COLUMNS($J10:J10))),"")</f>
        <v>41</v>
      </c>
      <c r="K10" s="25">
        <f t="array" ref="K10">IFERROR(HYPERLINK("#KPI_Master!A"&amp;MATCH(SMALL(IF(KPI_Element_Map!$E$2:$E$287=$A10,KPI_Element_Map!$A$2:$A$287),COLUMNS($J10:K10)),KPI_Master!$A:$A,0)&amp;":P"&amp;MATCH(SMALL(IF(KPI_Element_Map!$E$2:$E$287=$A10,KPI_Element_Map!$A$2:$A$287),COLUMNS($J10:K10)),KPI_Master!$A:$A,0),SMALL(IF(KPI_Element_Map!$E$2:$E$287=$A10,KPI_Element_Map!$A$2:$A$287),COLUMNS($J10:K10))),"")</f>
        <v>77</v>
      </c>
      <c r="L10" s="25" t="str">
        <f t="array" ref="L10">IFERROR(HYPERLINK("#KPI_Master!A"&amp;MATCH(SMALL(IF(KPI_Element_Map!$E$2:$E$287=$A10,KPI_Element_Map!$A$2:$A$287),COLUMNS($J10:L10)),KPI_Master!$A:$A,0)&amp;":P"&amp;MATCH(SMALL(IF(KPI_Element_Map!$E$2:$E$287=$A10,KPI_Element_Map!$A$2:$A$287),COLUMNS($J10:L10)),KPI_Master!$A:$A,0),SMALL(IF(KPI_Element_Map!$E$2:$E$287=$A10,KPI_Element_Map!$A$2:$A$287),COLUMNS($J10:L10))),"")</f>
        <v/>
      </c>
      <c r="M10" s="25" t="str">
        <f t="array" ref="M10">IFERROR(HYPERLINK("#KPI_Master!A"&amp;MATCH(SMALL(IF(KPI_Element_Map!$E$2:$E$287=$A10,KPI_Element_Map!$A$2:$A$287),COLUMNS($J10:M10)),KPI_Master!$A:$A,0)&amp;":P"&amp;MATCH(SMALL(IF(KPI_Element_Map!$E$2:$E$287=$A10,KPI_Element_Map!$A$2:$A$287),COLUMNS($J10:M10)),KPI_Master!$A:$A,0),SMALL(IF(KPI_Element_Map!$E$2:$E$287=$A10,KPI_Element_Map!$A$2:$A$287),COLUMNS($J10:M10))),"")</f>
        <v/>
      </c>
      <c r="N10" s="25" t="str">
        <f t="array" ref="N10">IFERROR(HYPERLINK("#KPI_Master!A"&amp;MATCH(SMALL(IF(KPI_Element_Map!$E$2:$E$287=$A10,KPI_Element_Map!$A$2:$A$287),COLUMNS($J10:N10)),KPI_Master!$A:$A,0)&amp;":P"&amp;MATCH(SMALL(IF(KPI_Element_Map!$E$2:$E$287=$A10,KPI_Element_Map!$A$2:$A$287),COLUMNS($J10:N10)),KPI_Master!$A:$A,0),SMALL(IF(KPI_Element_Map!$E$2:$E$287=$A10,KPI_Element_Map!$A$2:$A$287),COLUMNS($J10:N10))),"")</f>
        <v/>
      </c>
      <c r="O10" s="25" t="str">
        <f t="array" ref="O10">IFERROR(HYPERLINK("#KPI_Master!A"&amp;MATCH(SMALL(IF(KPI_Element_Map!$E$2:$E$287=$A10,KPI_Element_Map!$A$2:$A$287),COLUMNS($J10:O10)),KPI_Master!$A:$A,0)&amp;":P"&amp;MATCH(SMALL(IF(KPI_Element_Map!$E$2:$E$287=$A10,KPI_Element_Map!$A$2:$A$287),COLUMNS($J10:O10)),KPI_Master!$A:$A,0),SMALL(IF(KPI_Element_Map!$E$2:$E$287=$A10,KPI_Element_Map!$A$2:$A$287),COLUMNS($J10:O10))),"")</f>
        <v/>
      </c>
      <c r="P10" s="25" t="str">
        <f t="array" ref="P10">IFERROR(HYPERLINK("#KPI_Master!A"&amp;MATCH(SMALL(IF(KPI_Element_Map!$E$2:$E$287=$A10,KPI_Element_Map!$A$2:$A$287),COLUMNS($J10:P10)),KPI_Master!$A:$A,0)&amp;":P"&amp;MATCH(SMALL(IF(KPI_Element_Map!$E$2:$E$287=$A10,KPI_Element_Map!$A$2:$A$287),COLUMNS($J10:P10)),KPI_Master!$A:$A,0),SMALL(IF(KPI_Element_Map!$E$2:$E$287=$A10,KPI_Element_Map!$A$2:$A$287),COLUMNS($J10:P10))),"")</f>
        <v/>
      </c>
      <c r="Q10" s="25" t="str">
        <f t="array" ref="Q10">IFERROR(HYPERLINK("#KPI_Master!A"&amp;MATCH(SMALL(IF(KPI_Element_Map!$E$2:$E$287=$A10,KPI_Element_Map!$A$2:$A$287),COLUMNS($J10:Q10)),KPI_Master!$A:$A,0)&amp;":P"&amp;MATCH(SMALL(IF(KPI_Element_Map!$E$2:$E$287=$A10,KPI_Element_Map!$A$2:$A$287),COLUMNS($J10:Q10)),KPI_Master!$A:$A,0),SMALL(IF(KPI_Element_Map!$E$2:$E$287=$A10,KPI_Element_Map!$A$2:$A$287),COLUMNS($J10:Q10))),"")</f>
        <v/>
      </c>
      <c r="R10" s="25" t="str">
        <f t="array" ref="R10">IFERROR(HYPERLINK("#KPI_Master!A"&amp;MATCH(SMALL(IF(KPI_Element_Map!$E$2:$E$287=$A10,KPI_Element_Map!$A$2:$A$287),COLUMNS($J10:R10)),KPI_Master!$A:$A,0)&amp;":P"&amp;MATCH(SMALL(IF(KPI_Element_Map!$E$2:$E$287=$A10,KPI_Element_Map!$A$2:$A$287),COLUMNS($J10:R10)),KPI_Master!$A:$A,0),SMALL(IF(KPI_Element_Map!$E$2:$E$287=$A10,KPI_Element_Map!$A$2:$A$287),COLUMNS($J10:R10))),"")</f>
        <v/>
      </c>
      <c r="S10" s="25" t="str">
        <f t="array" ref="S10">IFERROR(HYPERLINK("#KPI_Master!A"&amp;MATCH(SMALL(IF(KPI_Element_Map!$E$2:$E$287=$A10,KPI_Element_Map!$A$2:$A$287),COLUMNS($J10:S10)),KPI_Master!$A:$A,0)&amp;":P"&amp;MATCH(SMALL(IF(KPI_Element_Map!$E$2:$E$287=$A10,KPI_Element_Map!$A$2:$A$287),COLUMNS($J10:S10)),KPI_Master!$A:$A,0),SMALL(IF(KPI_Element_Map!$E$2:$E$287=$A10,KPI_Element_Map!$A$2:$A$287),COLUMNS($J10:S10))),"")</f>
        <v/>
      </c>
      <c r="T10" s="25" t="str">
        <f t="array" ref="T10">IFERROR(HYPERLINK("#KPI_Master!A"&amp;MATCH(SMALL(IF(KPI_Element_Map!$E$2:$E$287=$A10,KPI_Element_Map!$A$2:$A$287),COLUMNS($J10:T10)),KPI_Master!$A:$A,0)&amp;":P"&amp;MATCH(SMALL(IF(KPI_Element_Map!$E$2:$E$287=$A10,KPI_Element_Map!$A$2:$A$287),COLUMNS($J10:T10)),KPI_Master!$A:$A,0),SMALL(IF(KPI_Element_Map!$E$2:$E$287=$A10,KPI_Element_Map!$A$2:$A$287),COLUMNS($J10:T10))),"")</f>
        <v/>
      </c>
      <c r="U10" s="25" t="str">
        <f t="array" ref="U10">IFERROR(HYPERLINK("#KPI_Master!A"&amp;MATCH(SMALL(IF(KPI_Element_Map!$E$2:$E$287=$A10,KPI_Element_Map!$A$2:$A$287),COLUMNS($J10:U10)),KPI_Master!$A:$A,0)&amp;":P"&amp;MATCH(SMALL(IF(KPI_Element_Map!$E$2:$E$287=$A10,KPI_Element_Map!$A$2:$A$287),COLUMNS($J10:U10)),KPI_Master!$A:$A,0),SMALL(IF(KPI_Element_Map!$E$2:$E$287=$A10,KPI_Element_Map!$A$2:$A$287),COLUMNS($J10:U10))),"")</f>
        <v/>
      </c>
      <c r="V10" s="25" t="str">
        <f t="array" ref="V10">IFERROR(HYPERLINK("#KPI_Master!A"&amp;MATCH(SMALL(IF(KPI_Element_Map!$E$2:$E$287=$A10,KPI_Element_Map!$A$2:$A$287),COLUMNS($J10:V10)),KPI_Master!$A:$A,0)&amp;":P"&amp;MATCH(SMALL(IF(KPI_Element_Map!$E$2:$E$287=$A10,KPI_Element_Map!$A$2:$A$287),COLUMNS($J10:V10)),KPI_Master!$A:$A,0),SMALL(IF(KPI_Element_Map!$E$2:$E$287=$A10,KPI_Element_Map!$A$2:$A$287),COLUMNS($J10:V10))),"")</f>
        <v/>
      </c>
      <c r="W10" s="25" t="str">
        <f t="array" ref="W10">IFERROR(HYPERLINK("#KPI_Master!A"&amp;MATCH(SMALL(IF(KPI_Element_Map!$E$2:$E$287=$A10,KPI_Element_Map!$A$2:$A$287),COLUMNS($J10:W10)),KPI_Master!$A:$A,0)&amp;":P"&amp;MATCH(SMALL(IF(KPI_Element_Map!$E$2:$E$287=$A10,KPI_Element_Map!$A$2:$A$287),COLUMNS($J10:W10)),KPI_Master!$A:$A,0),SMALL(IF(KPI_Element_Map!$E$2:$E$287=$A10,KPI_Element_Map!$A$2:$A$287),COLUMNS($J10:W10))),"")</f>
        <v/>
      </c>
      <c r="X10" s="25" t="str">
        <f t="array" ref="X10">IFERROR(HYPERLINK("#KPI_Master!A"&amp;MATCH(SMALL(IF(KPI_Element_Map!$E$2:$E$287=$A10,KPI_Element_Map!$A$2:$A$287),COLUMNS($J10:X10)),KPI_Master!$A:$A,0)&amp;":P"&amp;MATCH(SMALL(IF(KPI_Element_Map!$E$2:$E$287=$A10,KPI_Element_Map!$A$2:$A$287),COLUMNS($J10:X10)),KPI_Master!$A:$A,0),SMALL(IF(KPI_Element_Map!$E$2:$E$287=$A10,KPI_Element_Map!$A$2:$A$287),COLUMNS($J10:X10))),"")</f>
        <v/>
      </c>
      <c r="Y10" s="25" t="str">
        <f t="array" ref="Y10">IFERROR(HYPERLINK("#KPI_Master!A"&amp;MATCH(SMALL(IF(KPI_Element_Map!$E$2:$E$287=$A10,KPI_Element_Map!$A$2:$A$287),COLUMNS($J10:Y10)),KPI_Master!$A:$A,0)&amp;":P"&amp;MATCH(SMALL(IF(KPI_Element_Map!$E$2:$E$287=$A10,KPI_Element_Map!$A$2:$A$287),COLUMNS($J10:Y10)),KPI_Master!$A:$A,0),SMALL(IF(KPI_Element_Map!$E$2:$E$287=$A10,KPI_Element_Map!$A$2:$A$287),COLUMNS($J10:Y10))),"")</f>
        <v/>
      </c>
      <c r="Z10" s="25" t="str">
        <f t="array" ref="Z10">IFERROR(HYPERLINK("#KPI_Master!A"&amp;MATCH(SMALL(IF(KPI_Element_Map!$E$2:$E$287=$A10,KPI_Element_Map!$A$2:$A$287),COLUMNS($J10:Z10)),KPI_Master!$A:$A,0)&amp;":P"&amp;MATCH(SMALL(IF(KPI_Element_Map!$E$2:$E$287=$A10,KPI_Element_Map!$A$2:$A$287),COLUMNS($J10:Z10)),KPI_Master!$A:$A,0),SMALL(IF(KPI_Element_Map!$E$2:$E$287=$A10,KPI_Element_Map!$A$2:$A$287),COLUMNS($J10:Z10))),"")</f>
        <v/>
      </c>
      <c r="AA10" s="25" t="str">
        <f t="array" ref="AA10">IFERROR(HYPERLINK("#KPI_Master!A"&amp;MATCH(SMALL(IF(KPI_Element_Map!$E$2:$E$287=$A10,KPI_Element_Map!$A$2:$A$287),COLUMNS($J10:AA10)),KPI_Master!$A:$A,0)&amp;":P"&amp;MATCH(SMALL(IF(KPI_Element_Map!$E$2:$E$287=$A10,KPI_Element_Map!$A$2:$A$287),COLUMNS($J10:AA10)),KPI_Master!$A:$A,0),SMALL(IF(KPI_Element_Map!$E$2:$E$287=$A10,KPI_Element_Map!$A$2:$A$287),COLUMNS($J10:AA10))),"")</f>
        <v/>
      </c>
      <c r="AB10" s="25" t="str">
        <f t="array" ref="AB10">IFERROR(HYPERLINK("#KPI_Master!A"&amp;MATCH(SMALL(IF(KPI_Element_Map!$E$2:$E$287=$A10,KPI_Element_Map!$A$2:$A$287),COLUMNS($J10:AB10)),KPI_Master!$A:$A,0)&amp;":P"&amp;MATCH(SMALL(IF(KPI_Element_Map!$E$2:$E$287=$A10,KPI_Element_Map!$A$2:$A$287),COLUMNS($J10:AB10)),KPI_Master!$A:$A,0),SMALL(IF(KPI_Element_Map!$E$2:$E$287=$A10,KPI_Element_Map!$A$2:$A$287),COLUMNS($J10:AB10))),"")</f>
        <v/>
      </c>
      <c r="AC10" s="25" t="str">
        <f t="array" ref="AC10">IFERROR(HYPERLINK("#KPI_Master!A"&amp;MATCH(SMALL(IF(KPI_Element_Map!$E$2:$E$287=$A10,KPI_Element_Map!$A$2:$A$287),COLUMNS($J10:AC10)),KPI_Master!$A:$A,0)&amp;":P"&amp;MATCH(SMALL(IF(KPI_Element_Map!$E$2:$E$287=$A10,KPI_Element_Map!$A$2:$A$287),COLUMNS($J10:AC10)),KPI_Master!$A:$A,0),SMALL(IF(KPI_Element_Map!$E$2:$E$287=$A10,KPI_Element_Map!$A$2:$A$287),COLUMNS($J10:AC10))),"")</f>
        <v/>
      </c>
      <c r="AD10" s="25" t="str">
        <f t="array" ref="AD10">IFERROR(HYPERLINK("#KPI_Master!A"&amp;MATCH(SMALL(IF(KPI_Element_Map!$E$2:$E$287=$A10,KPI_Element_Map!$A$2:$A$287),COLUMNS($J10:AD10)),KPI_Master!$A:$A,0)&amp;":P"&amp;MATCH(SMALL(IF(KPI_Element_Map!$E$2:$E$287=$A10,KPI_Element_Map!$A$2:$A$287),COLUMNS($J10:AD10)),KPI_Master!$A:$A,0),SMALL(IF(KPI_Element_Map!$E$2:$E$287=$A10,KPI_Element_Map!$A$2:$A$287),COLUMNS($J10:AD10))),"")</f>
        <v/>
      </c>
      <c r="AE10" s="25" t="str">
        <f t="array" ref="AE10">IFERROR(HYPERLINK("#KPI_Master!A"&amp;MATCH(SMALL(IF(KPI_Element_Map!$E$2:$E$287=$A10,KPI_Element_Map!$A$2:$A$287),COLUMNS($J10:AE10)),KPI_Master!$A:$A,0)&amp;":P"&amp;MATCH(SMALL(IF(KPI_Element_Map!$E$2:$E$287=$A10,KPI_Element_Map!$A$2:$A$287),COLUMNS($J10:AE10)),KPI_Master!$A:$A,0),SMALL(IF(KPI_Element_Map!$E$2:$E$287=$A10,KPI_Element_Map!$A$2:$A$287),COLUMNS($J10:AE10))),"")</f>
        <v/>
      </c>
      <c r="AF10" s="25" t="str">
        <f t="array" ref="AF10">IFERROR(HYPERLINK("#KPI_Master!A"&amp;MATCH(SMALL(IF(KPI_Element_Map!$E$2:$E$287=$A10,KPI_Element_Map!$A$2:$A$287),COLUMNS($J10:AF10)),KPI_Master!$A:$A,0)&amp;":P"&amp;MATCH(SMALL(IF(KPI_Element_Map!$E$2:$E$287=$A10,KPI_Element_Map!$A$2:$A$287),COLUMNS($J10:AF10)),KPI_Master!$A:$A,0),SMALL(IF(KPI_Element_Map!$E$2:$E$287=$A10,KPI_Element_Map!$A$2:$A$287),COLUMNS($J10:AF10))),"")</f>
        <v/>
      </c>
      <c r="AG10" s="25" t="str">
        <f t="array" ref="AG10">IFERROR(HYPERLINK("#KPI_Master!A"&amp;MATCH(SMALL(IF(KPI_Element_Map!$E$2:$E$287=$A10,KPI_Element_Map!$A$2:$A$287),COLUMNS($J10:AG10)),KPI_Master!$A:$A,0)&amp;":P"&amp;MATCH(SMALL(IF(KPI_Element_Map!$E$2:$E$287=$A10,KPI_Element_Map!$A$2:$A$287),COLUMNS($J10:AG10)),KPI_Master!$A:$A,0),SMALL(IF(KPI_Element_Map!$E$2:$E$287=$A10,KPI_Element_Map!$A$2:$A$287),COLUMNS($J10:AG10))),"")</f>
        <v/>
      </c>
      <c r="AH10" s="25" t="str">
        <f t="array" ref="AH10">IFERROR(HYPERLINK("#KPI_Master!A"&amp;MATCH(SMALL(IF(KPI_Element_Map!$E$2:$E$287=$A10,KPI_Element_Map!$A$2:$A$287),COLUMNS($J10:AH10)),KPI_Master!$A:$A,0)&amp;":P"&amp;MATCH(SMALL(IF(KPI_Element_Map!$E$2:$E$287=$A10,KPI_Element_Map!$A$2:$A$287),COLUMNS($J10:AH10)),KPI_Master!$A:$A,0),SMALL(IF(KPI_Element_Map!$E$2:$E$287=$A10,KPI_Element_Map!$A$2:$A$287),COLUMNS($J10:AH10))),"")</f>
        <v/>
      </c>
    </row>
    <row r="11" spans="1:34" ht="28.5" customHeight="1">
      <c r="A11" s="21" t="s">
        <v>947</v>
      </c>
      <c r="B11" s="22" t="s">
        <v>948</v>
      </c>
      <c r="C11" s="23" t="s">
        <v>949</v>
      </c>
      <c r="D11" s="23" t="str">
        <f t="array" ref="D11">_xlfn.TEXTJOIN(", ",TRUE(),IF(KPI_Element_Map!$E$2:$E$287=$A11,KPI_Element_Map!$A$2:$A$287,""))</f>
        <v>86, 103, 151, 157, 158, 161, 167</v>
      </c>
      <c r="E11" s="21">
        <f>COUNTIF(KPI_Element_Map!$E$2:$E$287,$A11)</f>
        <v>7</v>
      </c>
      <c r="F11" s="21">
        <f>COUNTIFS(KPI_Element_Map!$E$2:$E$287,$A11,KPI_Element_Map!$D$2:$D$287,"1 - Core")</f>
        <v>2</v>
      </c>
      <c r="G11" s="24" t="s">
        <v>931</v>
      </c>
      <c r="H11" s="23" t="str">
        <f>INDEX(Minimum_Documents!$B:$B,MATCH($G11,Minimum_Documents!$A:$A,0))</f>
        <v>Census &amp; ADT Register</v>
      </c>
      <c r="J11" s="25">
        <f t="array" ref="J11">IFERROR(HYPERLINK("#KPI_Master!A"&amp;MATCH(SMALL(IF(KPI_Element_Map!$E$2:$E$287=$A11,KPI_Element_Map!$A$2:$A$287),COLUMNS($J11:J11)),KPI_Master!$A:$A,0)&amp;":P"&amp;MATCH(SMALL(IF(KPI_Element_Map!$E$2:$E$287=$A11,KPI_Element_Map!$A$2:$A$287),COLUMNS($J11:J11)),KPI_Master!$A:$A,0),SMALL(IF(KPI_Element_Map!$E$2:$E$287=$A11,KPI_Element_Map!$A$2:$A$287),COLUMNS($J11:J11))),"")</f>
        <v>86</v>
      </c>
      <c r="K11" s="25">
        <f t="array" ref="K11">IFERROR(HYPERLINK("#KPI_Master!A"&amp;MATCH(SMALL(IF(KPI_Element_Map!$E$2:$E$287=$A11,KPI_Element_Map!$A$2:$A$287),COLUMNS($J11:K11)),KPI_Master!$A:$A,0)&amp;":P"&amp;MATCH(SMALL(IF(KPI_Element_Map!$E$2:$E$287=$A11,KPI_Element_Map!$A$2:$A$287),COLUMNS($J11:K11)),KPI_Master!$A:$A,0),SMALL(IF(KPI_Element_Map!$E$2:$E$287=$A11,KPI_Element_Map!$A$2:$A$287),COLUMNS($J11:K11))),"")</f>
        <v>103</v>
      </c>
      <c r="L11" s="25">
        <f t="array" ref="L11">IFERROR(HYPERLINK("#KPI_Master!A"&amp;MATCH(SMALL(IF(KPI_Element_Map!$E$2:$E$287=$A11,KPI_Element_Map!$A$2:$A$287),COLUMNS($J11:L11)),KPI_Master!$A:$A,0)&amp;":P"&amp;MATCH(SMALL(IF(KPI_Element_Map!$E$2:$E$287=$A11,KPI_Element_Map!$A$2:$A$287),COLUMNS($J11:L11)),KPI_Master!$A:$A,0),SMALL(IF(KPI_Element_Map!$E$2:$E$287=$A11,KPI_Element_Map!$A$2:$A$287),COLUMNS($J11:L11))),"")</f>
        <v>151</v>
      </c>
      <c r="M11" s="25">
        <f t="array" ref="M11">IFERROR(HYPERLINK("#KPI_Master!A"&amp;MATCH(SMALL(IF(KPI_Element_Map!$E$2:$E$287=$A11,KPI_Element_Map!$A$2:$A$287),COLUMNS($J11:M11)),KPI_Master!$A:$A,0)&amp;":P"&amp;MATCH(SMALL(IF(KPI_Element_Map!$E$2:$E$287=$A11,KPI_Element_Map!$A$2:$A$287),COLUMNS($J11:M11)),KPI_Master!$A:$A,0),SMALL(IF(KPI_Element_Map!$E$2:$E$287=$A11,KPI_Element_Map!$A$2:$A$287),COLUMNS($J11:M11))),"")</f>
        <v>157</v>
      </c>
      <c r="N11" s="25">
        <f t="array" ref="N11">IFERROR(HYPERLINK("#KPI_Master!A"&amp;MATCH(SMALL(IF(KPI_Element_Map!$E$2:$E$287=$A11,KPI_Element_Map!$A$2:$A$287),COLUMNS($J11:N11)),KPI_Master!$A:$A,0)&amp;":P"&amp;MATCH(SMALL(IF(KPI_Element_Map!$E$2:$E$287=$A11,KPI_Element_Map!$A$2:$A$287),COLUMNS($J11:N11)),KPI_Master!$A:$A,0),SMALL(IF(KPI_Element_Map!$E$2:$E$287=$A11,KPI_Element_Map!$A$2:$A$287),COLUMNS($J11:N11))),"")</f>
        <v>158</v>
      </c>
      <c r="O11" s="25">
        <f t="array" ref="O11">IFERROR(HYPERLINK("#KPI_Master!A"&amp;MATCH(SMALL(IF(KPI_Element_Map!$E$2:$E$287=$A11,KPI_Element_Map!$A$2:$A$287),COLUMNS($J11:O11)),KPI_Master!$A:$A,0)&amp;":P"&amp;MATCH(SMALL(IF(KPI_Element_Map!$E$2:$E$287=$A11,KPI_Element_Map!$A$2:$A$287),COLUMNS($J11:O11)),KPI_Master!$A:$A,0),SMALL(IF(KPI_Element_Map!$E$2:$E$287=$A11,KPI_Element_Map!$A$2:$A$287),COLUMNS($J11:O11))),"")</f>
        <v>161</v>
      </c>
      <c r="P11" s="25">
        <f t="array" ref="P11">IFERROR(HYPERLINK("#KPI_Master!A"&amp;MATCH(SMALL(IF(KPI_Element_Map!$E$2:$E$287=$A11,KPI_Element_Map!$A$2:$A$287),COLUMNS($J11:P11)),KPI_Master!$A:$A,0)&amp;":P"&amp;MATCH(SMALL(IF(KPI_Element_Map!$E$2:$E$287=$A11,KPI_Element_Map!$A$2:$A$287),COLUMNS($J11:P11)),KPI_Master!$A:$A,0),SMALL(IF(KPI_Element_Map!$E$2:$E$287=$A11,KPI_Element_Map!$A$2:$A$287),COLUMNS($J11:P11))),"")</f>
        <v>167</v>
      </c>
      <c r="Q11" s="25" t="str">
        <f t="array" ref="Q11">IFERROR(HYPERLINK("#KPI_Master!A"&amp;MATCH(SMALL(IF(KPI_Element_Map!$E$2:$E$287=$A11,KPI_Element_Map!$A$2:$A$287),COLUMNS($J11:Q11)),KPI_Master!$A:$A,0)&amp;":P"&amp;MATCH(SMALL(IF(KPI_Element_Map!$E$2:$E$287=$A11,KPI_Element_Map!$A$2:$A$287),COLUMNS($J11:Q11)),KPI_Master!$A:$A,0),SMALL(IF(KPI_Element_Map!$E$2:$E$287=$A11,KPI_Element_Map!$A$2:$A$287),COLUMNS($J11:Q11))),"")</f>
        <v/>
      </c>
      <c r="R11" s="25" t="str">
        <f t="array" ref="R11">IFERROR(HYPERLINK("#KPI_Master!A"&amp;MATCH(SMALL(IF(KPI_Element_Map!$E$2:$E$287=$A11,KPI_Element_Map!$A$2:$A$287),COLUMNS($J11:R11)),KPI_Master!$A:$A,0)&amp;":P"&amp;MATCH(SMALL(IF(KPI_Element_Map!$E$2:$E$287=$A11,KPI_Element_Map!$A$2:$A$287),COLUMNS($J11:R11)),KPI_Master!$A:$A,0),SMALL(IF(KPI_Element_Map!$E$2:$E$287=$A11,KPI_Element_Map!$A$2:$A$287),COLUMNS($J11:R11))),"")</f>
        <v/>
      </c>
      <c r="S11" s="25" t="str">
        <f t="array" ref="S11">IFERROR(HYPERLINK("#KPI_Master!A"&amp;MATCH(SMALL(IF(KPI_Element_Map!$E$2:$E$287=$A11,KPI_Element_Map!$A$2:$A$287),COLUMNS($J11:S11)),KPI_Master!$A:$A,0)&amp;":P"&amp;MATCH(SMALL(IF(KPI_Element_Map!$E$2:$E$287=$A11,KPI_Element_Map!$A$2:$A$287),COLUMNS($J11:S11)),KPI_Master!$A:$A,0),SMALL(IF(KPI_Element_Map!$E$2:$E$287=$A11,KPI_Element_Map!$A$2:$A$287),COLUMNS($J11:S11))),"")</f>
        <v/>
      </c>
      <c r="T11" s="25" t="str">
        <f t="array" ref="T11">IFERROR(HYPERLINK("#KPI_Master!A"&amp;MATCH(SMALL(IF(KPI_Element_Map!$E$2:$E$287=$A11,KPI_Element_Map!$A$2:$A$287),COLUMNS($J11:T11)),KPI_Master!$A:$A,0)&amp;":P"&amp;MATCH(SMALL(IF(KPI_Element_Map!$E$2:$E$287=$A11,KPI_Element_Map!$A$2:$A$287),COLUMNS($J11:T11)),KPI_Master!$A:$A,0),SMALL(IF(KPI_Element_Map!$E$2:$E$287=$A11,KPI_Element_Map!$A$2:$A$287),COLUMNS($J11:T11))),"")</f>
        <v/>
      </c>
      <c r="U11" s="25" t="str">
        <f t="array" ref="U11">IFERROR(HYPERLINK("#KPI_Master!A"&amp;MATCH(SMALL(IF(KPI_Element_Map!$E$2:$E$287=$A11,KPI_Element_Map!$A$2:$A$287),COLUMNS($J11:U11)),KPI_Master!$A:$A,0)&amp;":P"&amp;MATCH(SMALL(IF(KPI_Element_Map!$E$2:$E$287=$A11,KPI_Element_Map!$A$2:$A$287),COLUMNS($J11:U11)),KPI_Master!$A:$A,0),SMALL(IF(KPI_Element_Map!$E$2:$E$287=$A11,KPI_Element_Map!$A$2:$A$287),COLUMNS($J11:U11))),"")</f>
        <v/>
      </c>
      <c r="V11" s="25" t="str">
        <f t="array" ref="V11">IFERROR(HYPERLINK("#KPI_Master!A"&amp;MATCH(SMALL(IF(KPI_Element_Map!$E$2:$E$287=$A11,KPI_Element_Map!$A$2:$A$287),COLUMNS($J11:V11)),KPI_Master!$A:$A,0)&amp;":P"&amp;MATCH(SMALL(IF(KPI_Element_Map!$E$2:$E$287=$A11,KPI_Element_Map!$A$2:$A$287),COLUMNS($J11:V11)),KPI_Master!$A:$A,0),SMALL(IF(KPI_Element_Map!$E$2:$E$287=$A11,KPI_Element_Map!$A$2:$A$287),COLUMNS($J11:V11))),"")</f>
        <v/>
      </c>
      <c r="W11" s="25" t="str">
        <f t="array" ref="W11">IFERROR(HYPERLINK("#KPI_Master!A"&amp;MATCH(SMALL(IF(KPI_Element_Map!$E$2:$E$287=$A11,KPI_Element_Map!$A$2:$A$287),COLUMNS($J11:W11)),KPI_Master!$A:$A,0)&amp;":P"&amp;MATCH(SMALL(IF(KPI_Element_Map!$E$2:$E$287=$A11,KPI_Element_Map!$A$2:$A$287),COLUMNS($J11:W11)),KPI_Master!$A:$A,0),SMALL(IF(KPI_Element_Map!$E$2:$E$287=$A11,KPI_Element_Map!$A$2:$A$287),COLUMNS($J11:W11))),"")</f>
        <v/>
      </c>
      <c r="X11" s="25" t="str">
        <f t="array" ref="X11">IFERROR(HYPERLINK("#KPI_Master!A"&amp;MATCH(SMALL(IF(KPI_Element_Map!$E$2:$E$287=$A11,KPI_Element_Map!$A$2:$A$287),COLUMNS($J11:X11)),KPI_Master!$A:$A,0)&amp;":P"&amp;MATCH(SMALL(IF(KPI_Element_Map!$E$2:$E$287=$A11,KPI_Element_Map!$A$2:$A$287),COLUMNS($J11:X11)),KPI_Master!$A:$A,0),SMALL(IF(KPI_Element_Map!$E$2:$E$287=$A11,KPI_Element_Map!$A$2:$A$287),COLUMNS($J11:X11))),"")</f>
        <v/>
      </c>
      <c r="Y11" s="25" t="str">
        <f t="array" ref="Y11">IFERROR(HYPERLINK("#KPI_Master!A"&amp;MATCH(SMALL(IF(KPI_Element_Map!$E$2:$E$287=$A11,KPI_Element_Map!$A$2:$A$287),COLUMNS($J11:Y11)),KPI_Master!$A:$A,0)&amp;":P"&amp;MATCH(SMALL(IF(KPI_Element_Map!$E$2:$E$287=$A11,KPI_Element_Map!$A$2:$A$287),COLUMNS($J11:Y11)),KPI_Master!$A:$A,0),SMALL(IF(KPI_Element_Map!$E$2:$E$287=$A11,KPI_Element_Map!$A$2:$A$287),COLUMNS($J11:Y11))),"")</f>
        <v/>
      </c>
      <c r="Z11" s="25" t="str">
        <f t="array" ref="Z11">IFERROR(HYPERLINK("#KPI_Master!A"&amp;MATCH(SMALL(IF(KPI_Element_Map!$E$2:$E$287=$A11,KPI_Element_Map!$A$2:$A$287),COLUMNS($J11:Z11)),KPI_Master!$A:$A,0)&amp;":P"&amp;MATCH(SMALL(IF(KPI_Element_Map!$E$2:$E$287=$A11,KPI_Element_Map!$A$2:$A$287),COLUMNS($J11:Z11)),KPI_Master!$A:$A,0),SMALL(IF(KPI_Element_Map!$E$2:$E$287=$A11,KPI_Element_Map!$A$2:$A$287),COLUMNS($J11:Z11))),"")</f>
        <v/>
      </c>
      <c r="AA11" s="25" t="str">
        <f t="array" ref="AA11">IFERROR(HYPERLINK("#KPI_Master!A"&amp;MATCH(SMALL(IF(KPI_Element_Map!$E$2:$E$287=$A11,KPI_Element_Map!$A$2:$A$287),COLUMNS($J11:AA11)),KPI_Master!$A:$A,0)&amp;":P"&amp;MATCH(SMALL(IF(KPI_Element_Map!$E$2:$E$287=$A11,KPI_Element_Map!$A$2:$A$287),COLUMNS($J11:AA11)),KPI_Master!$A:$A,0),SMALL(IF(KPI_Element_Map!$E$2:$E$287=$A11,KPI_Element_Map!$A$2:$A$287),COLUMNS($J11:AA11))),"")</f>
        <v/>
      </c>
      <c r="AB11" s="25" t="str">
        <f t="array" ref="AB11">IFERROR(HYPERLINK("#KPI_Master!A"&amp;MATCH(SMALL(IF(KPI_Element_Map!$E$2:$E$287=$A11,KPI_Element_Map!$A$2:$A$287),COLUMNS($J11:AB11)),KPI_Master!$A:$A,0)&amp;":P"&amp;MATCH(SMALL(IF(KPI_Element_Map!$E$2:$E$287=$A11,KPI_Element_Map!$A$2:$A$287),COLUMNS($J11:AB11)),KPI_Master!$A:$A,0),SMALL(IF(KPI_Element_Map!$E$2:$E$287=$A11,KPI_Element_Map!$A$2:$A$287),COLUMNS($J11:AB11))),"")</f>
        <v/>
      </c>
      <c r="AC11" s="25" t="str">
        <f t="array" ref="AC11">IFERROR(HYPERLINK("#KPI_Master!A"&amp;MATCH(SMALL(IF(KPI_Element_Map!$E$2:$E$287=$A11,KPI_Element_Map!$A$2:$A$287),COLUMNS($J11:AC11)),KPI_Master!$A:$A,0)&amp;":P"&amp;MATCH(SMALL(IF(KPI_Element_Map!$E$2:$E$287=$A11,KPI_Element_Map!$A$2:$A$287),COLUMNS($J11:AC11)),KPI_Master!$A:$A,0),SMALL(IF(KPI_Element_Map!$E$2:$E$287=$A11,KPI_Element_Map!$A$2:$A$287),COLUMNS($J11:AC11))),"")</f>
        <v/>
      </c>
      <c r="AD11" s="25" t="str">
        <f t="array" ref="AD11">IFERROR(HYPERLINK("#KPI_Master!A"&amp;MATCH(SMALL(IF(KPI_Element_Map!$E$2:$E$287=$A11,KPI_Element_Map!$A$2:$A$287),COLUMNS($J11:AD11)),KPI_Master!$A:$A,0)&amp;":P"&amp;MATCH(SMALL(IF(KPI_Element_Map!$E$2:$E$287=$A11,KPI_Element_Map!$A$2:$A$287),COLUMNS($J11:AD11)),KPI_Master!$A:$A,0),SMALL(IF(KPI_Element_Map!$E$2:$E$287=$A11,KPI_Element_Map!$A$2:$A$287),COLUMNS($J11:AD11))),"")</f>
        <v/>
      </c>
      <c r="AE11" s="25" t="str">
        <f t="array" ref="AE11">IFERROR(HYPERLINK("#KPI_Master!A"&amp;MATCH(SMALL(IF(KPI_Element_Map!$E$2:$E$287=$A11,KPI_Element_Map!$A$2:$A$287),COLUMNS($J11:AE11)),KPI_Master!$A:$A,0)&amp;":P"&amp;MATCH(SMALL(IF(KPI_Element_Map!$E$2:$E$287=$A11,KPI_Element_Map!$A$2:$A$287),COLUMNS($J11:AE11)),KPI_Master!$A:$A,0),SMALL(IF(KPI_Element_Map!$E$2:$E$287=$A11,KPI_Element_Map!$A$2:$A$287),COLUMNS($J11:AE11))),"")</f>
        <v/>
      </c>
      <c r="AF11" s="25" t="str">
        <f t="array" ref="AF11">IFERROR(HYPERLINK("#KPI_Master!A"&amp;MATCH(SMALL(IF(KPI_Element_Map!$E$2:$E$287=$A11,KPI_Element_Map!$A$2:$A$287),COLUMNS($J11:AF11)),KPI_Master!$A:$A,0)&amp;":P"&amp;MATCH(SMALL(IF(KPI_Element_Map!$E$2:$E$287=$A11,KPI_Element_Map!$A$2:$A$287),COLUMNS($J11:AF11)),KPI_Master!$A:$A,0),SMALL(IF(KPI_Element_Map!$E$2:$E$287=$A11,KPI_Element_Map!$A$2:$A$287),COLUMNS($J11:AF11))),"")</f>
        <v/>
      </c>
      <c r="AG11" s="25" t="str">
        <f t="array" ref="AG11">IFERROR(HYPERLINK("#KPI_Master!A"&amp;MATCH(SMALL(IF(KPI_Element_Map!$E$2:$E$287=$A11,KPI_Element_Map!$A$2:$A$287),COLUMNS($J11:AG11)),KPI_Master!$A:$A,0)&amp;":P"&amp;MATCH(SMALL(IF(KPI_Element_Map!$E$2:$E$287=$A11,KPI_Element_Map!$A$2:$A$287),COLUMNS($J11:AG11)),KPI_Master!$A:$A,0),SMALL(IF(KPI_Element_Map!$E$2:$E$287=$A11,KPI_Element_Map!$A$2:$A$287),COLUMNS($J11:AG11))),"")</f>
        <v/>
      </c>
      <c r="AH11" s="25" t="str">
        <f t="array" ref="AH11">IFERROR(HYPERLINK("#KPI_Master!A"&amp;MATCH(SMALL(IF(KPI_Element_Map!$E$2:$E$287=$A11,KPI_Element_Map!$A$2:$A$287),COLUMNS($J11:AH11)),KPI_Master!$A:$A,0)&amp;":P"&amp;MATCH(SMALL(IF(KPI_Element_Map!$E$2:$E$287=$A11,KPI_Element_Map!$A$2:$A$287),COLUMNS($J11:AH11)),KPI_Master!$A:$A,0),SMALL(IF(KPI_Element_Map!$E$2:$E$287=$A11,KPI_Element_Map!$A$2:$A$287),COLUMNS($J11:AH11))),"")</f>
        <v/>
      </c>
    </row>
    <row r="12" spans="1:34" ht="28.5" customHeight="1">
      <c r="A12" s="21" t="s">
        <v>950</v>
      </c>
      <c r="B12" s="22" t="s">
        <v>951</v>
      </c>
      <c r="C12" s="23" t="s">
        <v>952</v>
      </c>
      <c r="D12" s="23" t="str">
        <f t="array" ref="D12">_xlfn.TEXTJOIN(", ",TRUE(),IF(KPI_Element_Map!$E$2:$E$287=$A12,KPI_Element_Map!$A$2:$A$287,""))</f>
        <v>151, 152, 158, 159, 162</v>
      </c>
      <c r="E12" s="21">
        <f>COUNTIF(KPI_Element_Map!$E$2:$E$287,$A12)</f>
        <v>5</v>
      </c>
      <c r="F12" s="21">
        <f>COUNTIFS(KPI_Element_Map!$E$2:$E$287,$A12,KPI_Element_Map!$D$2:$D$287,"1 - Core")</f>
        <v>2</v>
      </c>
      <c r="G12" s="24" t="s">
        <v>931</v>
      </c>
      <c r="H12" s="23" t="str">
        <f>INDEX(Minimum_Documents!$B:$B,MATCH($G12,Minimum_Documents!$A:$A,0))</f>
        <v>Census &amp; ADT Register</v>
      </c>
      <c r="J12" s="25">
        <f t="array" ref="J12">IFERROR(HYPERLINK("#KPI_Master!A"&amp;MATCH(SMALL(IF(KPI_Element_Map!$E$2:$E$287=$A12,KPI_Element_Map!$A$2:$A$287),COLUMNS($J12:J12)),KPI_Master!$A:$A,0)&amp;":P"&amp;MATCH(SMALL(IF(KPI_Element_Map!$E$2:$E$287=$A12,KPI_Element_Map!$A$2:$A$287),COLUMNS($J12:J12)),KPI_Master!$A:$A,0),SMALL(IF(KPI_Element_Map!$E$2:$E$287=$A12,KPI_Element_Map!$A$2:$A$287),COLUMNS($J12:J12))),"")</f>
        <v>151</v>
      </c>
      <c r="K12" s="25">
        <f t="array" ref="K12">IFERROR(HYPERLINK("#KPI_Master!A"&amp;MATCH(SMALL(IF(KPI_Element_Map!$E$2:$E$287=$A12,KPI_Element_Map!$A$2:$A$287),COLUMNS($J12:K12)),KPI_Master!$A:$A,0)&amp;":P"&amp;MATCH(SMALL(IF(KPI_Element_Map!$E$2:$E$287=$A12,KPI_Element_Map!$A$2:$A$287),COLUMNS($J12:K12)),KPI_Master!$A:$A,0),SMALL(IF(KPI_Element_Map!$E$2:$E$287=$A12,KPI_Element_Map!$A$2:$A$287),COLUMNS($J12:K12))),"")</f>
        <v>152</v>
      </c>
      <c r="L12" s="25">
        <f t="array" ref="L12">IFERROR(HYPERLINK("#KPI_Master!A"&amp;MATCH(SMALL(IF(KPI_Element_Map!$E$2:$E$287=$A12,KPI_Element_Map!$A$2:$A$287),COLUMNS($J12:L12)),KPI_Master!$A:$A,0)&amp;":P"&amp;MATCH(SMALL(IF(KPI_Element_Map!$E$2:$E$287=$A12,KPI_Element_Map!$A$2:$A$287),COLUMNS($J12:L12)),KPI_Master!$A:$A,0),SMALL(IF(KPI_Element_Map!$E$2:$E$287=$A12,KPI_Element_Map!$A$2:$A$287),COLUMNS($J12:L12))),"")</f>
        <v>158</v>
      </c>
      <c r="M12" s="25">
        <f t="array" ref="M12">IFERROR(HYPERLINK("#KPI_Master!A"&amp;MATCH(SMALL(IF(KPI_Element_Map!$E$2:$E$287=$A12,KPI_Element_Map!$A$2:$A$287),COLUMNS($J12:M12)),KPI_Master!$A:$A,0)&amp;":P"&amp;MATCH(SMALL(IF(KPI_Element_Map!$E$2:$E$287=$A12,KPI_Element_Map!$A$2:$A$287),COLUMNS($J12:M12)),KPI_Master!$A:$A,0),SMALL(IF(KPI_Element_Map!$E$2:$E$287=$A12,KPI_Element_Map!$A$2:$A$287),COLUMNS($J12:M12))),"")</f>
        <v>159</v>
      </c>
      <c r="N12" s="25">
        <f t="array" ref="N12">IFERROR(HYPERLINK("#KPI_Master!A"&amp;MATCH(SMALL(IF(KPI_Element_Map!$E$2:$E$287=$A12,KPI_Element_Map!$A$2:$A$287),COLUMNS($J12:N12)),KPI_Master!$A:$A,0)&amp;":P"&amp;MATCH(SMALL(IF(KPI_Element_Map!$E$2:$E$287=$A12,KPI_Element_Map!$A$2:$A$287),COLUMNS($J12:N12)),KPI_Master!$A:$A,0),SMALL(IF(KPI_Element_Map!$E$2:$E$287=$A12,KPI_Element_Map!$A$2:$A$287),COLUMNS($J12:N12))),"")</f>
        <v>162</v>
      </c>
      <c r="O12" s="25" t="str">
        <f t="array" ref="O12">IFERROR(HYPERLINK("#KPI_Master!A"&amp;MATCH(SMALL(IF(KPI_Element_Map!$E$2:$E$287=$A12,KPI_Element_Map!$A$2:$A$287),COLUMNS($J12:O12)),KPI_Master!$A:$A,0)&amp;":P"&amp;MATCH(SMALL(IF(KPI_Element_Map!$E$2:$E$287=$A12,KPI_Element_Map!$A$2:$A$287),COLUMNS($J12:O12)),KPI_Master!$A:$A,0),SMALL(IF(KPI_Element_Map!$E$2:$E$287=$A12,KPI_Element_Map!$A$2:$A$287),COLUMNS($J12:O12))),"")</f>
        <v/>
      </c>
      <c r="P12" s="25" t="str">
        <f t="array" ref="P12">IFERROR(HYPERLINK("#KPI_Master!A"&amp;MATCH(SMALL(IF(KPI_Element_Map!$E$2:$E$287=$A12,KPI_Element_Map!$A$2:$A$287),COLUMNS($J12:P12)),KPI_Master!$A:$A,0)&amp;":P"&amp;MATCH(SMALL(IF(KPI_Element_Map!$E$2:$E$287=$A12,KPI_Element_Map!$A$2:$A$287),COLUMNS($J12:P12)),KPI_Master!$A:$A,0),SMALL(IF(KPI_Element_Map!$E$2:$E$287=$A12,KPI_Element_Map!$A$2:$A$287),COLUMNS($J12:P12))),"")</f>
        <v/>
      </c>
      <c r="Q12" s="25" t="str">
        <f t="array" ref="Q12">IFERROR(HYPERLINK("#KPI_Master!A"&amp;MATCH(SMALL(IF(KPI_Element_Map!$E$2:$E$287=$A12,KPI_Element_Map!$A$2:$A$287),COLUMNS($J12:Q12)),KPI_Master!$A:$A,0)&amp;":P"&amp;MATCH(SMALL(IF(KPI_Element_Map!$E$2:$E$287=$A12,KPI_Element_Map!$A$2:$A$287),COLUMNS($J12:Q12)),KPI_Master!$A:$A,0),SMALL(IF(KPI_Element_Map!$E$2:$E$287=$A12,KPI_Element_Map!$A$2:$A$287),COLUMNS($J12:Q12))),"")</f>
        <v/>
      </c>
      <c r="R12" s="25" t="str">
        <f t="array" ref="R12">IFERROR(HYPERLINK("#KPI_Master!A"&amp;MATCH(SMALL(IF(KPI_Element_Map!$E$2:$E$287=$A12,KPI_Element_Map!$A$2:$A$287),COLUMNS($J12:R12)),KPI_Master!$A:$A,0)&amp;":P"&amp;MATCH(SMALL(IF(KPI_Element_Map!$E$2:$E$287=$A12,KPI_Element_Map!$A$2:$A$287),COLUMNS($J12:R12)),KPI_Master!$A:$A,0),SMALL(IF(KPI_Element_Map!$E$2:$E$287=$A12,KPI_Element_Map!$A$2:$A$287),COLUMNS($J12:R12))),"")</f>
        <v/>
      </c>
      <c r="S12" s="25" t="str">
        <f t="array" ref="S12">IFERROR(HYPERLINK("#KPI_Master!A"&amp;MATCH(SMALL(IF(KPI_Element_Map!$E$2:$E$287=$A12,KPI_Element_Map!$A$2:$A$287),COLUMNS($J12:S12)),KPI_Master!$A:$A,0)&amp;":P"&amp;MATCH(SMALL(IF(KPI_Element_Map!$E$2:$E$287=$A12,KPI_Element_Map!$A$2:$A$287),COLUMNS($J12:S12)),KPI_Master!$A:$A,0),SMALL(IF(KPI_Element_Map!$E$2:$E$287=$A12,KPI_Element_Map!$A$2:$A$287),COLUMNS($J12:S12))),"")</f>
        <v/>
      </c>
      <c r="T12" s="25" t="str">
        <f t="array" ref="T12">IFERROR(HYPERLINK("#KPI_Master!A"&amp;MATCH(SMALL(IF(KPI_Element_Map!$E$2:$E$287=$A12,KPI_Element_Map!$A$2:$A$287),COLUMNS($J12:T12)),KPI_Master!$A:$A,0)&amp;":P"&amp;MATCH(SMALL(IF(KPI_Element_Map!$E$2:$E$287=$A12,KPI_Element_Map!$A$2:$A$287),COLUMNS($J12:T12)),KPI_Master!$A:$A,0),SMALL(IF(KPI_Element_Map!$E$2:$E$287=$A12,KPI_Element_Map!$A$2:$A$287),COLUMNS($J12:T12))),"")</f>
        <v/>
      </c>
      <c r="U12" s="25" t="str">
        <f t="array" ref="U12">IFERROR(HYPERLINK("#KPI_Master!A"&amp;MATCH(SMALL(IF(KPI_Element_Map!$E$2:$E$287=$A12,KPI_Element_Map!$A$2:$A$287),COLUMNS($J12:U12)),KPI_Master!$A:$A,0)&amp;":P"&amp;MATCH(SMALL(IF(KPI_Element_Map!$E$2:$E$287=$A12,KPI_Element_Map!$A$2:$A$287),COLUMNS($J12:U12)),KPI_Master!$A:$A,0),SMALL(IF(KPI_Element_Map!$E$2:$E$287=$A12,KPI_Element_Map!$A$2:$A$287),COLUMNS($J12:U12))),"")</f>
        <v/>
      </c>
      <c r="V12" s="25" t="str">
        <f t="array" ref="V12">IFERROR(HYPERLINK("#KPI_Master!A"&amp;MATCH(SMALL(IF(KPI_Element_Map!$E$2:$E$287=$A12,KPI_Element_Map!$A$2:$A$287),COLUMNS($J12:V12)),KPI_Master!$A:$A,0)&amp;":P"&amp;MATCH(SMALL(IF(KPI_Element_Map!$E$2:$E$287=$A12,KPI_Element_Map!$A$2:$A$287),COLUMNS($J12:V12)),KPI_Master!$A:$A,0),SMALL(IF(KPI_Element_Map!$E$2:$E$287=$A12,KPI_Element_Map!$A$2:$A$287),COLUMNS($J12:V12))),"")</f>
        <v/>
      </c>
      <c r="W12" s="25" t="str">
        <f t="array" ref="W12">IFERROR(HYPERLINK("#KPI_Master!A"&amp;MATCH(SMALL(IF(KPI_Element_Map!$E$2:$E$287=$A12,KPI_Element_Map!$A$2:$A$287),COLUMNS($J12:W12)),KPI_Master!$A:$A,0)&amp;":P"&amp;MATCH(SMALL(IF(KPI_Element_Map!$E$2:$E$287=$A12,KPI_Element_Map!$A$2:$A$287),COLUMNS($J12:W12)),KPI_Master!$A:$A,0),SMALL(IF(KPI_Element_Map!$E$2:$E$287=$A12,KPI_Element_Map!$A$2:$A$287),COLUMNS($J12:W12))),"")</f>
        <v/>
      </c>
      <c r="X12" s="25" t="str">
        <f t="array" ref="X12">IFERROR(HYPERLINK("#KPI_Master!A"&amp;MATCH(SMALL(IF(KPI_Element_Map!$E$2:$E$287=$A12,KPI_Element_Map!$A$2:$A$287),COLUMNS($J12:X12)),KPI_Master!$A:$A,0)&amp;":P"&amp;MATCH(SMALL(IF(KPI_Element_Map!$E$2:$E$287=$A12,KPI_Element_Map!$A$2:$A$287),COLUMNS($J12:X12)),KPI_Master!$A:$A,0),SMALL(IF(KPI_Element_Map!$E$2:$E$287=$A12,KPI_Element_Map!$A$2:$A$287),COLUMNS($J12:X12))),"")</f>
        <v/>
      </c>
      <c r="Y12" s="25" t="str">
        <f t="array" ref="Y12">IFERROR(HYPERLINK("#KPI_Master!A"&amp;MATCH(SMALL(IF(KPI_Element_Map!$E$2:$E$287=$A12,KPI_Element_Map!$A$2:$A$287),COLUMNS($J12:Y12)),KPI_Master!$A:$A,0)&amp;":P"&amp;MATCH(SMALL(IF(KPI_Element_Map!$E$2:$E$287=$A12,KPI_Element_Map!$A$2:$A$287),COLUMNS($J12:Y12)),KPI_Master!$A:$A,0),SMALL(IF(KPI_Element_Map!$E$2:$E$287=$A12,KPI_Element_Map!$A$2:$A$287),COLUMNS($J12:Y12))),"")</f>
        <v/>
      </c>
      <c r="Z12" s="25" t="str">
        <f t="array" ref="Z12">IFERROR(HYPERLINK("#KPI_Master!A"&amp;MATCH(SMALL(IF(KPI_Element_Map!$E$2:$E$287=$A12,KPI_Element_Map!$A$2:$A$287),COLUMNS($J12:Z12)),KPI_Master!$A:$A,0)&amp;":P"&amp;MATCH(SMALL(IF(KPI_Element_Map!$E$2:$E$287=$A12,KPI_Element_Map!$A$2:$A$287),COLUMNS($J12:Z12)),KPI_Master!$A:$A,0),SMALL(IF(KPI_Element_Map!$E$2:$E$287=$A12,KPI_Element_Map!$A$2:$A$287),COLUMNS($J12:Z12))),"")</f>
        <v/>
      </c>
      <c r="AA12" s="25" t="str">
        <f t="array" ref="AA12">IFERROR(HYPERLINK("#KPI_Master!A"&amp;MATCH(SMALL(IF(KPI_Element_Map!$E$2:$E$287=$A12,KPI_Element_Map!$A$2:$A$287),COLUMNS($J12:AA12)),KPI_Master!$A:$A,0)&amp;":P"&amp;MATCH(SMALL(IF(KPI_Element_Map!$E$2:$E$287=$A12,KPI_Element_Map!$A$2:$A$287),COLUMNS($J12:AA12)),KPI_Master!$A:$A,0),SMALL(IF(KPI_Element_Map!$E$2:$E$287=$A12,KPI_Element_Map!$A$2:$A$287),COLUMNS($J12:AA12))),"")</f>
        <v/>
      </c>
      <c r="AB12" s="25" t="str">
        <f t="array" ref="AB12">IFERROR(HYPERLINK("#KPI_Master!A"&amp;MATCH(SMALL(IF(KPI_Element_Map!$E$2:$E$287=$A12,KPI_Element_Map!$A$2:$A$287),COLUMNS($J12:AB12)),KPI_Master!$A:$A,0)&amp;":P"&amp;MATCH(SMALL(IF(KPI_Element_Map!$E$2:$E$287=$A12,KPI_Element_Map!$A$2:$A$287),COLUMNS($J12:AB12)),KPI_Master!$A:$A,0),SMALL(IF(KPI_Element_Map!$E$2:$E$287=$A12,KPI_Element_Map!$A$2:$A$287),COLUMNS($J12:AB12))),"")</f>
        <v/>
      </c>
      <c r="AC12" s="25" t="str">
        <f t="array" ref="AC12">IFERROR(HYPERLINK("#KPI_Master!A"&amp;MATCH(SMALL(IF(KPI_Element_Map!$E$2:$E$287=$A12,KPI_Element_Map!$A$2:$A$287),COLUMNS($J12:AC12)),KPI_Master!$A:$A,0)&amp;":P"&amp;MATCH(SMALL(IF(KPI_Element_Map!$E$2:$E$287=$A12,KPI_Element_Map!$A$2:$A$287),COLUMNS($J12:AC12)),KPI_Master!$A:$A,0),SMALL(IF(KPI_Element_Map!$E$2:$E$287=$A12,KPI_Element_Map!$A$2:$A$287),COLUMNS($J12:AC12))),"")</f>
        <v/>
      </c>
      <c r="AD12" s="25" t="str">
        <f t="array" ref="AD12">IFERROR(HYPERLINK("#KPI_Master!A"&amp;MATCH(SMALL(IF(KPI_Element_Map!$E$2:$E$287=$A12,KPI_Element_Map!$A$2:$A$287),COLUMNS($J12:AD12)),KPI_Master!$A:$A,0)&amp;":P"&amp;MATCH(SMALL(IF(KPI_Element_Map!$E$2:$E$287=$A12,KPI_Element_Map!$A$2:$A$287),COLUMNS($J12:AD12)),KPI_Master!$A:$A,0),SMALL(IF(KPI_Element_Map!$E$2:$E$287=$A12,KPI_Element_Map!$A$2:$A$287),COLUMNS($J12:AD12))),"")</f>
        <v/>
      </c>
      <c r="AE12" s="25" t="str">
        <f t="array" ref="AE12">IFERROR(HYPERLINK("#KPI_Master!A"&amp;MATCH(SMALL(IF(KPI_Element_Map!$E$2:$E$287=$A12,KPI_Element_Map!$A$2:$A$287),COLUMNS($J12:AE12)),KPI_Master!$A:$A,0)&amp;":P"&amp;MATCH(SMALL(IF(KPI_Element_Map!$E$2:$E$287=$A12,KPI_Element_Map!$A$2:$A$287),COLUMNS($J12:AE12)),KPI_Master!$A:$A,0),SMALL(IF(KPI_Element_Map!$E$2:$E$287=$A12,KPI_Element_Map!$A$2:$A$287),COLUMNS($J12:AE12))),"")</f>
        <v/>
      </c>
      <c r="AF12" s="25" t="str">
        <f t="array" ref="AF12">IFERROR(HYPERLINK("#KPI_Master!A"&amp;MATCH(SMALL(IF(KPI_Element_Map!$E$2:$E$287=$A12,KPI_Element_Map!$A$2:$A$287),COLUMNS($J12:AF12)),KPI_Master!$A:$A,0)&amp;":P"&amp;MATCH(SMALL(IF(KPI_Element_Map!$E$2:$E$287=$A12,KPI_Element_Map!$A$2:$A$287),COLUMNS($J12:AF12)),KPI_Master!$A:$A,0),SMALL(IF(KPI_Element_Map!$E$2:$E$287=$A12,KPI_Element_Map!$A$2:$A$287),COLUMNS($J12:AF12))),"")</f>
        <v/>
      </c>
      <c r="AG12" s="25" t="str">
        <f t="array" ref="AG12">IFERROR(HYPERLINK("#KPI_Master!A"&amp;MATCH(SMALL(IF(KPI_Element_Map!$E$2:$E$287=$A12,KPI_Element_Map!$A$2:$A$287),COLUMNS($J12:AG12)),KPI_Master!$A:$A,0)&amp;":P"&amp;MATCH(SMALL(IF(KPI_Element_Map!$E$2:$E$287=$A12,KPI_Element_Map!$A$2:$A$287),COLUMNS($J12:AG12)),KPI_Master!$A:$A,0),SMALL(IF(KPI_Element_Map!$E$2:$E$287=$A12,KPI_Element_Map!$A$2:$A$287),COLUMNS($J12:AG12))),"")</f>
        <v/>
      </c>
      <c r="AH12" s="25" t="str">
        <f t="array" ref="AH12">IFERROR(HYPERLINK("#KPI_Master!A"&amp;MATCH(SMALL(IF(KPI_Element_Map!$E$2:$E$287=$A12,KPI_Element_Map!$A$2:$A$287),COLUMNS($J12:AH12)),KPI_Master!$A:$A,0)&amp;":P"&amp;MATCH(SMALL(IF(KPI_Element_Map!$E$2:$E$287=$A12,KPI_Element_Map!$A$2:$A$287),COLUMNS($J12:AH12)),KPI_Master!$A:$A,0),SMALL(IF(KPI_Element_Map!$E$2:$E$287=$A12,KPI_Element_Map!$A$2:$A$287),COLUMNS($J12:AH12))),"")</f>
        <v/>
      </c>
    </row>
    <row r="13" spans="1:34" ht="28.5" customHeight="1">
      <c r="A13" s="21" t="s">
        <v>953</v>
      </c>
      <c r="B13" s="22" t="s">
        <v>954</v>
      </c>
      <c r="C13" s="23" t="s">
        <v>955</v>
      </c>
      <c r="D13" s="23" t="str">
        <f t="array" ref="D13">_xlfn.TEXTJOIN(", ",TRUE(),IF(KPI_Element_Map!$E$2:$E$287=$A13,KPI_Element_Map!$A$2:$A$287,""))</f>
        <v>86, 87</v>
      </c>
      <c r="E13" s="21">
        <f>COUNTIF(KPI_Element_Map!$E$2:$E$287,$A13)</f>
        <v>2</v>
      </c>
      <c r="F13" s="21">
        <f>COUNTIFS(KPI_Element_Map!$E$2:$E$287,$A13,KPI_Element_Map!$D$2:$D$287,"1 - Core")</f>
        <v>1</v>
      </c>
      <c r="G13" s="24" t="s">
        <v>931</v>
      </c>
      <c r="H13" s="23" t="str">
        <f>INDEX(Minimum_Documents!$B:$B,MATCH($G13,Minimum_Documents!$A:$A,0))</f>
        <v>Census &amp; ADT Register</v>
      </c>
      <c r="J13" s="25">
        <f t="array" ref="J13">IFERROR(HYPERLINK("#KPI_Master!A"&amp;MATCH(SMALL(IF(KPI_Element_Map!$E$2:$E$287=$A13,KPI_Element_Map!$A$2:$A$287),COLUMNS($J13:J13)),KPI_Master!$A:$A,0)&amp;":P"&amp;MATCH(SMALL(IF(KPI_Element_Map!$E$2:$E$287=$A13,KPI_Element_Map!$A$2:$A$287),COLUMNS($J13:J13)),KPI_Master!$A:$A,0),SMALL(IF(KPI_Element_Map!$E$2:$E$287=$A13,KPI_Element_Map!$A$2:$A$287),COLUMNS($J13:J13))),"")</f>
        <v>86</v>
      </c>
      <c r="K13" s="25">
        <f t="array" ref="K13">IFERROR(HYPERLINK("#KPI_Master!A"&amp;MATCH(SMALL(IF(KPI_Element_Map!$E$2:$E$287=$A13,KPI_Element_Map!$A$2:$A$287),COLUMNS($J13:K13)),KPI_Master!$A:$A,0)&amp;":P"&amp;MATCH(SMALL(IF(KPI_Element_Map!$E$2:$E$287=$A13,KPI_Element_Map!$A$2:$A$287),COLUMNS($J13:K13)),KPI_Master!$A:$A,0),SMALL(IF(KPI_Element_Map!$E$2:$E$287=$A13,KPI_Element_Map!$A$2:$A$287),COLUMNS($J13:K13))),"")</f>
        <v>87</v>
      </c>
      <c r="L13" s="25" t="str">
        <f t="array" ref="L13">IFERROR(HYPERLINK("#KPI_Master!A"&amp;MATCH(SMALL(IF(KPI_Element_Map!$E$2:$E$287=$A13,KPI_Element_Map!$A$2:$A$287),COLUMNS($J13:L13)),KPI_Master!$A:$A,0)&amp;":P"&amp;MATCH(SMALL(IF(KPI_Element_Map!$E$2:$E$287=$A13,KPI_Element_Map!$A$2:$A$287),COLUMNS($J13:L13)),KPI_Master!$A:$A,0),SMALL(IF(KPI_Element_Map!$E$2:$E$287=$A13,KPI_Element_Map!$A$2:$A$287),COLUMNS($J13:L13))),"")</f>
        <v/>
      </c>
      <c r="M13" s="25" t="str">
        <f t="array" ref="M13">IFERROR(HYPERLINK("#KPI_Master!A"&amp;MATCH(SMALL(IF(KPI_Element_Map!$E$2:$E$287=$A13,KPI_Element_Map!$A$2:$A$287),COLUMNS($J13:M13)),KPI_Master!$A:$A,0)&amp;":P"&amp;MATCH(SMALL(IF(KPI_Element_Map!$E$2:$E$287=$A13,KPI_Element_Map!$A$2:$A$287),COLUMNS($J13:M13)),KPI_Master!$A:$A,0),SMALL(IF(KPI_Element_Map!$E$2:$E$287=$A13,KPI_Element_Map!$A$2:$A$287),COLUMNS($J13:M13))),"")</f>
        <v/>
      </c>
      <c r="N13" s="25" t="str">
        <f t="array" ref="N13">IFERROR(HYPERLINK("#KPI_Master!A"&amp;MATCH(SMALL(IF(KPI_Element_Map!$E$2:$E$287=$A13,KPI_Element_Map!$A$2:$A$287),COLUMNS($J13:N13)),KPI_Master!$A:$A,0)&amp;":P"&amp;MATCH(SMALL(IF(KPI_Element_Map!$E$2:$E$287=$A13,KPI_Element_Map!$A$2:$A$287),COLUMNS($J13:N13)),KPI_Master!$A:$A,0),SMALL(IF(KPI_Element_Map!$E$2:$E$287=$A13,KPI_Element_Map!$A$2:$A$287),COLUMNS($J13:N13))),"")</f>
        <v/>
      </c>
      <c r="O13" s="25" t="str">
        <f t="array" ref="O13">IFERROR(HYPERLINK("#KPI_Master!A"&amp;MATCH(SMALL(IF(KPI_Element_Map!$E$2:$E$287=$A13,KPI_Element_Map!$A$2:$A$287),COLUMNS($J13:O13)),KPI_Master!$A:$A,0)&amp;":P"&amp;MATCH(SMALL(IF(KPI_Element_Map!$E$2:$E$287=$A13,KPI_Element_Map!$A$2:$A$287),COLUMNS($J13:O13)),KPI_Master!$A:$A,0),SMALL(IF(KPI_Element_Map!$E$2:$E$287=$A13,KPI_Element_Map!$A$2:$A$287),COLUMNS($J13:O13))),"")</f>
        <v/>
      </c>
      <c r="P13" s="25" t="str">
        <f t="array" ref="P13">IFERROR(HYPERLINK("#KPI_Master!A"&amp;MATCH(SMALL(IF(KPI_Element_Map!$E$2:$E$287=$A13,KPI_Element_Map!$A$2:$A$287),COLUMNS($J13:P13)),KPI_Master!$A:$A,0)&amp;":P"&amp;MATCH(SMALL(IF(KPI_Element_Map!$E$2:$E$287=$A13,KPI_Element_Map!$A$2:$A$287),COLUMNS($J13:P13)),KPI_Master!$A:$A,0),SMALL(IF(KPI_Element_Map!$E$2:$E$287=$A13,KPI_Element_Map!$A$2:$A$287),COLUMNS($J13:P13))),"")</f>
        <v/>
      </c>
      <c r="Q13" s="25" t="str">
        <f t="array" ref="Q13">IFERROR(HYPERLINK("#KPI_Master!A"&amp;MATCH(SMALL(IF(KPI_Element_Map!$E$2:$E$287=$A13,KPI_Element_Map!$A$2:$A$287),COLUMNS($J13:Q13)),KPI_Master!$A:$A,0)&amp;":P"&amp;MATCH(SMALL(IF(KPI_Element_Map!$E$2:$E$287=$A13,KPI_Element_Map!$A$2:$A$287),COLUMNS($J13:Q13)),KPI_Master!$A:$A,0),SMALL(IF(KPI_Element_Map!$E$2:$E$287=$A13,KPI_Element_Map!$A$2:$A$287),COLUMNS($J13:Q13))),"")</f>
        <v/>
      </c>
      <c r="R13" s="25" t="str">
        <f t="array" ref="R13">IFERROR(HYPERLINK("#KPI_Master!A"&amp;MATCH(SMALL(IF(KPI_Element_Map!$E$2:$E$287=$A13,KPI_Element_Map!$A$2:$A$287),COLUMNS($J13:R13)),KPI_Master!$A:$A,0)&amp;":P"&amp;MATCH(SMALL(IF(KPI_Element_Map!$E$2:$E$287=$A13,KPI_Element_Map!$A$2:$A$287),COLUMNS($J13:R13)),KPI_Master!$A:$A,0),SMALL(IF(KPI_Element_Map!$E$2:$E$287=$A13,KPI_Element_Map!$A$2:$A$287),COLUMNS($J13:R13))),"")</f>
        <v/>
      </c>
      <c r="S13" s="25" t="str">
        <f t="array" ref="S13">IFERROR(HYPERLINK("#KPI_Master!A"&amp;MATCH(SMALL(IF(KPI_Element_Map!$E$2:$E$287=$A13,KPI_Element_Map!$A$2:$A$287),COLUMNS($J13:S13)),KPI_Master!$A:$A,0)&amp;":P"&amp;MATCH(SMALL(IF(KPI_Element_Map!$E$2:$E$287=$A13,KPI_Element_Map!$A$2:$A$287),COLUMNS($J13:S13)),KPI_Master!$A:$A,0),SMALL(IF(KPI_Element_Map!$E$2:$E$287=$A13,KPI_Element_Map!$A$2:$A$287),COLUMNS($J13:S13))),"")</f>
        <v/>
      </c>
      <c r="T13" s="25" t="str">
        <f t="array" ref="T13">IFERROR(HYPERLINK("#KPI_Master!A"&amp;MATCH(SMALL(IF(KPI_Element_Map!$E$2:$E$287=$A13,KPI_Element_Map!$A$2:$A$287),COLUMNS($J13:T13)),KPI_Master!$A:$A,0)&amp;":P"&amp;MATCH(SMALL(IF(KPI_Element_Map!$E$2:$E$287=$A13,KPI_Element_Map!$A$2:$A$287),COLUMNS($J13:T13)),KPI_Master!$A:$A,0),SMALL(IF(KPI_Element_Map!$E$2:$E$287=$A13,KPI_Element_Map!$A$2:$A$287),COLUMNS($J13:T13))),"")</f>
        <v/>
      </c>
      <c r="U13" s="25" t="str">
        <f t="array" ref="U13">IFERROR(HYPERLINK("#KPI_Master!A"&amp;MATCH(SMALL(IF(KPI_Element_Map!$E$2:$E$287=$A13,KPI_Element_Map!$A$2:$A$287),COLUMNS($J13:U13)),KPI_Master!$A:$A,0)&amp;":P"&amp;MATCH(SMALL(IF(KPI_Element_Map!$E$2:$E$287=$A13,KPI_Element_Map!$A$2:$A$287),COLUMNS($J13:U13)),KPI_Master!$A:$A,0),SMALL(IF(KPI_Element_Map!$E$2:$E$287=$A13,KPI_Element_Map!$A$2:$A$287),COLUMNS($J13:U13))),"")</f>
        <v/>
      </c>
      <c r="V13" s="25" t="str">
        <f t="array" ref="V13">IFERROR(HYPERLINK("#KPI_Master!A"&amp;MATCH(SMALL(IF(KPI_Element_Map!$E$2:$E$287=$A13,KPI_Element_Map!$A$2:$A$287),COLUMNS($J13:V13)),KPI_Master!$A:$A,0)&amp;":P"&amp;MATCH(SMALL(IF(KPI_Element_Map!$E$2:$E$287=$A13,KPI_Element_Map!$A$2:$A$287),COLUMNS($J13:V13)),KPI_Master!$A:$A,0),SMALL(IF(KPI_Element_Map!$E$2:$E$287=$A13,KPI_Element_Map!$A$2:$A$287),COLUMNS($J13:V13))),"")</f>
        <v/>
      </c>
      <c r="W13" s="25" t="str">
        <f t="array" ref="W13">IFERROR(HYPERLINK("#KPI_Master!A"&amp;MATCH(SMALL(IF(KPI_Element_Map!$E$2:$E$287=$A13,KPI_Element_Map!$A$2:$A$287),COLUMNS($J13:W13)),KPI_Master!$A:$A,0)&amp;":P"&amp;MATCH(SMALL(IF(KPI_Element_Map!$E$2:$E$287=$A13,KPI_Element_Map!$A$2:$A$287),COLUMNS($J13:W13)),KPI_Master!$A:$A,0),SMALL(IF(KPI_Element_Map!$E$2:$E$287=$A13,KPI_Element_Map!$A$2:$A$287),COLUMNS($J13:W13))),"")</f>
        <v/>
      </c>
      <c r="X13" s="25" t="str">
        <f t="array" ref="X13">IFERROR(HYPERLINK("#KPI_Master!A"&amp;MATCH(SMALL(IF(KPI_Element_Map!$E$2:$E$287=$A13,KPI_Element_Map!$A$2:$A$287),COLUMNS($J13:X13)),KPI_Master!$A:$A,0)&amp;":P"&amp;MATCH(SMALL(IF(KPI_Element_Map!$E$2:$E$287=$A13,KPI_Element_Map!$A$2:$A$287),COLUMNS($J13:X13)),KPI_Master!$A:$A,0),SMALL(IF(KPI_Element_Map!$E$2:$E$287=$A13,KPI_Element_Map!$A$2:$A$287),COLUMNS($J13:X13))),"")</f>
        <v/>
      </c>
      <c r="Y13" s="25" t="str">
        <f t="array" ref="Y13">IFERROR(HYPERLINK("#KPI_Master!A"&amp;MATCH(SMALL(IF(KPI_Element_Map!$E$2:$E$287=$A13,KPI_Element_Map!$A$2:$A$287),COLUMNS($J13:Y13)),KPI_Master!$A:$A,0)&amp;":P"&amp;MATCH(SMALL(IF(KPI_Element_Map!$E$2:$E$287=$A13,KPI_Element_Map!$A$2:$A$287),COLUMNS($J13:Y13)),KPI_Master!$A:$A,0),SMALL(IF(KPI_Element_Map!$E$2:$E$287=$A13,KPI_Element_Map!$A$2:$A$287),COLUMNS($J13:Y13))),"")</f>
        <v/>
      </c>
      <c r="Z13" s="25" t="str">
        <f t="array" ref="Z13">IFERROR(HYPERLINK("#KPI_Master!A"&amp;MATCH(SMALL(IF(KPI_Element_Map!$E$2:$E$287=$A13,KPI_Element_Map!$A$2:$A$287),COLUMNS($J13:Z13)),KPI_Master!$A:$A,0)&amp;":P"&amp;MATCH(SMALL(IF(KPI_Element_Map!$E$2:$E$287=$A13,KPI_Element_Map!$A$2:$A$287),COLUMNS($J13:Z13)),KPI_Master!$A:$A,0),SMALL(IF(KPI_Element_Map!$E$2:$E$287=$A13,KPI_Element_Map!$A$2:$A$287),COLUMNS($J13:Z13))),"")</f>
        <v/>
      </c>
      <c r="AA13" s="25" t="str">
        <f t="array" ref="AA13">IFERROR(HYPERLINK("#KPI_Master!A"&amp;MATCH(SMALL(IF(KPI_Element_Map!$E$2:$E$287=$A13,KPI_Element_Map!$A$2:$A$287),COLUMNS($J13:AA13)),KPI_Master!$A:$A,0)&amp;":P"&amp;MATCH(SMALL(IF(KPI_Element_Map!$E$2:$E$287=$A13,KPI_Element_Map!$A$2:$A$287),COLUMNS($J13:AA13)),KPI_Master!$A:$A,0),SMALL(IF(KPI_Element_Map!$E$2:$E$287=$A13,KPI_Element_Map!$A$2:$A$287),COLUMNS($J13:AA13))),"")</f>
        <v/>
      </c>
      <c r="AB13" s="25" t="str">
        <f t="array" ref="AB13">IFERROR(HYPERLINK("#KPI_Master!A"&amp;MATCH(SMALL(IF(KPI_Element_Map!$E$2:$E$287=$A13,KPI_Element_Map!$A$2:$A$287),COLUMNS($J13:AB13)),KPI_Master!$A:$A,0)&amp;":P"&amp;MATCH(SMALL(IF(KPI_Element_Map!$E$2:$E$287=$A13,KPI_Element_Map!$A$2:$A$287),COLUMNS($J13:AB13)),KPI_Master!$A:$A,0),SMALL(IF(KPI_Element_Map!$E$2:$E$287=$A13,KPI_Element_Map!$A$2:$A$287),COLUMNS($J13:AB13))),"")</f>
        <v/>
      </c>
      <c r="AC13" s="25" t="str">
        <f t="array" ref="AC13">IFERROR(HYPERLINK("#KPI_Master!A"&amp;MATCH(SMALL(IF(KPI_Element_Map!$E$2:$E$287=$A13,KPI_Element_Map!$A$2:$A$287),COLUMNS($J13:AC13)),KPI_Master!$A:$A,0)&amp;":P"&amp;MATCH(SMALL(IF(KPI_Element_Map!$E$2:$E$287=$A13,KPI_Element_Map!$A$2:$A$287),COLUMNS($J13:AC13)),KPI_Master!$A:$A,0),SMALL(IF(KPI_Element_Map!$E$2:$E$287=$A13,KPI_Element_Map!$A$2:$A$287),COLUMNS($J13:AC13))),"")</f>
        <v/>
      </c>
      <c r="AD13" s="25" t="str">
        <f t="array" ref="AD13">IFERROR(HYPERLINK("#KPI_Master!A"&amp;MATCH(SMALL(IF(KPI_Element_Map!$E$2:$E$287=$A13,KPI_Element_Map!$A$2:$A$287),COLUMNS($J13:AD13)),KPI_Master!$A:$A,0)&amp;":P"&amp;MATCH(SMALL(IF(KPI_Element_Map!$E$2:$E$287=$A13,KPI_Element_Map!$A$2:$A$287),COLUMNS($J13:AD13)),KPI_Master!$A:$A,0),SMALL(IF(KPI_Element_Map!$E$2:$E$287=$A13,KPI_Element_Map!$A$2:$A$287),COLUMNS($J13:AD13))),"")</f>
        <v/>
      </c>
      <c r="AE13" s="25" t="str">
        <f t="array" ref="AE13">IFERROR(HYPERLINK("#KPI_Master!A"&amp;MATCH(SMALL(IF(KPI_Element_Map!$E$2:$E$287=$A13,KPI_Element_Map!$A$2:$A$287),COLUMNS($J13:AE13)),KPI_Master!$A:$A,0)&amp;":P"&amp;MATCH(SMALL(IF(KPI_Element_Map!$E$2:$E$287=$A13,KPI_Element_Map!$A$2:$A$287),COLUMNS($J13:AE13)),KPI_Master!$A:$A,0),SMALL(IF(KPI_Element_Map!$E$2:$E$287=$A13,KPI_Element_Map!$A$2:$A$287),COLUMNS($J13:AE13))),"")</f>
        <v/>
      </c>
      <c r="AF13" s="25" t="str">
        <f t="array" ref="AF13">IFERROR(HYPERLINK("#KPI_Master!A"&amp;MATCH(SMALL(IF(KPI_Element_Map!$E$2:$E$287=$A13,KPI_Element_Map!$A$2:$A$287),COLUMNS($J13:AF13)),KPI_Master!$A:$A,0)&amp;":P"&amp;MATCH(SMALL(IF(KPI_Element_Map!$E$2:$E$287=$A13,KPI_Element_Map!$A$2:$A$287),COLUMNS($J13:AF13)),KPI_Master!$A:$A,0),SMALL(IF(KPI_Element_Map!$E$2:$E$287=$A13,KPI_Element_Map!$A$2:$A$287),COLUMNS($J13:AF13))),"")</f>
        <v/>
      </c>
      <c r="AG13" s="25" t="str">
        <f t="array" ref="AG13">IFERROR(HYPERLINK("#KPI_Master!A"&amp;MATCH(SMALL(IF(KPI_Element_Map!$E$2:$E$287=$A13,KPI_Element_Map!$A$2:$A$287),COLUMNS($J13:AG13)),KPI_Master!$A:$A,0)&amp;":P"&amp;MATCH(SMALL(IF(KPI_Element_Map!$E$2:$E$287=$A13,KPI_Element_Map!$A$2:$A$287),COLUMNS($J13:AG13)),KPI_Master!$A:$A,0),SMALL(IF(KPI_Element_Map!$E$2:$E$287=$A13,KPI_Element_Map!$A$2:$A$287),COLUMNS($J13:AG13))),"")</f>
        <v/>
      </c>
      <c r="AH13" s="25" t="str">
        <f t="array" ref="AH13">IFERROR(HYPERLINK("#KPI_Master!A"&amp;MATCH(SMALL(IF(KPI_Element_Map!$E$2:$E$287=$A13,KPI_Element_Map!$A$2:$A$287),COLUMNS($J13:AH13)),KPI_Master!$A:$A,0)&amp;":P"&amp;MATCH(SMALL(IF(KPI_Element_Map!$E$2:$E$287=$A13,KPI_Element_Map!$A$2:$A$287),COLUMNS($J13:AH13)),KPI_Master!$A:$A,0),SMALL(IF(KPI_Element_Map!$E$2:$E$287=$A13,KPI_Element_Map!$A$2:$A$287),COLUMNS($J13:AH13))),"")</f>
        <v/>
      </c>
    </row>
    <row r="14" spans="1:34" ht="28.5" customHeight="1">
      <c r="A14" s="21" t="s">
        <v>956</v>
      </c>
      <c r="B14" s="22" t="s">
        <v>957</v>
      </c>
      <c r="C14" s="23" t="s">
        <v>958</v>
      </c>
      <c r="D14" s="23" t="str">
        <f t="array" ref="D14">_xlfn.TEXTJOIN(", ",TRUE(),IF(KPI_Element_Map!$E$2:$E$287=$A14,KPI_Element_Map!$A$2:$A$287,""))</f>
        <v>103</v>
      </c>
      <c r="E14" s="21">
        <f>COUNTIF(KPI_Element_Map!$E$2:$E$287,$A14)</f>
        <v>1</v>
      </c>
      <c r="F14" s="21">
        <f>COUNTIFS(KPI_Element_Map!$E$2:$E$287,$A14,KPI_Element_Map!$D$2:$D$287,"1 - Core")</f>
        <v>0</v>
      </c>
      <c r="G14" s="24" t="s">
        <v>931</v>
      </c>
      <c r="H14" s="23" t="str">
        <f>INDEX(Minimum_Documents!$B:$B,MATCH($G14,Minimum_Documents!$A:$A,0))</f>
        <v>Census &amp; ADT Register</v>
      </c>
      <c r="J14" s="25">
        <f t="array" ref="J14">IFERROR(HYPERLINK("#KPI_Master!A"&amp;MATCH(SMALL(IF(KPI_Element_Map!$E$2:$E$287=$A14,KPI_Element_Map!$A$2:$A$287),COLUMNS($J14:J14)),KPI_Master!$A:$A,0)&amp;":P"&amp;MATCH(SMALL(IF(KPI_Element_Map!$E$2:$E$287=$A14,KPI_Element_Map!$A$2:$A$287),COLUMNS($J14:J14)),KPI_Master!$A:$A,0),SMALL(IF(KPI_Element_Map!$E$2:$E$287=$A14,KPI_Element_Map!$A$2:$A$287),COLUMNS($J14:J14))),"")</f>
        <v>103</v>
      </c>
      <c r="K14" s="25" t="str">
        <f t="array" ref="K14">IFERROR(HYPERLINK("#KPI_Master!A"&amp;MATCH(SMALL(IF(KPI_Element_Map!$E$2:$E$287=$A14,KPI_Element_Map!$A$2:$A$287),COLUMNS($J14:K14)),KPI_Master!$A:$A,0)&amp;":P"&amp;MATCH(SMALL(IF(KPI_Element_Map!$E$2:$E$287=$A14,KPI_Element_Map!$A$2:$A$287),COLUMNS($J14:K14)),KPI_Master!$A:$A,0),SMALL(IF(KPI_Element_Map!$E$2:$E$287=$A14,KPI_Element_Map!$A$2:$A$287),COLUMNS($J14:K14))),"")</f>
        <v/>
      </c>
      <c r="L14" s="25" t="str">
        <f t="array" ref="L14">IFERROR(HYPERLINK("#KPI_Master!A"&amp;MATCH(SMALL(IF(KPI_Element_Map!$E$2:$E$287=$A14,KPI_Element_Map!$A$2:$A$287),COLUMNS($J14:L14)),KPI_Master!$A:$A,0)&amp;":P"&amp;MATCH(SMALL(IF(KPI_Element_Map!$E$2:$E$287=$A14,KPI_Element_Map!$A$2:$A$287),COLUMNS($J14:L14)),KPI_Master!$A:$A,0),SMALL(IF(KPI_Element_Map!$E$2:$E$287=$A14,KPI_Element_Map!$A$2:$A$287),COLUMNS($J14:L14))),"")</f>
        <v/>
      </c>
      <c r="M14" s="25" t="str">
        <f t="array" ref="M14">IFERROR(HYPERLINK("#KPI_Master!A"&amp;MATCH(SMALL(IF(KPI_Element_Map!$E$2:$E$287=$A14,KPI_Element_Map!$A$2:$A$287),COLUMNS($J14:M14)),KPI_Master!$A:$A,0)&amp;":P"&amp;MATCH(SMALL(IF(KPI_Element_Map!$E$2:$E$287=$A14,KPI_Element_Map!$A$2:$A$287),COLUMNS($J14:M14)),KPI_Master!$A:$A,0),SMALL(IF(KPI_Element_Map!$E$2:$E$287=$A14,KPI_Element_Map!$A$2:$A$287),COLUMNS($J14:M14))),"")</f>
        <v/>
      </c>
      <c r="N14" s="25" t="str">
        <f t="array" ref="N14">IFERROR(HYPERLINK("#KPI_Master!A"&amp;MATCH(SMALL(IF(KPI_Element_Map!$E$2:$E$287=$A14,KPI_Element_Map!$A$2:$A$287),COLUMNS($J14:N14)),KPI_Master!$A:$A,0)&amp;":P"&amp;MATCH(SMALL(IF(KPI_Element_Map!$E$2:$E$287=$A14,KPI_Element_Map!$A$2:$A$287),COLUMNS($J14:N14)),KPI_Master!$A:$A,0),SMALL(IF(KPI_Element_Map!$E$2:$E$287=$A14,KPI_Element_Map!$A$2:$A$287),COLUMNS($J14:N14))),"")</f>
        <v/>
      </c>
      <c r="O14" s="25" t="str">
        <f t="array" ref="O14">IFERROR(HYPERLINK("#KPI_Master!A"&amp;MATCH(SMALL(IF(KPI_Element_Map!$E$2:$E$287=$A14,KPI_Element_Map!$A$2:$A$287),COLUMNS($J14:O14)),KPI_Master!$A:$A,0)&amp;":P"&amp;MATCH(SMALL(IF(KPI_Element_Map!$E$2:$E$287=$A14,KPI_Element_Map!$A$2:$A$287),COLUMNS($J14:O14)),KPI_Master!$A:$A,0),SMALL(IF(KPI_Element_Map!$E$2:$E$287=$A14,KPI_Element_Map!$A$2:$A$287),COLUMNS($J14:O14))),"")</f>
        <v/>
      </c>
      <c r="P14" s="25" t="str">
        <f t="array" ref="P14">IFERROR(HYPERLINK("#KPI_Master!A"&amp;MATCH(SMALL(IF(KPI_Element_Map!$E$2:$E$287=$A14,KPI_Element_Map!$A$2:$A$287),COLUMNS($J14:P14)),KPI_Master!$A:$A,0)&amp;":P"&amp;MATCH(SMALL(IF(KPI_Element_Map!$E$2:$E$287=$A14,KPI_Element_Map!$A$2:$A$287),COLUMNS($J14:P14)),KPI_Master!$A:$A,0),SMALL(IF(KPI_Element_Map!$E$2:$E$287=$A14,KPI_Element_Map!$A$2:$A$287),COLUMNS($J14:P14))),"")</f>
        <v/>
      </c>
      <c r="Q14" s="25" t="str">
        <f t="array" ref="Q14">IFERROR(HYPERLINK("#KPI_Master!A"&amp;MATCH(SMALL(IF(KPI_Element_Map!$E$2:$E$287=$A14,KPI_Element_Map!$A$2:$A$287),COLUMNS($J14:Q14)),KPI_Master!$A:$A,0)&amp;":P"&amp;MATCH(SMALL(IF(KPI_Element_Map!$E$2:$E$287=$A14,KPI_Element_Map!$A$2:$A$287),COLUMNS($J14:Q14)),KPI_Master!$A:$A,0),SMALL(IF(KPI_Element_Map!$E$2:$E$287=$A14,KPI_Element_Map!$A$2:$A$287),COLUMNS($J14:Q14))),"")</f>
        <v/>
      </c>
      <c r="R14" s="25" t="str">
        <f t="array" ref="R14">IFERROR(HYPERLINK("#KPI_Master!A"&amp;MATCH(SMALL(IF(KPI_Element_Map!$E$2:$E$287=$A14,KPI_Element_Map!$A$2:$A$287),COLUMNS($J14:R14)),KPI_Master!$A:$A,0)&amp;":P"&amp;MATCH(SMALL(IF(KPI_Element_Map!$E$2:$E$287=$A14,KPI_Element_Map!$A$2:$A$287),COLUMNS($J14:R14)),KPI_Master!$A:$A,0),SMALL(IF(KPI_Element_Map!$E$2:$E$287=$A14,KPI_Element_Map!$A$2:$A$287),COLUMNS($J14:R14))),"")</f>
        <v/>
      </c>
      <c r="S14" s="25" t="str">
        <f t="array" ref="S14">IFERROR(HYPERLINK("#KPI_Master!A"&amp;MATCH(SMALL(IF(KPI_Element_Map!$E$2:$E$287=$A14,KPI_Element_Map!$A$2:$A$287),COLUMNS($J14:S14)),KPI_Master!$A:$A,0)&amp;":P"&amp;MATCH(SMALL(IF(KPI_Element_Map!$E$2:$E$287=$A14,KPI_Element_Map!$A$2:$A$287),COLUMNS($J14:S14)),KPI_Master!$A:$A,0),SMALL(IF(KPI_Element_Map!$E$2:$E$287=$A14,KPI_Element_Map!$A$2:$A$287),COLUMNS($J14:S14))),"")</f>
        <v/>
      </c>
      <c r="T14" s="25" t="str">
        <f t="array" ref="T14">IFERROR(HYPERLINK("#KPI_Master!A"&amp;MATCH(SMALL(IF(KPI_Element_Map!$E$2:$E$287=$A14,KPI_Element_Map!$A$2:$A$287),COLUMNS($J14:T14)),KPI_Master!$A:$A,0)&amp;":P"&amp;MATCH(SMALL(IF(KPI_Element_Map!$E$2:$E$287=$A14,KPI_Element_Map!$A$2:$A$287),COLUMNS($J14:T14)),KPI_Master!$A:$A,0),SMALL(IF(KPI_Element_Map!$E$2:$E$287=$A14,KPI_Element_Map!$A$2:$A$287),COLUMNS($J14:T14))),"")</f>
        <v/>
      </c>
      <c r="U14" s="25" t="str">
        <f t="array" ref="U14">IFERROR(HYPERLINK("#KPI_Master!A"&amp;MATCH(SMALL(IF(KPI_Element_Map!$E$2:$E$287=$A14,KPI_Element_Map!$A$2:$A$287),COLUMNS($J14:U14)),KPI_Master!$A:$A,0)&amp;":P"&amp;MATCH(SMALL(IF(KPI_Element_Map!$E$2:$E$287=$A14,KPI_Element_Map!$A$2:$A$287),COLUMNS($J14:U14)),KPI_Master!$A:$A,0),SMALL(IF(KPI_Element_Map!$E$2:$E$287=$A14,KPI_Element_Map!$A$2:$A$287),COLUMNS($J14:U14))),"")</f>
        <v/>
      </c>
      <c r="V14" s="25" t="str">
        <f t="array" ref="V14">IFERROR(HYPERLINK("#KPI_Master!A"&amp;MATCH(SMALL(IF(KPI_Element_Map!$E$2:$E$287=$A14,KPI_Element_Map!$A$2:$A$287),COLUMNS($J14:V14)),KPI_Master!$A:$A,0)&amp;":P"&amp;MATCH(SMALL(IF(KPI_Element_Map!$E$2:$E$287=$A14,KPI_Element_Map!$A$2:$A$287),COLUMNS($J14:V14)),KPI_Master!$A:$A,0),SMALL(IF(KPI_Element_Map!$E$2:$E$287=$A14,KPI_Element_Map!$A$2:$A$287),COLUMNS($J14:V14))),"")</f>
        <v/>
      </c>
      <c r="W14" s="25" t="str">
        <f t="array" ref="W14">IFERROR(HYPERLINK("#KPI_Master!A"&amp;MATCH(SMALL(IF(KPI_Element_Map!$E$2:$E$287=$A14,KPI_Element_Map!$A$2:$A$287),COLUMNS($J14:W14)),KPI_Master!$A:$A,0)&amp;":P"&amp;MATCH(SMALL(IF(KPI_Element_Map!$E$2:$E$287=$A14,KPI_Element_Map!$A$2:$A$287),COLUMNS($J14:W14)),KPI_Master!$A:$A,0),SMALL(IF(KPI_Element_Map!$E$2:$E$287=$A14,KPI_Element_Map!$A$2:$A$287),COLUMNS($J14:W14))),"")</f>
        <v/>
      </c>
      <c r="X14" s="25" t="str">
        <f t="array" ref="X14">IFERROR(HYPERLINK("#KPI_Master!A"&amp;MATCH(SMALL(IF(KPI_Element_Map!$E$2:$E$287=$A14,KPI_Element_Map!$A$2:$A$287),COLUMNS($J14:X14)),KPI_Master!$A:$A,0)&amp;":P"&amp;MATCH(SMALL(IF(KPI_Element_Map!$E$2:$E$287=$A14,KPI_Element_Map!$A$2:$A$287),COLUMNS($J14:X14)),KPI_Master!$A:$A,0),SMALL(IF(KPI_Element_Map!$E$2:$E$287=$A14,KPI_Element_Map!$A$2:$A$287),COLUMNS($J14:X14))),"")</f>
        <v/>
      </c>
      <c r="Y14" s="25" t="str">
        <f t="array" ref="Y14">IFERROR(HYPERLINK("#KPI_Master!A"&amp;MATCH(SMALL(IF(KPI_Element_Map!$E$2:$E$287=$A14,KPI_Element_Map!$A$2:$A$287),COLUMNS($J14:Y14)),KPI_Master!$A:$A,0)&amp;":P"&amp;MATCH(SMALL(IF(KPI_Element_Map!$E$2:$E$287=$A14,KPI_Element_Map!$A$2:$A$287),COLUMNS($J14:Y14)),KPI_Master!$A:$A,0),SMALL(IF(KPI_Element_Map!$E$2:$E$287=$A14,KPI_Element_Map!$A$2:$A$287),COLUMNS($J14:Y14))),"")</f>
        <v/>
      </c>
      <c r="Z14" s="25" t="str">
        <f t="array" ref="Z14">IFERROR(HYPERLINK("#KPI_Master!A"&amp;MATCH(SMALL(IF(KPI_Element_Map!$E$2:$E$287=$A14,KPI_Element_Map!$A$2:$A$287),COLUMNS($J14:Z14)),KPI_Master!$A:$A,0)&amp;":P"&amp;MATCH(SMALL(IF(KPI_Element_Map!$E$2:$E$287=$A14,KPI_Element_Map!$A$2:$A$287),COLUMNS($J14:Z14)),KPI_Master!$A:$A,0),SMALL(IF(KPI_Element_Map!$E$2:$E$287=$A14,KPI_Element_Map!$A$2:$A$287),COLUMNS($J14:Z14))),"")</f>
        <v/>
      </c>
      <c r="AA14" s="25" t="str">
        <f t="array" ref="AA14">IFERROR(HYPERLINK("#KPI_Master!A"&amp;MATCH(SMALL(IF(KPI_Element_Map!$E$2:$E$287=$A14,KPI_Element_Map!$A$2:$A$287),COLUMNS($J14:AA14)),KPI_Master!$A:$A,0)&amp;":P"&amp;MATCH(SMALL(IF(KPI_Element_Map!$E$2:$E$287=$A14,KPI_Element_Map!$A$2:$A$287),COLUMNS($J14:AA14)),KPI_Master!$A:$A,0),SMALL(IF(KPI_Element_Map!$E$2:$E$287=$A14,KPI_Element_Map!$A$2:$A$287),COLUMNS($J14:AA14))),"")</f>
        <v/>
      </c>
      <c r="AB14" s="25" t="str">
        <f t="array" ref="AB14">IFERROR(HYPERLINK("#KPI_Master!A"&amp;MATCH(SMALL(IF(KPI_Element_Map!$E$2:$E$287=$A14,KPI_Element_Map!$A$2:$A$287),COLUMNS($J14:AB14)),KPI_Master!$A:$A,0)&amp;":P"&amp;MATCH(SMALL(IF(KPI_Element_Map!$E$2:$E$287=$A14,KPI_Element_Map!$A$2:$A$287),COLUMNS($J14:AB14)),KPI_Master!$A:$A,0),SMALL(IF(KPI_Element_Map!$E$2:$E$287=$A14,KPI_Element_Map!$A$2:$A$287),COLUMNS($J14:AB14))),"")</f>
        <v/>
      </c>
      <c r="AC14" s="25" t="str">
        <f t="array" ref="AC14">IFERROR(HYPERLINK("#KPI_Master!A"&amp;MATCH(SMALL(IF(KPI_Element_Map!$E$2:$E$287=$A14,KPI_Element_Map!$A$2:$A$287),COLUMNS($J14:AC14)),KPI_Master!$A:$A,0)&amp;":P"&amp;MATCH(SMALL(IF(KPI_Element_Map!$E$2:$E$287=$A14,KPI_Element_Map!$A$2:$A$287),COLUMNS($J14:AC14)),KPI_Master!$A:$A,0),SMALL(IF(KPI_Element_Map!$E$2:$E$287=$A14,KPI_Element_Map!$A$2:$A$287),COLUMNS($J14:AC14))),"")</f>
        <v/>
      </c>
      <c r="AD14" s="25" t="str">
        <f t="array" ref="AD14">IFERROR(HYPERLINK("#KPI_Master!A"&amp;MATCH(SMALL(IF(KPI_Element_Map!$E$2:$E$287=$A14,KPI_Element_Map!$A$2:$A$287),COLUMNS($J14:AD14)),KPI_Master!$A:$A,0)&amp;":P"&amp;MATCH(SMALL(IF(KPI_Element_Map!$E$2:$E$287=$A14,KPI_Element_Map!$A$2:$A$287),COLUMNS($J14:AD14)),KPI_Master!$A:$A,0),SMALL(IF(KPI_Element_Map!$E$2:$E$287=$A14,KPI_Element_Map!$A$2:$A$287),COLUMNS($J14:AD14))),"")</f>
        <v/>
      </c>
      <c r="AE14" s="25" t="str">
        <f t="array" ref="AE14">IFERROR(HYPERLINK("#KPI_Master!A"&amp;MATCH(SMALL(IF(KPI_Element_Map!$E$2:$E$287=$A14,KPI_Element_Map!$A$2:$A$287),COLUMNS($J14:AE14)),KPI_Master!$A:$A,0)&amp;":P"&amp;MATCH(SMALL(IF(KPI_Element_Map!$E$2:$E$287=$A14,KPI_Element_Map!$A$2:$A$287),COLUMNS($J14:AE14)),KPI_Master!$A:$A,0),SMALL(IF(KPI_Element_Map!$E$2:$E$287=$A14,KPI_Element_Map!$A$2:$A$287),COLUMNS($J14:AE14))),"")</f>
        <v/>
      </c>
      <c r="AF14" s="25" t="str">
        <f t="array" ref="AF14">IFERROR(HYPERLINK("#KPI_Master!A"&amp;MATCH(SMALL(IF(KPI_Element_Map!$E$2:$E$287=$A14,KPI_Element_Map!$A$2:$A$287),COLUMNS($J14:AF14)),KPI_Master!$A:$A,0)&amp;":P"&amp;MATCH(SMALL(IF(KPI_Element_Map!$E$2:$E$287=$A14,KPI_Element_Map!$A$2:$A$287),COLUMNS($J14:AF14)),KPI_Master!$A:$A,0),SMALL(IF(KPI_Element_Map!$E$2:$E$287=$A14,KPI_Element_Map!$A$2:$A$287),COLUMNS($J14:AF14))),"")</f>
        <v/>
      </c>
      <c r="AG14" s="25" t="str">
        <f t="array" ref="AG14">IFERROR(HYPERLINK("#KPI_Master!A"&amp;MATCH(SMALL(IF(KPI_Element_Map!$E$2:$E$287=$A14,KPI_Element_Map!$A$2:$A$287),COLUMNS($J14:AG14)),KPI_Master!$A:$A,0)&amp;":P"&amp;MATCH(SMALL(IF(KPI_Element_Map!$E$2:$E$287=$A14,KPI_Element_Map!$A$2:$A$287),COLUMNS($J14:AG14)),KPI_Master!$A:$A,0),SMALL(IF(KPI_Element_Map!$E$2:$E$287=$A14,KPI_Element_Map!$A$2:$A$287),COLUMNS($J14:AG14))),"")</f>
        <v/>
      </c>
      <c r="AH14" s="25" t="str">
        <f t="array" ref="AH14">IFERROR(HYPERLINK("#KPI_Master!A"&amp;MATCH(SMALL(IF(KPI_Element_Map!$E$2:$E$287=$A14,KPI_Element_Map!$A$2:$A$287),COLUMNS($J14:AH14)),KPI_Master!$A:$A,0)&amp;":P"&amp;MATCH(SMALL(IF(KPI_Element_Map!$E$2:$E$287=$A14,KPI_Element_Map!$A$2:$A$287),COLUMNS($J14:AH14)),KPI_Master!$A:$A,0),SMALL(IF(KPI_Element_Map!$E$2:$E$287=$A14,KPI_Element_Map!$A$2:$A$287),COLUMNS($J14:AH14))),"")</f>
        <v/>
      </c>
    </row>
    <row r="15" spans="1:34">
      <c r="A15" s="21" t="s">
        <v>959</v>
      </c>
      <c r="B15" s="22" t="s">
        <v>960</v>
      </c>
      <c r="C15" s="23" t="s">
        <v>961</v>
      </c>
      <c r="D15" s="23" t="str">
        <f t="array" ref="D15">_xlfn.TEXTJOIN(", ",TRUE(),IF(KPI_Element_Map!$E$2:$E$287=$A15,KPI_Element_Map!$A$2:$A$287,""))</f>
        <v>12, 24, 25, 32, 39, 40, 121, 123, 126, 160, 166, 167</v>
      </c>
      <c r="E15" s="21">
        <f>COUNTIF(KPI_Element_Map!$E$2:$E$287,$A15)</f>
        <v>12</v>
      </c>
      <c r="F15" s="21">
        <f>COUNTIFS(KPI_Element_Map!$E$2:$E$287,$A15,KPI_Element_Map!$D$2:$D$287,"1 - Core")</f>
        <v>1</v>
      </c>
      <c r="G15" s="24" t="s">
        <v>962</v>
      </c>
      <c r="H15" s="23" t="str">
        <f>INDEX(Minimum_Documents!$B:$B,MATCH($G15,Minimum_Documents!$A:$A,0))</f>
        <v>Property &amp; Unit Master Schedule</v>
      </c>
      <c r="J15" s="25">
        <f t="array" ref="J15">IFERROR(HYPERLINK("#KPI_Master!A"&amp;MATCH(SMALL(IF(KPI_Element_Map!$E$2:$E$287=$A15,KPI_Element_Map!$A$2:$A$287),COLUMNS($J15:J15)),KPI_Master!$A:$A,0)&amp;":P"&amp;MATCH(SMALL(IF(KPI_Element_Map!$E$2:$E$287=$A15,KPI_Element_Map!$A$2:$A$287),COLUMNS($J15:J15)),KPI_Master!$A:$A,0),SMALL(IF(KPI_Element_Map!$E$2:$E$287=$A15,KPI_Element_Map!$A$2:$A$287),COLUMNS($J15:J15))),"")</f>
        <v>12</v>
      </c>
      <c r="K15" s="25">
        <f t="array" ref="K15">IFERROR(HYPERLINK("#KPI_Master!A"&amp;MATCH(SMALL(IF(KPI_Element_Map!$E$2:$E$287=$A15,KPI_Element_Map!$A$2:$A$287),COLUMNS($J15:K15)),KPI_Master!$A:$A,0)&amp;":P"&amp;MATCH(SMALL(IF(KPI_Element_Map!$E$2:$E$287=$A15,KPI_Element_Map!$A$2:$A$287),COLUMNS($J15:K15)),KPI_Master!$A:$A,0),SMALL(IF(KPI_Element_Map!$E$2:$E$287=$A15,KPI_Element_Map!$A$2:$A$287),COLUMNS($J15:K15))),"")</f>
        <v>24</v>
      </c>
      <c r="L15" s="25">
        <f t="array" ref="L15">IFERROR(HYPERLINK("#KPI_Master!A"&amp;MATCH(SMALL(IF(KPI_Element_Map!$E$2:$E$287=$A15,KPI_Element_Map!$A$2:$A$287),COLUMNS($J15:L15)),KPI_Master!$A:$A,0)&amp;":P"&amp;MATCH(SMALL(IF(KPI_Element_Map!$E$2:$E$287=$A15,KPI_Element_Map!$A$2:$A$287),COLUMNS($J15:L15)),KPI_Master!$A:$A,0),SMALL(IF(KPI_Element_Map!$E$2:$E$287=$A15,KPI_Element_Map!$A$2:$A$287),COLUMNS($J15:L15))),"")</f>
        <v>25</v>
      </c>
      <c r="M15" s="25">
        <f t="array" ref="M15">IFERROR(HYPERLINK("#KPI_Master!A"&amp;MATCH(SMALL(IF(KPI_Element_Map!$E$2:$E$287=$A15,KPI_Element_Map!$A$2:$A$287),COLUMNS($J15:M15)),KPI_Master!$A:$A,0)&amp;":P"&amp;MATCH(SMALL(IF(KPI_Element_Map!$E$2:$E$287=$A15,KPI_Element_Map!$A$2:$A$287),COLUMNS($J15:M15)),KPI_Master!$A:$A,0),SMALL(IF(KPI_Element_Map!$E$2:$E$287=$A15,KPI_Element_Map!$A$2:$A$287),COLUMNS($J15:M15))),"")</f>
        <v>32</v>
      </c>
      <c r="N15" s="25">
        <f t="array" ref="N15">IFERROR(HYPERLINK("#KPI_Master!A"&amp;MATCH(SMALL(IF(KPI_Element_Map!$E$2:$E$287=$A15,KPI_Element_Map!$A$2:$A$287),COLUMNS($J15:N15)),KPI_Master!$A:$A,0)&amp;":P"&amp;MATCH(SMALL(IF(KPI_Element_Map!$E$2:$E$287=$A15,KPI_Element_Map!$A$2:$A$287),COLUMNS($J15:N15)),KPI_Master!$A:$A,0),SMALL(IF(KPI_Element_Map!$E$2:$E$287=$A15,KPI_Element_Map!$A$2:$A$287),COLUMNS($J15:N15))),"")</f>
        <v>39</v>
      </c>
      <c r="O15" s="25">
        <f t="array" ref="O15">IFERROR(HYPERLINK("#KPI_Master!A"&amp;MATCH(SMALL(IF(KPI_Element_Map!$E$2:$E$287=$A15,KPI_Element_Map!$A$2:$A$287),COLUMNS($J15:O15)),KPI_Master!$A:$A,0)&amp;":P"&amp;MATCH(SMALL(IF(KPI_Element_Map!$E$2:$E$287=$A15,KPI_Element_Map!$A$2:$A$287),COLUMNS($J15:O15)),KPI_Master!$A:$A,0),SMALL(IF(KPI_Element_Map!$E$2:$E$287=$A15,KPI_Element_Map!$A$2:$A$287),COLUMNS($J15:O15))),"")</f>
        <v>40</v>
      </c>
      <c r="P15" s="25">
        <f t="array" ref="P15">IFERROR(HYPERLINK("#KPI_Master!A"&amp;MATCH(SMALL(IF(KPI_Element_Map!$E$2:$E$287=$A15,KPI_Element_Map!$A$2:$A$287),COLUMNS($J15:P15)),KPI_Master!$A:$A,0)&amp;":P"&amp;MATCH(SMALL(IF(KPI_Element_Map!$E$2:$E$287=$A15,KPI_Element_Map!$A$2:$A$287),COLUMNS($J15:P15)),KPI_Master!$A:$A,0),SMALL(IF(KPI_Element_Map!$E$2:$E$287=$A15,KPI_Element_Map!$A$2:$A$287),COLUMNS($J15:P15))),"")</f>
        <v>121</v>
      </c>
      <c r="Q15" s="25">
        <f t="array" ref="Q15">IFERROR(HYPERLINK("#KPI_Master!A"&amp;MATCH(SMALL(IF(KPI_Element_Map!$E$2:$E$287=$A15,KPI_Element_Map!$A$2:$A$287),COLUMNS($J15:Q15)),KPI_Master!$A:$A,0)&amp;":P"&amp;MATCH(SMALL(IF(KPI_Element_Map!$E$2:$E$287=$A15,KPI_Element_Map!$A$2:$A$287),COLUMNS($J15:Q15)),KPI_Master!$A:$A,0),SMALL(IF(KPI_Element_Map!$E$2:$E$287=$A15,KPI_Element_Map!$A$2:$A$287),COLUMNS($J15:Q15))),"")</f>
        <v>123</v>
      </c>
      <c r="R15" s="25">
        <f t="array" ref="R15">IFERROR(HYPERLINK("#KPI_Master!A"&amp;MATCH(SMALL(IF(KPI_Element_Map!$E$2:$E$287=$A15,KPI_Element_Map!$A$2:$A$287),COLUMNS($J15:R15)),KPI_Master!$A:$A,0)&amp;":P"&amp;MATCH(SMALL(IF(KPI_Element_Map!$E$2:$E$287=$A15,KPI_Element_Map!$A$2:$A$287),COLUMNS($J15:R15)),KPI_Master!$A:$A,0),SMALL(IF(KPI_Element_Map!$E$2:$E$287=$A15,KPI_Element_Map!$A$2:$A$287),COLUMNS($J15:R15))),"")</f>
        <v>126</v>
      </c>
      <c r="S15" s="25">
        <f t="array" ref="S15">IFERROR(HYPERLINK("#KPI_Master!A"&amp;MATCH(SMALL(IF(KPI_Element_Map!$E$2:$E$287=$A15,KPI_Element_Map!$A$2:$A$287),COLUMNS($J15:S15)),KPI_Master!$A:$A,0)&amp;":P"&amp;MATCH(SMALL(IF(KPI_Element_Map!$E$2:$E$287=$A15,KPI_Element_Map!$A$2:$A$287),COLUMNS($J15:S15)),KPI_Master!$A:$A,0),SMALL(IF(KPI_Element_Map!$E$2:$E$287=$A15,KPI_Element_Map!$A$2:$A$287),COLUMNS($J15:S15))),"")</f>
        <v>160</v>
      </c>
      <c r="T15" s="25">
        <f t="array" ref="T15">IFERROR(HYPERLINK("#KPI_Master!A"&amp;MATCH(SMALL(IF(KPI_Element_Map!$E$2:$E$287=$A15,KPI_Element_Map!$A$2:$A$287),COLUMNS($J15:T15)),KPI_Master!$A:$A,0)&amp;":P"&amp;MATCH(SMALL(IF(KPI_Element_Map!$E$2:$E$287=$A15,KPI_Element_Map!$A$2:$A$287),COLUMNS($J15:T15)),KPI_Master!$A:$A,0),SMALL(IF(KPI_Element_Map!$E$2:$E$287=$A15,KPI_Element_Map!$A$2:$A$287),COLUMNS($J15:T15))),"")</f>
        <v>166</v>
      </c>
      <c r="U15" s="25">
        <f t="array" ref="U15">IFERROR(HYPERLINK("#KPI_Master!A"&amp;MATCH(SMALL(IF(KPI_Element_Map!$E$2:$E$287=$A15,KPI_Element_Map!$A$2:$A$287),COLUMNS($J15:U15)),KPI_Master!$A:$A,0)&amp;":P"&amp;MATCH(SMALL(IF(KPI_Element_Map!$E$2:$E$287=$A15,KPI_Element_Map!$A$2:$A$287),COLUMNS($J15:U15)),KPI_Master!$A:$A,0),SMALL(IF(KPI_Element_Map!$E$2:$E$287=$A15,KPI_Element_Map!$A$2:$A$287),COLUMNS($J15:U15))),"")</f>
        <v>167</v>
      </c>
      <c r="V15" s="25" t="str">
        <f t="array" ref="V15">IFERROR(HYPERLINK("#KPI_Master!A"&amp;MATCH(SMALL(IF(KPI_Element_Map!$E$2:$E$287=$A15,KPI_Element_Map!$A$2:$A$287),COLUMNS($J15:V15)),KPI_Master!$A:$A,0)&amp;":P"&amp;MATCH(SMALL(IF(KPI_Element_Map!$E$2:$E$287=$A15,KPI_Element_Map!$A$2:$A$287),COLUMNS($J15:V15)),KPI_Master!$A:$A,0),SMALL(IF(KPI_Element_Map!$E$2:$E$287=$A15,KPI_Element_Map!$A$2:$A$287),COLUMNS($J15:V15))),"")</f>
        <v/>
      </c>
      <c r="W15" s="25" t="str">
        <f t="array" ref="W15">IFERROR(HYPERLINK("#KPI_Master!A"&amp;MATCH(SMALL(IF(KPI_Element_Map!$E$2:$E$287=$A15,KPI_Element_Map!$A$2:$A$287),COLUMNS($J15:W15)),KPI_Master!$A:$A,0)&amp;":P"&amp;MATCH(SMALL(IF(KPI_Element_Map!$E$2:$E$287=$A15,KPI_Element_Map!$A$2:$A$287),COLUMNS($J15:W15)),KPI_Master!$A:$A,0),SMALL(IF(KPI_Element_Map!$E$2:$E$287=$A15,KPI_Element_Map!$A$2:$A$287),COLUMNS($J15:W15))),"")</f>
        <v/>
      </c>
      <c r="X15" s="25" t="str">
        <f t="array" ref="X15">IFERROR(HYPERLINK("#KPI_Master!A"&amp;MATCH(SMALL(IF(KPI_Element_Map!$E$2:$E$287=$A15,KPI_Element_Map!$A$2:$A$287),COLUMNS($J15:X15)),KPI_Master!$A:$A,0)&amp;":P"&amp;MATCH(SMALL(IF(KPI_Element_Map!$E$2:$E$287=$A15,KPI_Element_Map!$A$2:$A$287),COLUMNS($J15:X15)),KPI_Master!$A:$A,0),SMALL(IF(KPI_Element_Map!$E$2:$E$287=$A15,KPI_Element_Map!$A$2:$A$287),COLUMNS($J15:X15))),"")</f>
        <v/>
      </c>
      <c r="Y15" s="25" t="str">
        <f t="array" ref="Y15">IFERROR(HYPERLINK("#KPI_Master!A"&amp;MATCH(SMALL(IF(KPI_Element_Map!$E$2:$E$287=$A15,KPI_Element_Map!$A$2:$A$287),COLUMNS($J15:Y15)),KPI_Master!$A:$A,0)&amp;":P"&amp;MATCH(SMALL(IF(KPI_Element_Map!$E$2:$E$287=$A15,KPI_Element_Map!$A$2:$A$287),COLUMNS($J15:Y15)),KPI_Master!$A:$A,0),SMALL(IF(KPI_Element_Map!$E$2:$E$287=$A15,KPI_Element_Map!$A$2:$A$287),COLUMNS($J15:Y15))),"")</f>
        <v/>
      </c>
      <c r="Z15" s="25" t="str">
        <f t="array" ref="Z15">IFERROR(HYPERLINK("#KPI_Master!A"&amp;MATCH(SMALL(IF(KPI_Element_Map!$E$2:$E$287=$A15,KPI_Element_Map!$A$2:$A$287),COLUMNS($J15:Z15)),KPI_Master!$A:$A,0)&amp;":P"&amp;MATCH(SMALL(IF(KPI_Element_Map!$E$2:$E$287=$A15,KPI_Element_Map!$A$2:$A$287),COLUMNS($J15:Z15)),KPI_Master!$A:$A,0),SMALL(IF(KPI_Element_Map!$E$2:$E$287=$A15,KPI_Element_Map!$A$2:$A$287),COLUMNS($J15:Z15))),"")</f>
        <v/>
      </c>
      <c r="AA15" s="25" t="str">
        <f t="array" ref="AA15">IFERROR(HYPERLINK("#KPI_Master!A"&amp;MATCH(SMALL(IF(KPI_Element_Map!$E$2:$E$287=$A15,KPI_Element_Map!$A$2:$A$287),COLUMNS($J15:AA15)),KPI_Master!$A:$A,0)&amp;":P"&amp;MATCH(SMALL(IF(KPI_Element_Map!$E$2:$E$287=$A15,KPI_Element_Map!$A$2:$A$287),COLUMNS($J15:AA15)),KPI_Master!$A:$A,0),SMALL(IF(KPI_Element_Map!$E$2:$E$287=$A15,KPI_Element_Map!$A$2:$A$287),COLUMNS($J15:AA15))),"")</f>
        <v/>
      </c>
      <c r="AB15" s="25" t="str">
        <f t="array" ref="AB15">IFERROR(HYPERLINK("#KPI_Master!A"&amp;MATCH(SMALL(IF(KPI_Element_Map!$E$2:$E$287=$A15,KPI_Element_Map!$A$2:$A$287),COLUMNS($J15:AB15)),KPI_Master!$A:$A,0)&amp;":P"&amp;MATCH(SMALL(IF(KPI_Element_Map!$E$2:$E$287=$A15,KPI_Element_Map!$A$2:$A$287),COLUMNS($J15:AB15)),KPI_Master!$A:$A,0),SMALL(IF(KPI_Element_Map!$E$2:$E$287=$A15,KPI_Element_Map!$A$2:$A$287),COLUMNS($J15:AB15))),"")</f>
        <v/>
      </c>
      <c r="AC15" s="25" t="str">
        <f t="array" ref="AC15">IFERROR(HYPERLINK("#KPI_Master!A"&amp;MATCH(SMALL(IF(KPI_Element_Map!$E$2:$E$287=$A15,KPI_Element_Map!$A$2:$A$287),COLUMNS($J15:AC15)),KPI_Master!$A:$A,0)&amp;":P"&amp;MATCH(SMALL(IF(KPI_Element_Map!$E$2:$E$287=$A15,KPI_Element_Map!$A$2:$A$287),COLUMNS($J15:AC15)),KPI_Master!$A:$A,0),SMALL(IF(KPI_Element_Map!$E$2:$E$287=$A15,KPI_Element_Map!$A$2:$A$287),COLUMNS($J15:AC15))),"")</f>
        <v/>
      </c>
      <c r="AD15" s="25" t="str">
        <f t="array" ref="AD15">IFERROR(HYPERLINK("#KPI_Master!A"&amp;MATCH(SMALL(IF(KPI_Element_Map!$E$2:$E$287=$A15,KPI_Element_Map!$A$2:$A$287),COLUMNS($J15:AD15)),KPI_Master!$A:$A,0)&amp;":P"&amp;MATCH(SMALL(IF(KPI_Element_Map!$E$2:$E$287=$A15,KPI_Element_Map!$A$2:$A$287),COLUMNS($J15:AD15)),KPI_Master!$A:$A,0),SMALL(IF(KPI_Element_Map!$E$2:$E$287=$A15,KPI_Element_Map!$A$2:$A$287),COLUMNS($J15:AD15))),"")</f>
        <v/>
      </c>
      <c r="AE15" s="25" t="str">
        <f t="array" ref="AE15">IFERROR(HYPERLINK("#KPI_Master!A"&amp;MATCH(SMALL(IF(KPI_Element_Map!$E$2:$E$287=$A15,KPI_Element_Map!$A$2:$A$287),COLUMNS($J15:AE15)),KPI_Master!$A:$A,0)&amp;":P"&amp;MATCH(SMALL(IF(KPI_Element_Map!$E$2:$E$287=$A15,KPI_Element_Map!$A$2:$A$287),COLUMNS($J15:AE15)),KPI_Master!$A:$A,0),SMALL(IF(KPI_Element_Map!$E$2:$E$287=$A15,KPI_Element_Map!$A$2:$A$287),COLUMNS($J15:AE15))),"")</f>
        <v/>
      </c>
      <c r="AF15" s="25" t="str">
        <f t="array" ref="AF15">IFERROR(HYPERLINK("#KPI_Master!A"&amp;MATCH(SMALL(IF(KPI_Element_Map!$E$2:$E$287=$A15,KPI_Element_Map!$A$2:$A$287),COLUMNS($J15:AF15)),KPI_Master!$A:$A,0)&amp;":P"&amp;MATCH(SMALL(IF(KPI_Element_Map!$E$2:$E$287=$A15,KPI_Element_Map!$A$2:$A$287),COLUMNS($J15:AF15)),KPI_Master!$A:$A,0),SMALL(IF(KPI_Element_Map!$E$2:$E$287=$A15,KPI_Element_Map!$A$2:$A$287),COLUMNS($J15:AF15))),"")</f>
        <v/>
      </c>
      <c r="AG15" s="25" t="str">
        <f t="array" ref="AG15">IFERROR(HYPERLINK("#KPI_Master!A"&amp;MATCH(SMALL(IF(KPI_Element_Map!$E$2:$E$287=$A15,KPI_Element_Map!$A$2:$A$287),COLUMNS($J15:AG15)),KPI_Master!$A:$A,0)&amp;":P"&amp;MATCH(SMALL(IF(KPI_Element_Map!$E$2:$E$287=$A15,KPI_Element_Map!$A$2:$A$287),COLUMNS($J15:AG15)),KPI_Master!$A:$A,0),SMALL(IF(KPI_Element_Map!$E$2:$E$287=$A15,KPI_Element_Map!$A$2:$A$287),COLUMNS($J15:AG15))),"")</f>
        <v/>
      </c>
      <c r="AH15" s="25" t="str">
        <f t="array" ref="AH15">IFERROR(HYPERLINK("#KPI_Master!A"&amp;MATCH(SMALL(IF(KPI_Element_Map!$E$2:$E$287=$A15,KPI_Element_Map!$A$2:$A$287),COLUMNS($J15:AH15)),KPI_Master!$A:$A,0)&amp;":P"&amp;MATCH(SMALL(IF(KPI_Element_Map!$E$2:$E$287=$A15,KPI_Element_Map!$A$2:$A$287),COLUMNS($J15:AH15)),KPI_Master!$A:$A,0),SMALL(IF(KPI_Element_Map!$E$2:$E$287=$A15,KPI_Element_Map!$A$2:$A$287),COLUMNS($J15:AH15))),"")</f>
        <v/>
      </c>
    </row>
    <row r="16" spans="1:34">
      <c r="A16" s="21" t="s">
        <v>963</v>
      </c>
      <c r="B16" s="22" t="s">
        <v>964</v>
      </c>
      <c r="C16" s="23" t="s">
        <v>965</v>
      </c>
      <c r="D16" s="23" t="str">
        <f t="array" ref="D16">_xlfn.TEXTJOIN(", ",TRUE(),IF(KPI_Element_Map!$E$2:$E$287=$A16,KPI_Element_Map!$A$2:$A$287,""))</f>
        <v>42, 114, 119</v>
      </c>
      <c r="E16" s="21">
        <f>COUNTIF(KPI_Element_Map!$E$2:$E$287,$A16)</f>
        <v>3</v>
      </c>
      <c r="F16" s="21">
        <f>COUNTIFS(KPI_Element_Map!$E$2:$E$287,$A16,KPI_Element_Map!$D$2:$D$287,"1 - Core")</f>
        <v>0</v>
      </c>
      <c r="G16" s="24" t="s">
        <v>962</v>
      </c>
      <c r="H16" s="23" t="str">
        <f>INDEX(Minimum_Documents!$B:$B,MATCH($G16,Minimum_Documents!$A:$A,0))</f>
        <v>Property &amp; Unit Master Schedule</v>
      </c>
      <c r="J16" s="25">
        <f t="array" ref="J16">IFERROR(HYPERLINK("#KPI_Master!A"&amp;MATCH(SMALL(IF(KPI_Element_Map!$E$2:$E$287=$A16,KPI_Element_Map!$A$2:$A$287),COLUMNS($J16:J16)),KPI_Master!$A:$A,0)&amp;":P"&amp;MATCH(SMALL(IF(KPI_Element_Map!$E$2:$E$287=$A16,KPI_Element_Map!$A$2:$A$287),COLUMNS($J16:J16)),KPI_Master!$A:$A,0),SMALL(IF(KPI_Element_Map!$E$2:$E$287=$A16,KPI_Element_Map!$A$2:$A$287),COLUMNS($J16:J16))),"")</f>
        <v>42</v>
      </c>
      <c r="K16" s="25">
        <f t="array" ref="K16">IFERROR(HYPERLINK("#KPI_Master!A"&amp;MATCH(SMALL(IF(KPI_Element_Map!$E$2:$E$287=$A16,KPI_Element_Map!$A$2:$A$287),COLUMNS($J16:K16)),KPI_Master!$A:$A,0)&amp;":P"&amp;MATCH(SMALL(IF(KPI_Element_Map!$E$2:$E$287=$A16,KPI_Element_Map!$A$2:$A$287),COLUMNS($J16:K16)),KPI_Master!$A:$A,0),SMALL(IF(KPI_Element_Map!$E$2:$E$287=$A16,KPI_Element_Map!$A$2:$A$287),COLUMNS($J16:K16))),"")</f>
        <v>114</v>
      </c>
      <c r="L16" s="25">
        <f t="array" ref="L16">IFERROR(HYPERLINK("#KPI_Master!A"&amp;MATCH(SMALL(IF(KPI_Element_Map!$E$2:$E$287=$A16,KPI_Element_Map!$A$2:$A$287),COLUMNS($J16:L16)),KPI_Master!$A:$A,0)&amp;":P"&amp;MATCH(SMALL(IF(KPI_Element_Map!$E$2:$E$287=$A16,KPI_Element_Map!$A$2:$A$287),COLUMNS($J16:L16)),KPI_Master!$A:$A,0),SMALL(IF(KPI_Element_Map!$E$2:$E$287=$A16,KPI_Element_Map!$A$2:$A$287),COLUMNS($J16:L16))),"")</f>
        <v>119</v>
      </c>
      <c r="M16" s="25" t="str">
        <f t="array" ref="M16">IFERROR(HYPERLINK("#KPI_Master!A"&amp;MATCH(SMALL(IF(KPI_Element_Map!$E$2:$E$287=$A16,KPI_Element_Map!$A$2:$A$287),COLUMNS($J16:M16)),KPI_Master!$A:$A,0)&amp;":P"&amp;MATCH(SMALL(IF(KPI_Element_Map!$E$2:$E$287=$A16,KPI_Element_Map!$A$2:$A$287),COLUMNS($J16:M16)),KPI_Master!$A:$A,0),SMALL(IF(KPI_Element_Map!$E$2:$E$287=$A16,KPI_Element_Map!$A$2:$A$287),COLUMNS($J16:M16))),"")</f>
        <v/>
      </c>
      <c r="N16" s="25" t="str">
        <f t="array" ref="N16">IFERROR(HYPERLINK("#KPI_Master!A"&amp;MATCH(SMALL(IF(KPI_Element_Map!$E$2:$E$287=$A16,KPI_Element_Map!$A$2:$A$287),COLUMNS($J16:N16)),KPI_Master!$A:$A,0)&amp;":P"&amp;MATCH(SMALL(IF(KPI_Element_Map!$E$2:$E$287=$A16,KPI_Element_Map!$A$2:$A$287),COLUMNS($J16:N16)),KPI_Master!$A:$A,0),SMALL(IF(KPI_Element_Map!$E$2:$E$287=$A16,KPI_Element_Map!$A$2:$A$287),COLUMNS($J16:N16))),"")</f>
        <v/>
      </c>
      <c r="O16" s="25" t="str">
        <f t="array" ref="O16">IFERROR(HYPERLINK("#KPI_Master!A"&amp;MATCH(SMALL(IF(KPI_Element_Map!$E$2:$E$287=$A16,KPI_Element_Map!$A$2:$A$287),COLUMNS($J16:O16)),KPI_Master!$A:$A,0)&amp;":P"&amp;MATCH(SMALL(IF(KPI_Element_Map!$E$2:$E$287=$A16,KPI_Element_Map!$A$2:$A$287),COLUMNS($J16:O16)),KPI_Master!$A:$A,0),SMALL(IF(KPI_Element_Map!$E$2:$E$287=$A16,KPI_Element_Map!$A$2:$A$287),COLUMNS($J16:O16))),"")</f>
        <v/>
      </c>
      <c r="P16" s="25" t="str">
        <f t="array" ref="P16">IFERROR(HYPERLINK("#KPI_Master!A"&amp;MATCH(SMALL(IF(KPI_Element_Map!$E$2:$E$287=$A16,KPI_Element_Map!$A$2:$A$287),COLUMNS($J16:P16)),KPI_Master!$A:$A,0)&amp;":P"&amp;MATCH(SMALL(IF(KPI_Element_Map!$E$2:$E$287=$A16,KPI_Element_Map!$A$2:$A$287),COLUMNS($J16:P16)),KPI_Master!$A:$A,0),SMALL(IF(KPI_Element_Map!$E$2:$E$287=$A16,KPI_Element_Map!$A$2:$A$287),COLUMNS($J16:P16))),"")</f>
        <v/>
      </c>
      <c r="Q16" s="25" t="str">
        <f t="array" ref="Q16">IFERROR(HYPERLINK("#KPI_Master!A"&amp;MATCH(SMALL(IF(KPI_Element_Map!$E$2:$E$287=$A16,KPI_Element_Map!$A$2:$A$287),COLUMNS($J16:Q16)),KPI_Master!$A:$A,0)&amp;":P"&amp;MATCH(SMALL(IF(KPI_Element_Map!$E$2:$E$287=$A16,KPI_Element_Map!$A$2:$A$287),COLUMNS($J16:Q16)),KPI_Master!$A:$A,0),SMALL(IF(KPI_Element_Map!$E$2:$E$287=$A16,KPI_Element_Map!$A$2:$A$287),COLUMNS($J16:Q16))),"")</f>
        <v/>
      </c>
      <c r="R16" s="25" t="str">
        <f t="array" ref="R16">IFERROR(HYPERLINK("#KPI_Master!A"&amp;MATCH(SMALL(IF(KPI_Element_Map!$E$2:$E$287=$A16,KPI_Element_Map!$A$2:$A$287),COLUMNS($J16:R16)),KPI_Master!$A:$A,0)&amp;":P"&amp;MATCH(SMALL(IF(KPI_Element_Map!$E$2:$E$287=$A16,KPI_Element_Map!$A$2:$A$287),COLUMNS($J16:R16)),KPI_Master!$A:$A,0),SMALL(IF(KPI_Element_Map!$E$2:$E$287=$A16,KPI_Element_Map!$A$2:$A$287),COLUMNS($J16:R16))),"")</f>
        <v/>
      </c>
      <c r="S16" s="25" t="str">
        <f t="array" ref="S16">IFERROR(HYPERLINK("#KPI_Master!A"&amp;MATCH(SMALL(IF(KPI_Element_Map!$E$2:$E$287=$A16,KPI_Element_Map!$A$2:$A$287),COLUMNS($J16:S16)),KPI_Master!$A:$A,0)&amp;":P"&amp;MATCH(SMALL(IF(KPI_Element_Map!$E$2:$E$287=$A16,KPI_Element_Map!$A$2:$A$287),COLUMNS($J16:S16)),KPI_Master!$A:$A,0),SMALL(IF(KPI_Element_Map!$E$2:$E$287=$A16,KPI_Element_Map!$A$2:$A$287),COLUMNS($J16:S16))),"")</f>
        <v/>
      </c>
      <c r="T16" s="25" t="str">
        <f t="array" ref="T16">IFERROR(HYPERLINK("#KPI_Master!A"&amp;MATCH(SMALL(IF(KPI_Element_Map!$E$2:$E$287=$A16,KPI_Element_Map!$A$2:$A$287),COLUMNS($J16:T16)),KPI_Master!$A:$A,0)&amp;":P"&amp;MATCH(SMALL(IF(KPI_Element_Map!$E$2:$E$287=$A16,KPI_Element_Map!$A$2:$A$287),COLUMNS($J16:T16)),KPI_Master!$A:$A,0),SMALL(IF(KPI_Element_Map!$E$2:$E$287=$A16,KPI_Element_Map!$A$2:$A$287),COLUMNS($J16:T16))),"")</f>
        <v/>
      </c>
      <c r="U16" s="25" t="str">
        <f t="array" ref="U16">IFERROR(HYPERLINK("#KPI_Master!A"&amp;MATCH(SMALL(IF(KPI_Element_Map!$E$2:$E$287=$A16,KPI_Element_Map!$A$2:$A$287),COLUMNS($J16:U16)),KPI_Master!$A:$A,0)&amp;":P"&amp;MATCH(SMALL(IF(KPI_Element_Map!$E$2:$E$287=$A16,KPI_Element_Map!$A$2:$A$287),COLUMNS($J16:U16)),KPI_Master!$A:$A,0),SMALL(IF(KPI_Element_Map!$E$2:$E$287=$A16,KPI_Element_Map!$A$2:$A$287),COLUMNS($J16:U16))),"")</f>
        <v/>
      </c>
      <c r="V16" s="25" t="str">
        <f t="array" ref="V16">IFERROR(HYPERLINK("#KPI_Master!A"&amp;MATCH(SMALL(IF(KPI_Element_Map!$E$2:$E$287=$A16,KPI_Element_Map!$A$2:$A$287),COLUMNS($J16:V16)),KPI_Master!$A:$A,0)&amp;":P"&amp;MATCH(SMALL(IF(KPI_Element_Map!$E$2:$E$287=$A16,KPI_Element_Map!$A$2:$A$287),COLUMNS($J16:V16)),KPI_Master!$A:$A,0),SMALL(IF(KPI_Element_Map!$E$2:$E$287=$A16,KPI_Element_Map!$A$2:$A$287),COLUMNS($J16:V16))),"")</f>
        <v/>
      </c>
      <c r="W16" s="25" t="str">
        <f t="array" ref="W16">IFERROR(HYPERLINK("#KPI_Master!A"&amp;MATCH(SMALL(IF(KPI_Element_Map!$E$2:$E$287=$A16,KPI_Element_Map!$A$2:$A$287),COLUMNS($J16:W16)),KPI_Master!$A:$A,0)&amp;":P"&amp;MATCH(SMALL(IF(KPI_Element_Map!$E$2:$E$287=$A16,KPI_Element_Map!$A$2:$A$287),COLUMNS($J16:W16)),KPI_Master!$A:$A,0),SMALL(IF(KPI_Element_Map!$E$2:$E$287=$A16,KPI_Element_Map!$A$2:$A$287),COLUMNS($J16:W16))),"")</f>
        <v/>
      </c>
      <c r="X16" s="25" t="str">
        <f t="array" ref="X16">IFERROR(HYPERLINK("#KPI_Master!A"&amp;MATCH(SMALL(IF(KPI_Element_Map!$E$2:$E$287=$A16,KPI_Element_Map!$A$2:$A$287),COLUMNS($J16:X16)),KPI_Master!$A:$A,0)&amp;":P"&amp;MATCH(SMALL(IF(KPI_Element_Map!$E$2:$E$287=$A16,KPI_Element_Map!$A$2:$A$287),COLUMNS($J16:X16)),KPI_Master!$A:$A,0),SMALL(IF(KPI_Element_Map!$E$2:$E$287=$A16,KPI_Element_Map!$A$2:$A$287),COLUMNS($J16:X16))),"")</f>
        <v/>
      </c>
      <c r="Y16" s="25" t="str">
        <f t="array" ref="Y16">IFERROR(HYPERLINK("#KPI_Master!A"&amp;MATCH(SMALL(IF(KPI_Element_Map!$E$2:$E$287=$A16,KPI_Element_Map!$A$2:$A$287),COLUMNS($J16:Y16)),KPI_Master!$A:$A,0)&amp;":P"&amp;MATCH(SMALL(IF(KPI_Element_Map!$E$2:$E$287=$A16,KPI_Element_Map!$A$2:$A$287),COLUMNS($J16:Y16)),KPI_Master!$A:$A,0),SMALL(IF(KPI_Element_Map!$E$2:$E$287=$A16,KPI_Element_Map!$A$2:$A$287),COLUMNS($J16:Y16))),"")</f>
        <v/>
      </c>
      <c r="Z16" s="25" t="str">
        <f t="array" ref="Z16">IFERROR(HYPERLINK("#KPI_Master!A"&amp;MATCH(SMALL(IF(KPI_Element_Map!$E$2:$E$287=$A16,KPI_Element_Map!$A$2:$A$287),COLUMNS($J16:Z16)),KPI_Master!$A:$A,0)&amp;":P"&amp;MATCH(SMALL(IF(KPI_Element_Map!$E$2:$E$287=$A16,KPI_Element_Map!$A$2:$A$287),COLUMNS($J16:Z16)),KPI_Master!$A:$A,0),SMALL(IF(KPI_Element_Map!$E$2:$E$287=$A16,KPI_Element_Map!$A$2:$A$287),COLUMNS($J16:Z16))),"")</f>
        <v/>
      </c>
      <c r="AA16" s="25" t="str">
        <f t="array" ref="AA16">IFERROR(HYPERLINK("#KPI_Master!A"&amp;MATCH(SMALL(IF(KPI_Element_Map!$E$2:$E$287=$A16,KPI_Element_Map!$A$2:$A$287),COLUMNS($J16:AA16)),KPI_Master!$A:$A,0)&amp;":P"&amp;MATCH(SMALL(IF(KPI_Element_Map!$E$2:$E$287=$A16,KPI_Element_Map!$A$2:$A$287),COLUMNS($J16:AA16)),KPI_Master!$A:$A,0),SMALL(IF(KPI_Element_Map!$E$2:$E$287=$A16,KPI_Element_Map!$A$2:$A$287),COLUMNS($J16:AA16))),"")</f>
        <v/>
      </c>
      <c r="AB16" s="25" t="str">
        <f t="array" ref="AB16">IFERROR(HYPERLINK("#KPI_Master!A"&amp;MATCH(SMALL(IF(KPI_Element_Map!$E$2:$E$287=$A16,KPI_Element_Map!$A$2:$A$287),COLUMNS($J16:AB16)),KPI_Master!$A:$A,0)&amp;":P"&amp;MATCH(SMALL(IF(KPI_Element_Map!$E$2:$E$287=$A16,KPI_Element_Map!$A$2:$A$287),COLUMNS($J16:AB16)),KPI_Master!$A:$A,0),SMALL(IF(KPI_Element_Map!$E$2:$E$287=$A16,KPI_Element_Map!$A$2:$A$287),COLUMNS($J16:AB16))),"")</f>
        <v/>
      </c>
      <c r="AC16" s="25" t="str">
        <f t="array" ref="AC16">IFERROR(HYPERLINK("#KPI_Master!A"&amp;MATCH(SMALL(IF(KPI_Element_Map!$E$2:$E$287=$A16,KPI_Element_Map!$A$2:$A$287),COLUMNS($J16:AC16)),KPI_Master!$A:$A,0)&amp;":P"&amp;MATCH(SMALL(IF(KPI_Element_Map!$E$2:$E$287=$A16,KPI_Element_Map!$A$2:$A$287),COLUMNS($J16:AC16)),KPI_Master!$A:$A,0),SMALL(IF(KPI_Element_Map!$E$2:$E$287=$A16,KPI_Element_Map!$A$2:$A$287),COLUMNS($J16:AC16))),"")</f>
        <v/>
      </c>
      <c r="AD16" s="25" t="str">
        <f t="array" ref="AD16">IFERROR(HYPERLINK("#KPI_Master!A"&amp;MATCH(SMALL(IF(KPI_Element_Map!$E$2:$E$287=$A16,KPI_Element_Map!$A$2:$A$287),COLUMNS($J16:AD16)),KPI_Master!$A:$A,0)&amp;":P"&amp;MATCH(SMALL(IF(KPI_Element_Map!$E$2:$E$287=$A16,KPI_Element_Map!$A$2:$A$287),COLUMNS($J16:AD16)),KPI_Master!$A:$A,0),SMALL(IF(KPI_Element_Map!$E$2:$E$287=$A16,KPI_Element_Map!$A$2:$A$287),COLUMNS($J16:AD16))),"")</f>
        <v/>
      </c>
      <c r="AE16" s="25" t="str">
        <f t="array" ref="AE16">IFERROR(HYPERLINK("#KPI_Master!A"&amp;MATCH(SMALL(IF(KPI_Element_Map!$E$2:$E$287=$A16,KPI_Element_Map!$A$2:$A$287),COLUMNS($J16:AE16)),KPI_Master!$A:$A,0)&amp;":P"&amp;MATCH(SMALL(IF(KPI_Element_Map!$E$2:$E$287=$A16,KPI_Element_Map!$A$2:$A$287),COLUMNS($J16:AE16)),KPI_Master!$A:$A,0),SMALL(IF(KPI_Element_Map!$E$2:$E$287=$A16,KPI_Element_Map!$A$2:$A$287),COLUMNS($J16:AE16))),"")</f>
        <v/>
      </c>
      <c r="AF16" s="25" t="str">
        <f t="array" ref="AF16">IFERROR(HYPERLINK("#KPI_Master!A"&amp;MATCH(SMALL(IF(KPI_Element_Map!$E$2:$E$287=$A16,KPI_Element_Map!$A$2:$A$287),COLUMNS($J16:AF16)),KPI_Master!$A:$A,0)&amp;":P"&amp;MATCH(SMALL(IF(KPI_Element_Map!$E$2:$E$287=$A16,KPI_Element_Map!$A$2:$A$287),COLUMNS($J16:AF16)),KPI_Master!$A:$A,0),SMALL(IF(KPI_Element_Map!$E$2:$E$287=$A16,KPI_Element_Map!$A$2:$A$287),COLUMNS($J16:AF16))),"")</f>
        <v/>
      </c>
      <c r="AG16" s="25" t="str">
        <f t="array" ref="AG16">IFERROR(HYPERLINK("#KPI_Master!A"&amp;MATCH(SMALL(IF(KPI_Element_Map!$E$2:$E$287=$A16,KPI_Element_Map!$A$2:$A$287),COLUMNS($J16:AG16)),KPI_Master!$A:$A,0)&amp;":P"&amp;MATCH(SMALL(IF(KPI_Element_Map!$E$2:$E$287=$A16,KPI_Element_Map!$A$2:$A$287),COLUMNS($J16:AG16)),KPI_Master!$A:$A,0),SMALL(IF(KPI_Element_Map!$E$2:$E$287=$A16,KPI_Element_Map!$A$2:$A$287),COLUMNS($J16:AG16))),"")</f>
        <v/>
      </c>
      <c r="AH16" s="25" t="str">
        <f t="array" ref="AH16">IFERROR(HYPERLINK("#KPI_Master!A"&amp;MATCH(SMALL(IF(KPI_Element_Map!$E$2:$E$287=$A16,KPI_Element_Map!$A$2:$A$287),COLUMNS($J16:AH16)),KPI_Master!$A:$A,0)&amp;":P"&amp;MATCH(SMALL(IF(KPI_Element_Map!$E$2:$E$287=$A16,KPI_Element_Map!$A$2:$A$287),COLUMNS($J16:AH16)),KPI_Master!$A:$A,0),SMALL(IF(KPI_Element_Map!$E$2:$E$287=$A16,KPI_Element_Map!$A$2:$A$287),COLUMNS($J16:AH16))),"")</f>
        <v/>
      </c>
    </row>
    <row r="17" spans="1:34">
      <c r="A17" s="21" t="s">
        <v>966</v>
      </c>
      <c r="B17" s="22" t="s">
        <v>967</v>
      </c>
      <c r="C17" s="23" t="s">
        <v>968</v>
      </c>
      <c r="D17" s="23" t="str">
        <f t="array" ref="D17">_xlfn.TEXTJOIN(", ",TRUE(),IF(KPI_Element_Map!$E$2:$E$287=$A17,KPI_Element_Map!$A$2:$A$287,""))</f>
        <v>120</v>
      </c>
      <c r="E17" s="21">
        <f>COUNTIF(KPI_Element_Map!$E$2:$E$287,$A17)</f>
        <v>1</v>
      </c>
      <c r="F17" s="21">
        <f>COUNTIFS(KPI_Element_Map!$E$2:$E$287,$A17,KPI_Element_Map!$D$2:$D$287,"1 - Core")</f>
        <v>0</v>
      </c>
      <c r="G17" s="24" t="s">
        <v>962</v>
      </c>
      <c r="H17" s="23" t="str">
        <f>INDEX(Minimum_Documents!$B:$B,MATCH($G17,Minimum_Documents!$A:$A,0))</f>
        <v>Property &amp; Unit Master Schedule</v>
      </c>
      <c r="J17" s="25">
        <f t="array" ref="J17">IFERROR(HYPERLINK("#KPI_Master!A"&amp;MATCH(SMALL(IF(KPI_Element_Map!$E$2:$E$287=$A17,KPI_Element_Map!$A$2:$A$287),COLUMNS($J17:J17)),KPI_Master!$A:$A,0)&amp;":P"&amp;MATCH(SMALL(IF(KPI_Element_Map!$E$2:$E$287=$A17,KPI_Element_Map!$A$2:$A$287),COLUMNS($J17:J17)),KPI_Master!$A:$A,0),SMALL(IF(KPI_Element_Map!$E$2:$E$287=$A17,KPI_Element_Map!$A$2:$A$287),COLUMNS($J17:J17))),"")</f>
        <v>120</v>
      </c>
      <c r="K17" s="25" t="str">
        <f t="array" ref="K17">IFERROR(HYPERLINK("#KPI_Master!A"&amp;MATCH(SMALL(IF(KPI_Element_Map!$E$2:$E$287=$A17,KPI_Element_Map!$A$2:$A$287),COLUMNS($J17:K17)),KPI_Master!$A:$A,0)&amp;":P"&amp;MATCH(SMALL(IF(KPI_Element_Map!$E$2:$E$287=$A17,KPI_Element_Map!$A$2:$A$287),COLUMNS($J17:K17)),KPI_Master!$A:$A,0),SMALL(IF(KPI_Element_Map!$E$2:$E$287=$A17,KPI_Element_Map!$A$2:$A$287),COLUMNS($J17:K17))),"")</f>
        <v/>
      </c>
      <c r="L17" s="25" t="str">
        <f t="array" ref="L17">IFERROR(HYPERLINK("#KPI_Master!A"&amp;MATCH(SMALL(IF(KPI_Element_Map!$E$2:$E$287=$A17,KPI_Element_Map!$A$2:$A$287),COLUMNS($J17:L17)),KPI_Master!$A:$A,0)&amp;":P"&amp;MATCH(SMALL(IF(KPI_Element_Map!$E$2:$E$287=$A17,KPI_Element_Map!$A$2:$A$287),COLUMNS($J17:L17)),KPI_Master!$A:$A,0),SMALL(IF(KPI_Element_Map!$E$2:$E$287=$A17,KPI_Element_Map!$A$2:$A$287),COLUMNS($J17:L17))),"")</f>
        <v/>
      </c>
      <c r="M17" s="25" t="str">
        <f t="array" ref="M17">IFERROR(HYPERLINK("#KPI_Master!A"&amp;MATCH(SMALL(IF(KPI_Element_Map!$E$2:$E$287=$A17,KPI_Element_Map!$A$2:$A$287),COLUMNS($J17:M17)),KPI_Master!$A:$A,0)&amp;":P"&amp;MATCH(SMALL(IF(KPI_Element_Map!$E$2:$E$287=$A17,KPI_Element_Map!$A$2:$A$287),COLUMNS($J17:M17)),KPI_Master!$A:$A,0),SMALL(IF(KPI_Element_Map!$E$2:$E$287=$A17,KPI_Element_Map!$A$2:$A$287),COLUMNS($J17:M17))),"")</f>
        <v/>
      </c>
      <c r="N17" s="25" t="str">
        <f t="array" ref="N17">IFERROR(HYPERLINK("#KPI_Master!A"&amp;MATCH(SMALL(IF(KPI_Element_Map!$E$2:$E$287=$A17,KPI_Element_Map!$A$2:$A$287),COLUMNS($J17:N17)),KPI_Master!$A:$A,0)&amp;":P"&amp;MATCH(SMALL(IF(KPI_Element_Map!$E$2:$E$287=$A17,KPI_Element_Map!$A$2:$A$287),COLUMNS($J17:N17)),KPI_Master!$A:$A,0),SMALL(IF(KPI_Element_Map!$E$2:$E$287=$A17,KPI_Element_Map!$A$2:$A$287),COLUMNS($J17:N17))),"")</f>
        <v/>
      </c>
      <c r="O17" s="25" t="str">
        <f t="array" ref="O17">IFERROR(HYPERLINK("#KPI_Master!A"&amp;MATCH(SMALL(IF(KPI_Element_Map!$E$2:$E$287=$A17,KPI_Element_Map!$A$2:$A$287),COLUMNS($J17:O17)),KPI_Master!$A:$A,0)&amp;":P"&amp;MATCH(SMALL(IF(KPI_Element_Map!$E$2:$E$287=$A17,KPI_Element_Map!$A$2:$A$287),COLUMNS($J17:O17)),KPI_Master!$A:$A,0),SMALL(IF(KPI_Element_Map!$E$2:$E$287=$A17,KPI_Element_Map!$A$2:$A$287),COLUMNS($J17:O17))),"")</f>
        <v/>
      </c>
      <c r="P17" s="25" t="str">
        <f t="array" ref="P17">IFERROR(HYPERLINK("#KPI_Master!A"&amp;MATCH(SMALL(IF(KPI_Element_Map!$E$2:$E$287=$A17,KPI_Element_Map!$A$2:$A$287),COLUMNS($J17:P17)),KPI_Master!$A:$A,0)&amp;":P"&amp;MATCH(SMALL(IF(KPI_Element_Map!$E$2:$E$287=$A17,KPI_Element_Map!$A$2:$A$287),COLUMNS($J17:P17)),KPI_Master!$A:$A,0),SMALL(IF(KPI_Element_Map!$E$2:$E$287=$A17,KPI_Element_Map!$A$2:$A$287),COLUMNS($J17:P17))),"")</f>
        <v/>
      </c>
      <c r="Q17" s="25" t="str">
        <f t="array" ref="Q17">IFERROR(HYPERLINK("#KPI_Master!A"&amp;MATCH(SMALL(IF(KPI_Element_Map!$E$2:$E$287=$A17,KPI_Element_Map!$A$2:$A$287),COLUMNS($J17:Q17)),KPI_Master!$A:$A,0)&amp;":P"&amp;MATCH(SMALL(IF(KPI_Element_Map!$E$2:$E$287=$A17,KPI_Element_Map!$A$2:$A$287),COLUMNS($J17:Q17)),KPI_Master!$A:$A,0),SMALL(IF(KPI_Element_Map!$E$2:$E$287=$A17,KPI_Element_Map!$A$2:$A$287),COLUMNS($J17:Q17))),"")</f>
        <v/>
      </c>
      <c r="R17" s="25" t="str">
        <f t="array" ref="R17">IFERROR(HYPERLINK("#KPI_Master!A"&amp;MATCH(SMALL(IF(KPI_Element_Map!$E$2:$E$287=$A17,KPI_Element_Map!$A$2:$A$287),COLUMNS($J17:R17)),KPI_Master!$A:$A,0)&amp;":P"&amp;MATCH(SMALL(IF(KPI_Element_Map!$E$2:$E$287=$A17,KPI_Element_Map!$A$2:$A$287),COLUMNS($J17:R17)),KPI_Master!$A:$A,0),SMALL(IF(KPI_Element_Map!$E$2:$E$287=$A17,KPI_Element_Map!$A$2:$A$287),COLUMNS($J17:R17))),"")</f>
        <v/>
      </c>
      <c r="S17" s="25" t="str">
        <f t="array" ref="S17">IFERROR(HYPERLINK("#KPI_Master!A"&amp;MATCH(SMALL(IF(KPI_Element_Map!$E$2:$E$287=$A17,KPI_Element_Map!$A$2:$A$287),COLUMNS($J17:S17)),KPI_Master!$A:$A,0)&amp;":P"&amp;MATCH(SMALL(IF(KPI_Element_Map!$E$2:$E$287=$A17,KPI_Element_Map!$A$2:$A$287),COLUMNS($J17:S17)),KPI_Master!$A:$A,0),SMALL(IF(KPI_Element_Map!$E$2:$E$287=$A17,KPI_Element_Map!$A$2:$A$287),COLUMNS($J17:S17))),"")</f>
        <v/>
      </c>
      <c r="T17" s="25" t="str">
        <f t="array" ref="T17">IFERROR(HYPERLINK("#KPI_Master!A"&amp;MATCH(SMALL(IF(KPI_Element_Map!$E$2:$E$287=$A17,KPI_Element_Map!$A$2:$A$287),COLUMNS($J17:T17)),KPI_Master!$A:$A,0)&amp;":P"&amp;MATCH(SMALL(IF(KPI_Element_Map!$E$2:$E$287=$A17,KPI_Element_Map!$A$2:$A$287),COLUMNS($J17:T17)),KPI_Master!$A:$A,0),SMALL(IF(KPI_Element_Map!$E$2:$E$287=$A17,KPI_Element_Map!$A$2:$A$287),COLUMNS($J17:T17))),"")</f>
        <v/>
      </c>
      <c r="U17" s="25" t="str">
        <f t="array" ref="U17">IFERROR(HYPERLINK("#KPI_Master!A"&amp;MATCH(SMALL(IF(KPI_Element_Map!$E$2:$E$287=$A17,KPI_Element_Map!$A$2:$A$287),COLUMNS($J17:U17)),KPI_Master!$A:$A,0)&amp;":P"&amp;MATCH(SMALL(IF(KPI_Element_Map!$E$2:$E$287=$A17,KPI_Element_Map!$A$2:$A$287),COLUMNS($J17:U17)),KPI_Master!$A:$A,0),SMALL(IF(KPI_Element_Map!$E$2:$E$287=$A17,KPI_Element_Map!$A$2:$A$287),COLUMNS($J17:U17))),"")</f>
        <v/>
      </c>
      <c r="V17" s="25" t="str">
        <f t="array" ref="V17">IFERROR(HYPERLINK("#KPI_Master!A"&amp;MATCH(SMALL(IF(KPI_Element_Map!$E$2:$E$287=$A17,KPI_Element_Map!$A$2:$A$287),COLUMNS($J17:V17)),KPI_Master!$A:$A,0)&amp;":P"&amp;MATCH(SMALL(IF(KPI_Element_Map!$E$2:$E$287=$A17,KPI_Element_Map!$A$2:$A$287),COLUMNS($J17:V17)),KPI_Master!$A:$A,0),SMALL(IF(KPI_Element_Map!$E$2:$E$287=$A17,KPI_Element_Map!$A$2:$A$287),COLUMNS($J17:V17))),"")</f>
        <v/>
      </c>
      <c r="W17" s="25" t="str">
        <f t="array" ref="W17">IFERROR(HYPERLINK("#KPI_Master!A"&amp;MATCH(SMALL(IF(KPI_Element_Map!$E$2:$E$287=$A17,KPI_Element_Map!$A$2:$A$287),COLUMNS($J17:W17)),KPI_Master!$A:$A,0)&amp;":P"&amp;MATCH(SMALL(IF(KPI_Element_Map!$E$2:$E$287=$A17,KPI_Element_Map!$A$2:$A$287),COLUMNS($J17:W17)),KPI_Master!$A:$A,0),SMALL(IF(KPI_Element_Map!$E$2:$E$287=$A17,KPI_Element_Map!$A$2:$A$287),COLUMNS($J17:W17))),"")</f>
        <v/>
      </c>
      <c r="X17" s="25" t="str">
        <f t="array" ref="X17">IFERROR(HYPERLINK("#KPI_Master!A"&amp;MATCH(SMALL(IF(KPI_Element_Map!$E$2:$E$287=$A17,KPI_Element_Map!$A$2:$A$287),COLUMNS($J17:X17)),KPI_Master!$A:$A,0)&amp;":P"&amp;MATCH(SMALL(IF(KPI_Element_Map!$E$2:$E$287=$A17,KPI_Element_Map!$A$2:$A$287),COLUMNS($J17:X17)),KPI_Master!$A:$A,0),SMALL(IF(KPI_Element_Map!$E$2:$E$287=$A17,KPI_Element_Map!$A$2:$A$287),COLUMNS($J17:X17))),"")</f>
        <v/>
      </c>
      <c r="Y17" s="25" t="str">
        <f t="array" ref="Y17">IFERROR(HYPERLINK("#KPI_Master!A"&amp;MATCH(SMALL(IF(KPI_Element_Map!$E$2:$E$287=$A17,KPI_Element_Map!$A$2:$A$287),COLUMNS($J17:Y17)),KPI_Master!$A:$A,0)&amp;":P"&amp;MATCH(SMALL(IF(KPI_Element_Map!$E$2:$E$287=$A17,KPI_Element_Map!$A$2:$A$287),COLUMNS($J17:Y17)),KPI_Master!$A:$A,0),SMALL(IF(KPI_Element_Map!$E$2:$E$287=$A17,KPI_Element_Map!$A$2:$A$287),COLUMNS($J17:Y17))),"")</f>
        <v/>
      </c>
      <c r="Z17" s="25" t="str">
        <f t="array" ref="Z17">IFERROR(HYPERLINK("#KPI_Master!A"&amp;MATCH(SMALL(IF(KPI_Element_Map!$E$2:$E$287=$A17,KPI_Element_Map!$A$2:$A$287),COLUMNS($J17:Z17)),KPI_Master!$A:$A,0)&amp;":P"&amp;MATCH(SMALL(IF(KPI_Element_Map!$E$2:$E$287=$A17,KPI_Element_Map!$A$2:$A$287),COLUMNS($J17:Z17)),KPI_Master!$A:$A,0),SMALL(IF(KPI_Element_Map!$E$2:$E$287=$A17,KPI_Element_Map!$A$2:$A$287),COLUMNS($J17:Z17))),"")</f>
        <v/>
      </c>
      <c r="AA17" s="25" t="str">
        <f t="array" ref="AA17">IFERROR(HYPERLINK("#KPI_Master!A"&amp;MATCH(SMALL(IF(KPI_Element_Map!$E$2:$E$287=$A17,KPI_Element_Map!$A$2:$A$287),COLUMNS($J17:AA17)),KPI_Master!$A:$A,0)&amp;":P"&amp;MATCH(SMALL(IF(KPI_Element_Map!$E$2:$E$287=$A17,KPI_Element_Map!$A$2:$A$287),COLUMNS($J17:AA17)),KPI_Master!$A:$A,0),SMALL(IF(KPI_Element_Map!$E$2:$E$287=$A17,KPI_Element_Map!$A$2:$A$287),COLUMNS($J17:AA17))),"")</f>
        <v/>
      </c>
      <c r="AB17" s="25" t="str">
        <f t="array" ref="AB17">IFERROR(HYPERLINK("#KPI_Master!A"&amp;MATCH(SMALL(IF(KPI_Element_Map!$E$2:$E$287=$A17,KPI_Element_Map!$A$2:$A$287),COLUMNS($J17:AB17)),KPI_Master!$A:$A,0)&amp;":P"&amp;MATCH(SMALL(IF(KPI_Element_Map!$E$2:$E$287=$A17,KPI_Element_Map!$A$2:$A$287),COLUMNS($J17:AB17)),KPI_Master!$A:$A,0),SMALL(IF(KPI_Element_Map!$E$2:$E$287=$A17,KPI_Element_Map!$A$2:$A$287),COLUMNS($J17:AB17))),"")</f>
        <v/>
      </c>
      <c r="AC17" s="25" t="str">
        <f t="array" ref="AC17">IFERROR(HYPERLINK("#KPI_Master!A"&amp;MATCH(SMALL(IF(KPI_Element_Map!$E$2:$E$287=$A17,KPI_Element_Map!$A$2:$A$287),COLUMNS($J17:AC17)),KPI_Master!$A:$A,0)&amp;":P"&amp;MATCH(SMALL(IF(KPI_Element_Map!$E$2:$E$287=$A17,KPI_Element_Map!$A$2:$A$287),COLUMNS($J17:AC17)),KPI_Master!$A:$A,0),SMALL(IF(KPI_Element_Map!$E$2:$E$287=$A17,KPI_Element_Map!$A$2:$A$287),COLUMNS($J17:AC17))),"")</f>
        <v/>
      </c>
      <c r="AD17" s="25" t="str">
        <f t="array" ref="AD17">IFERROR(HYPERLINK("#KPI_Master!A"&amp;MATCH(SMALL(IF(KPI_Element_Map!$E$2:$E$287=$A17,KPI_Element_Map!$A$2:$A$287),COLUMNS($J17:AD17)),KPI_Master!$A:$A,0)&amp;":P"&amp;MATCH(SMALL(IF(KPI_Element_Map!$E$2:$E$287=$A17,KPI_Element_Map!$A$2:$A$287),COLUMNS($J17:AD17)),KPI_Master!$A:$A,0),SMALL(IF(KPI_Element_Map!$E$2:$E$287=$A17,KPI_Element_Map!$A$2:$A$287),COLUMNS($J17:AD17))),"")</f>
        <v/>
      </c>
      <c r="AE17" s="25" t="str">
        <f t="array" ref="AE17">IFERROR(HYPERLINK("#KPI_Master!A"&amp;MATCH(SMALL(IF(KPI_Element_Map!$E$2:$E$287=$A17,KPI_Element_Map!$A$2:$A$287),COLUMNS($J17:AE17)),KPI_Master!$A:$A,0)&amp;":P"&amp;MATCH(SMALL(IF(KPI_Element_Map!$E$2:$E$287=$A17,KPI_Element_Map!$A$2:$A$287),COLUMNS($J17:AE17)),KPI_Master!$A:$A,0),SMALL(IF(KPI_Element_Map!$E$2:$E$287=$A17,KPI_Element_Map!$A$2:$A$287),COLUMNS($J17:AE17))),"")</f>
        <v/>
      </c>
      <c r="AF17" s="25" t="str">
        <f t="array" ref="AF17">IFERROR(HYPERLINK("#KPI_Master!A"&amp;MATCH(SMALL(IF(KPI_Element_Map!$E$2:$E$287=$A17,KPI_Element_Map!$A$2:$A$287),COLUMNS($J17:AF17)),KPI_Master!$A:$A,0)&amp;":P"&amp;MATCH(SMALL(IF(KPI_Element_Map!$E$2:$E$287=$A17,KPI_Element_Map!$A$2:$A$287),COLUMNS($J17:AF17)),KPI_Master!$A:$A,0),SMALL(IF(KPI_Element_Map!$E$2:$E$287=$A17,KPI_Element_Map!$A$2:$A$287),COLUMNS($J17:AF17))),"")</f>
        <v/>
      </c>
      <c r="AG17" s="25" t="str">
        <f t="array" ref="AG17">IFERROR(HYPERLINK("#KPI_Master!A"&amp;MATCH(SMALL(IF(KPI_Element_Map!$E$2:$E$287=$A17,KPI_Element_Map!$A$2:$A$287),COLUMNS($J17:AG17)),KPI_Master!$A:$A,0)&amp;":P"&amp;MATCH(SMALL(IF(KPI_Element_Map!$E$2:$E$287=$A17,KPI_Element_Map!$A$2:$A$287),COLUMNS($J17:AG17)),KPI_Master!$A:$A,0),SMALL(IF(KPI_Element_Map!$E$2:$E$287=$A17,KPI_Element_Map!$A$2:$A$287),COLUMNS($J17:AG17))),"")</f>
        <v/>
      </c>
      <c r="AH17" s="25" t="str">
        <f t="array" ref="AH17">IFERROR(HYPERLINK("#KPI_Master!A"&amp;MATCH(SMALL(IF(KPI_Element_Map!$E$2:$E$287=$A17,KPI_Element_Map!$A$2:$A$287),COLUMNS($J17:AH17)),KPI_Master!$A:$A,0)&amp;":P"&amp;MATCH(SMALL(IF(KPI_Element_Map!$E$2:$E$287=$A17,KPI_Element_Map!$A$2:$A$287),COLUMNS($J17:AH17)),KPI_Master!$A:$A,0),SMALL(IF(KPI_Element_Map!$E$2:$E$287=$A17,KPI_Element_Map!$A$2:$A$287),COLUMNS($J17:AH17))),"")</f>
        <v/>
      </c>
    </row>
    <row r="18" spans="1:34">
      <c r="A18" s="21" t="s">
        <v>969</v>
      </c>
      <c r="B18" s="22" t="s">
        <v>970</v>
      </c>
      <c r="C18" s="23" t="s">
        <v>971</v>
      </c>
      <c r="D18" s="23" t="str">
        <f t="array" ref="D18">_xlfn.TEXTJOIN(", ",TRUE(),IF(KPI_Element_Map!$E$2:$E$287=$A18,KPI_Element_Map!$A$2:$A$287,""))</f>
        <v>165</v>
      </c>
      <c r="E18" s="21">
        <f>COUNTIF(KPI_Element_Map!$E$2:$E$287,$A18)</f>
        <v>1</v>
      </c>
      <c r="F18" s="21">
        <f>COUNTIFS(KPI_Element_Map!$E$2:$E$287,$A18,KPI_Element_Map!$D$2:$D$287,"1 - Core")</f>
        <v>0</v>
      </c>
      <c r="G18" s="24" t="s">
        <v>962</v>
      </c>
      <c r="H18" s="23" t="str">
        <f>INDEX(Minimum_Documents!$B:$B,MATCH($G18,Minimum_Documents!$A:$A,0))</f>
        <v>Property &amp; Unit Master Schedule</v>
      </c>
      <c r="J18" s="25">
        <f t="array" ref="J18">IFERROR(HYPERLINK("#KPI_Master!A"&amp;MATCH(SMALL(IF(KPI_Element_Map!$E$2:$E$287=$A18,KPI_Element_Map!$A$2:$A$287),COLUMNS($J18:J18)),KPI_Master!$A:$A,0)&amp;":P"&amp;MATCH(SMALL(IF(KPI_Element_Map!$E$2:$E$287=$A18,KPI_Element_Map!$A$2:$A$287),COLUMNS($J18:J18)),KPI_Master!$A:$A,0),SMALL(IF(KPI_Element_Map!$E$2:$E$287=$A18,KPI_Element_Map!$A$2:$A$287),COLUMNS($J18:J18))),"")</f>
        <v>165</v>
      </c>
      <c r="K18" s="25" t="str">
        <f t="array" ref="K18">IFERROR(HYPERLINK("#KPI_Master!A"&amp;MATCH(SMALL(IF(KPI_Element_Map!$E$2:$E$287=$A18,KPI_Element_Map!$A$2:$A$287),COLUMNS($J18:K18)),KPI_Master!$A:$A,0)&amp;":P"&amp;MATCH(SMALL(IF(KPI_Element_Map!$E$2:$E$287=$A18,KPI_Element_Map!$A$2:$A$287),COLUMNS($J18:K18)),KPI_Master!$A:$A,0),SMALL(IF(KPI_Element_Map!$E$2:$E$287=$A18,KPI_Element_Map!$A$2:$A$287),COLUMNS($J18:K18))),"")</f>
        <v/>
      </c>
      <c r="L18" s="25" t="str">
        <f t="array" ref="L18">IFERROR(HYPERLINK("#KPI_Master!A"&amp;MATCH(SMALL(IF(KPI_Element_Map!$E$2:$E$287=$A18,KPI_Element_Map!$A$2:$A$287),COLUMNS($J18:L18)),KPI_Master!$A:$A,0)&amp;":P"&amp;MATCH(SMALL(IF(KPI_Element_Map!$E$2:$E$287=$A18,KPI_Element_Map!$A$2:$A$287),COLUMNS($J18:L18)),KPI_Master!$A:$A,0),SMALL(IF(KPI_Element_Map!$E$2:$E$287=$A18,KPI_Element_Map!$A$2:$A$287),COLUMNS($J18:L18))),"")</f>
        <v/>
      </c>
      <c r="M18" s="25" t="str">
        <f t="array" ref="M18">IFERROR(HYPERLINK("#KPI_Master!A"&amp;MATCH(SMALL(IF(KPI_Element_Map!$E$2:$E$287=$A18,KPI_Element_Map!$A$2:$A$287),COLUMNS($J18:M18)),KPI_Master!$A:$A,0)&amp;":P"&amp;MATCH(SMALL(IF(KPI_Element_Map!$E$2:$E$287=$A18,KPI_Element_Map!$A$2:$A$287),COLUMNS($J18:M18)),KPI_Master!$A:$A,0),SMALL(IF(KPI_Element_Map!$E$2:$E$287=$A18,KPI_Element_Map!$A$2:$A$287),COLUMNS($J18:M18))),"")</f>
        <v/>
      </c>
      <c r="N18" s="25" t="str">
        <f t="array" ref="N18">IFERROR(HYPERLINK("#KPI_Master!A"&amp;MATCH(SMALL(IF(KPI_Element_Map!$E$2:$E$287=$A18,KPI_Element_Map!$A$2:$A$287),COLUMNS($J18:N18)),KPI_Master!$A:$A,0)&amp;":P"&amp;MATCH(SMALL(IF(KPI_Element_Map!$E$2:$E$287=$A18,KPI_Element_Map!$A$2:$A$287),COLUMNS($J18:N18)),KPI_Master!$A:$A,0),SMALL(IF(KPI_Element_Map!$E$2:$E$287=$A18,KPI_Element_Map!$A$2:$A$287),COLUMNS($J18:N18))),"")</f>
        <v/>
      </c>
      <c r="O18" s="25" t="str">
        <f t="array" ref="O18">IFERROR(HYPERLINK("#KPI_Master!A"&amp;MATCH(SMALL(IF(KPI_Element_Map!$E$2:$E$287=$A18,KPI_Element_Map!$A$2:$A$287),COLUMNS($J18:O18)),KPI_Master!$A:$A,0)&amp;":P"&amp;MATCH(SMALL(IF(KPI_Element_Map!$E$2:$E$287=$A18,KPI_Element_Map!$A$2:$A$287),COLUMNS($J18:O18)),KPI_Master!$A:$A,0),SMALL(IF(KPI_Element_Map!$E$2:$E$287=$A18,KPI_Element_Map!$A$2:$A$287),COLUMNS($J18:O18))),"")</f>
        <v/>
      </c>
      <c r="P18" s="25" t="str">
        <f t="array" ref="P18">IFERROR(HYPERLINK("#KPI_Master!A"&amp;MATCH(SMALL(IF(KPI_Element_Map!$E$2:$E$287=$A18,KPI_Element_Map!$A$2:$A$287),COLUMNS($J18:P18)),KPI_Master!$A:$A,0)&amp;":P"&amp;MATCH(SMALL(IF(KPI_Element_Map!$E$2:$E$287=$A18,KPI_Element_Map!$A$2:$A$287),COLUMNS($J18:P18)),KPI_Master!$A:$A,0),SMALL(IF(KPI_Element_Map!$E$2:$E$287=$A18,KPI_Element_Map!$A$2:$A$287),COLUMNS($J18:P18))),"")</f>
        <v/>
      </c>
      <c r="Q18" s="25" t="str">
        <f t="array" ref="Q18">IFERROR(HYPERLINK("#KPI_Master!A"&amp;MATCH(SMALL(IF(KPI_Element_Map!$E$2:$E$287=$A18,KPI_Element_Map!$A$2:$A$287),COLUMNS($J18:Q18)),KPI_Master!$A:$A,0)&amp;":P"&amp;MATCH(SMALL(IF(KPI_Element_Map!$E$2:$E$287=$A18,KPI_Element_Map!$A$2:$A$287),COLUMNS($J18:Q18)),KPI_Master!$A:$A,0),SMALL(IF(KPI_Element_Map!$E$2:$E$287=$A18,KPI_Element_Map!$A$2:$A$287),COLUMNS($J18:Q18))),"")</f>
        <v/>
      </c>
      <c r="R18" s="25" t="str">
        <f t="array" ref="R18">IFERROR(HYPERLINK("#KPI_Master!A"&amp;MATCH(SMALL(IF(KPI_Element_Map!$E$2:$E$287=$A18,KPI_Element_Map!$A$2:$A$287),COLUMNS($J18:R18)),KPI_Master!$A:$A,0)&amp;":P"&amp;MATCH(SMALL(IF(KPI_Element_Map!$E$2:$E$287=$A18,KPI_Element_Map!$A$2:$A$287),COLUMNS($J18:R18)),KPI_Master!$A:$A,0),SMALL(IF(KPI_Element_Map!$E$2:$E$287=$A18,KPI_Element_Map!$A$2:$A$287),COLUMNS($J18:R18))),"")</f>
        <v/>
      </c>
      <c r="S18" s="25" t="str">
        <f t="array" ref="S18">IFERROR(HYPERLINK("#KPI_Master!A"&amp;MATCH(SMALL(IF(KPI_Element_Map!$E$2:$E$287=$A18,KPI_Element_Map!$A$2:$A$287),COLUMNS($J18:S18)),KPI_Master!$A:$A,0)&amp;":P"&amp;MATCH(SMALL(IF(KPI_Element_Map!$E$2:$E$287=$A18,KPI_Element_Map!$A$2:$A$287),COLUMNS($J18:S18)),KPI_Master!$A:$A,0),SMALL(IF(KPI_Element_Map!$E$2:$E$287=$A18,KPI_Element_Map!$A$2:$A$287),COLUMNS($J18:S18))),"")</f>
        <v/>
      </c>
      <c r="T18" s="25" t="str">
        <f t="array" ref="T18">IFERROR(HYPERLINK("#KPI_Master!A"&amp;MATCH(SMALL(IF(KPI_Element_Map!$E$2:$E$287=$A18,KPI_Element_Map!$A$2:$A$287),COLUMNS($J18:T18)),KPI_Master!$A:$A,0)&amp;":P"&amp;MATCH(SMALL(IF(KPI_Element_Map!$E$2:$E$287=$A18,KPI_Element_Map!$A$2:$A$287),COLUMNS($J18:T18)),KPI_Master!$A:$A,0),SMALL(IF(KPI_Element_Map!$E$2:$E$287=$A18,KPI_Element_Map!$A$2:$A$287),COLUMNS($J18:T18))),"")</f>
        <v/>
      </c>
      <c r="U18" s="25" t="str">
        <f t="array" ref="U18">IFERROR(HYPERLINK("#KPI_Master!A"&amp;MATCH(SMALL(IF(KPI_Element_Map!$E$2:$E$287=$A18,KPI_Element_Map!$A$2:$A$287),COLUMNS($J18:U18)),KPI_Master!$A:$A,0)&amp;":P"&amp;MATCH(SMALL(IF(KPI_Element_Map!$E$2:$E$287=$A18,KPI_Element_Map!$A$2:$A$287),COLUMNS($J18:U18)),KPI_Master!$A:$A,0),SMALL(IF(KPI_Element_Map!$E$2:$E$287=$A18,KPI_Element_Map!$A$2:$A$287),COLUMNS($J18:U18))),"")</f>
        <v/>
      </c>
      <c r="V18" s="25" t="str">
        <f t="array" ref="V18">IFERROR(HYPERLINK("#KPI_Master!A"&amp;MATCH(SMALL(IF(KPI_Element_Map!$E$2:$E$287=$A18,KPI_Element_Map!$A$2:$A$287),COLUMNS($J18:V18)),KPI_Master!$A:$A,0)&amp;":P"&amp;MATCH(SMALL(IF(KPI_Element_Map!$E$2:$E$287=$A18,KPI_Element_Map!$A$2:$A$287),COLUMNS($J18:V18)),KPI_Master!$A:$A,0),SMALL(IF(KPI_Element_Map!$E$2:$E$287=$A18,KPI_Element_Map!$A$2:$A$287),COLUMNS($J18:V18))),"")</f>
        <v/>
      </c>
      <c r="W18" s="25" t="str">
        <f t="array" ref="W18">IFERROR(HYPERLINK("#KPI_Master!A"&amp;MATCH(SMALL(IF(KPI_Element_Map!$E$2:$E$287=$A18,KPI_Element_Map!$A$2:$A$287),COLUMNS($J18:W18)),KPI_Master!$A:$A,0)&amp;":P"&amp;MATCH(SMALL(IF(KPI_Element_Map!$E$2:$E$287=$A18,KPI_Element_Map!$A$2:$A$287),COLUMNS($J18:W18)),KPI_Master!$A:$A,0),SMALL(IF(KPI_Element_Map!$E$2:$E$287=$A18,KPI_Element_Map!$A$2:$A$287),COLUMNS($J18:W18))),"")</f>
        <v/>
      </c>
      <c r="X18" s="25" t="str">
        <f t="array" ref="X18">IFERROR(HYPERLINK("#KPI_Master!A"&amp;MATCH(SMALL(IF(KPI_Element_Map!$E$2:$E$287=$A18,KPI_Element_Map!$A$2:$A$287),COLUMNS($J18:X18)),KPI_Master!$A:$A,0)&amp;":P"&amp;MATCH(SMALL(IF(KPI_Element_Map!$E$2:$E$287=$A18,KPI_Element_Map!$A$2:$A$287),COLUMNS($J18:X18)),KPI_Master!$A:$A,0),SMALL(IF(KPI_Element_Map!$E$2:$E$287=$A18,KPI_Element_Map!$A$2:$A$287),COLUMNS($J18:X18))),"")</f>
        <v/>
      </c>
      <c r="Y18" s="25" t="str">
        <f t="array" ref="Y18">IFERROR(HYPERLINK("#KPI_Master!A"&amp;MATCH(SMALL(IF(KPI_Element_Map!$E$2:$E$287=$A18,KPI_Element_Map!$A$2:$A$287),COLUMNS($J18:Y18)),KPI_Master!$A:$A,0)&amp;":P"&amp;MATCH(SMALL(IF(KPI_Element_Map!$E$2:$E$287=$A18,KPI_Element_Map!$A$2:$A$287),COLUMNS($J18:Y18)),KPI_Master!$A:$A,0),SMALL(IF(KPI_Element_Map!$E$2:$E$287=$A18,KPI_Element_Map!$A$2:$A$287),COLUMNS($J18:Y18))),"")</f>
        <v/>
      </c>
      <c r="Z18" s="25" t="str">
        <f t="array" ref="Z18">IFERROR(HYPERLINK("#KPI_Master!A"&amp;MATCH(SMALL(IF(KPI_Element_Map!$E$2:$E$287=$A18,KPI_Element_Map!$A$2:$A$287),COLUMNS($J18:Z18)),KPI_Master!$A:$A,0)&amp;":P"&amp;MATCH(SMALL(IF(KPI_Element_Map!$E$2:$E$287=$A18,KPI_Element_Map!$A$2:$A$287),COLUMNS($J18:Z18)),KPI_Master!$A:$A,0),SMALL(IF(KPI_Element_Map!$E$2:$E$287=$A18,KPI_Element_Map!$A$2:$A$287),COLUMNS($J18:Z18))),"")</f>
        <v/>
      </c>
      <c r="AA18" s="25" t="str">
        <f t="array" ref="AA18">IFERROR(HYPERLINK("#KPI_Master!A"&amp;MATCH(SMALL(IF(KPI_Element_Map!$E$2:$E$287=$A18,KPI_Element_Map!$A$2:$A$287),COLUMNS($J18:AA18)),KPI_Master!$A:$A,0)&amp;":P"&amp;MATCH(SMALL(IF(KPI_Element_Map!$E$2:$E$287=$A18,KPI_Element_Map!$A$2:$A$287),COLUMNS($J18:AA18)),KPI_Master!$A:$A,0),SMALL(IF(KPI_Element_Map!$E$2:$E$287=$A18,KPI_Element_Map!$A$2:$A$287),COLUMNS($J18:AA18))),"")</f>
        <v/>
      </c>
      <c r="AB18" s="25" t="str">
        <f t="array" ref="AB18">IFERROR(HYPERLINK("#KPI_Master!A"&amp;MATCH(SMALL(IF(KPI_Element_Map!$E$2:$E$287=$A18,KPI_Element_Map!$A$2:$A$287),COLUMNS($J18:AB18)),KPI_Master!$A:$A,0)&amp;":P"&amp;MATCH(SMALL(IF(KPI_Element_Map!$E$2:$E$287=$A18,KPI_Element_Map!$A$2:$A$287),COLUMNS($J18:AB18)),KPI_Master!$A:$A,0),SMALL(IF(KPI_Element_Map!$E$2:$E$287=$A18,KPI_Element_Map!$A$2:$A$287),COLUMNS($J18:AB18))),"")</f>
        <v/>
      </c>
      <c r="AC18" s="25" t="str">
        <f t="array" ref="AC18">IFERROR(HYPERLINK("#KPI_Master!A"&amp;MATCH(SMALL(IF(KPI_Element_Map!$E$2:$E$287=$A18,KPI_Element_Map!$A$2:$A$287),COLUMNS($J18:AC18)),KPI_Master!$A:$A,0)&amp;":P"&amp;MATCH(SMALL(IF(KPI_Element_Map!$E$2:$E$287=$A18,KPI_Element_Map!$A$2:$A$287),COLUMNS($J18:AC18)),KPI_Master!$A:$A,0),SMALL(IF(KPI_Element_Map!$E$2:$E$287=$A18,KPI_Element_Map!$A$2:$A$287),COLUMNS($J18:AC18))),"")</f>
        <v/>
      </c>
      <c r="AD18" s="25" t="str">
        <f t="array" ref="AD18">IFERROR(HYPERLINK("#KPI_Master!A"&amp;MATCH(SMALL(IF(KPI_Element_Map!$E$2:$E$287=$A18,KPI_Element_Map!$A$2:$A$287),COLUMNS($J18:AD18)),KPI_Master!$A:$A,0)&amp;":P"&amp;MATCH(SMALL(IF(KPI_Element_Map!$E$2:$E$287=$A18,KPI_Element_Map!$A$2:$A$287),COLUMNS($J18:AD18)),KPI_Master!$A:$A,0),SMALL(IF(KPI_Element_Map!$E$2:$E$287=$A18,KPI_Element_Map!$A$2:$A$287),COLUMNS($J18:AD18))),"")</f>
        <v/>
      </c>
      <c r="AE18" s="25" t="str">
        <f t="array" ref="AE18">IFERROR(HYPERLINK("#KPI_Master!A"&amp;MATCH(SMALL(IF(KPI_Element_Map!$E$2:$E$287=$A18,KPI_Element_Map!$A$2:$A$287),COLUMNS($J18:AE18)),KPI_Master!$A:$A,0)&amp;":P"&amp;MATCH(SMALL(IF(KPI_Element_Map!$E$2:$E$287=$A18,KPI_Element_Map!$A$2:$A$287),COLUMNS($J18:AE18)),KPI_Master!$A:$A,0),SMALL(IF(KPI_Element_Map!$E$2:$E$287=$A18,KPI_Element_Map!$A$2:$A$287),COLUMNS($J18:AE18))),"")</f>
        <v/>
      </c>
      <c r="AF18" s="25" t="str">
        <f t="array" ref="AF18">IFERROR(HYPERLINK("#KPI_Master!A"&amp;MATCH(SMALL(IF(KPI_Element_Map!$E$2:$E$287=$A18,KPI_Element_Map!$A$2:$A$287),COLUMNS($J18:AF18)),KPI_Master!$A:$A,0)&amp;":P"&amp;MATCH(SMALL(IF(KPI_Element_Map!$E$2:$E$287=$A18,KPI_Element_Map!$A$2:$A$287),COLUMNS($J18:AF18)),KPI_Master!$A:$A,0),SMALL(IF(KPI_Element_Map!$E$2:$E$287=$A18,KPI_Element_Map!$A$2:$A$287),COLUMNS($J18:AF18))),"")</f>
        <v/>
      </c>
      <c r="AG18" s="25" t="str">
        <f t="array" ref="AG18">IFERROR(HYPERLINK("#KPI_Master!A"&amp;MATCH(SMALL(IF(KPI_Element_Map!$E$2:$E$287=$A18,KPI_Element_Map!$A$2:$A$287),COLUMNS($J18:AG18)),KPI_Master!$A:$A,0)&amp;":P"&amp;MATCH(SMALL(IF(KPI_Element_Map!$E$2:$E$287=$A18,KPI_Element_Map!$A$2:$A$287),COLUMNS($J18:AG18)),KPI_Master!$A:$A,0),SMALL(IF(KPI_Element_Map!$E$2:$E$287=$A18,KPI_Element_Map!$A$2:$A$287),COLUMNS($J18:AG18))),"")</f>
        <v/>
      </c>
      <c r="AH18" s="25" t="str">
        <f t="array" ref="AH18">IFERROR(HYPERLINK("#KPI_Master!A"&amp;MATCH(SMALL(IF(KPI_Element_Map!$E$2:$E$287=$A18,KPI_Element_Map!$A$2:$A$287),COLUMNS($J18:AH18)),KPI_Master!$A:$A,0)&amp;":P"&amp;MATCH(SMALL(IF(KPI_Element_Map!$E$2:$E$287=$A18,KPI_Element_Map!$A$2:$A$287),COLUMNS($J18:AH18)),KPI_Master!$A:$A,0),SMALL(IF(KPI_Element_Map!$E$2:$E$287=$A18,KPI_Element_Map!$A$2:$A$287),COLUMNS($J18:AH18))),"")</f>
        <v/>
      </c>
    </row>
    <row r="19" spans="1:34" ht="42.75" customHeight="1">
      <c r="A19" s="21" t="s">
        <v>972</v>
      </c>
      <c r="B19" s="22" t="s">
        <v>973</v>
      </c>
      <c r="C19" s="23" t="s">
        <v>974</v>
      </c>
      <c r="D19" s="23" t="str">
        <f t="array" ref="D19">_xlfn.TEXTJOIN(", ",TRUE(),IF(KPI_Element_Map!$E$2:$E$287=$A19,KPI_Element_Map!$A$2:$A$287,""))</f>
        <v>14, 17, 18, 19, 21, 26, 27, 28, 29, 33, 34, 35, 36, 38</v>
      </c>
      <c r="E19" s="21">
        <f>COUNTIF(KPI_Element_Map!$E$2:$E$287,$A19)</f>
        <v>14</v>
      </c>
      <c r="F19" s="21">
        <f>COUNTIFS(KPI_Element_Map!$E$2:$E$287,$A19,KPI_Element_Map!$D$2:$D$287,"1 - Core")</f>
        <v>3</v>
      </c>
      <c r="G19" s="24" t="s">
        <v>975</v>
      </c>
      <c r="H19" s="23" t="str">
        <f>INDEX(Minimum_Documents!$B:$B,MATCH($G19,Minimum_Documents!$A:$A,0))</f>
        <v>Monthly Financial Statement Package - consolidated (P&amp;L with budget, balance sheet, cash flow, trial balance; no department split needed)</v>
      </c>
      <c r="J19" s="25">
        <f t="array" ref="J19">IFERROR(HYPERLINK("#KPI_Master!A"&amp;MATCH(SMALL(IF(KPI_Element_Map!$E$2:$E$287=$A19,KPI_Element_Map!$A$2:$A$287),COLUMNS($J19:J19)),KPI_Master!$A:$A,0)&amp;":P"&amp;MATCH(SMALL(IF(KPI_Element_Map!$E$2:$E$287=$A19,KPI_Element_Map!$A$2:$A$287),COLUMNS($J19:J19)),KPI_Master!$A:$A,0),SMALL(IF(KPI_Element_Map!$E$2:$E$287=$A19,KPI_Element_Map!$A$2:$A$287),COLUMNS($J19:J19))),"")</f>
        <v>14</v>
      </c>
      <c r="K19" s="25">
        <f t="array" ref="K19">IFERROR(HYPERLINK("#KPI_Master!A"&amp;MATCH(SMALL(IF(KPI_Element_Map!$E$2:$E$287=$A19,KPI_Element_Map!$A$2:$A$287),COLUMNS($J19:K19)),KPI_Master!$A:$A,0)&amp;":P"&amp;MATCH(SMALL(IF(KPI_Element_Map!$E$2:$E$287=$A19,KPI_Element_Map!$A$2:$A$287),COLUMNS($J19:K19)),KPI_Master!$A:$A,0),SMALL(IF(KPI_Element_Map!$E$2:$E$287=$A19,KPI_Element_Map!$A$2:$A$287),COLUMNS($J19:K19))),"")</f>
        <v>17</v>
      </c>
      <c r="L19" s="25">
        <f t="array" ref="L19">IFERROR(HYPERLINK("#KPI_Master!A"&amp;MATCH(SMALL(IF(KPI_Element_Map!$E$2:$E$287=$A19,KPI_Element_Map!$A$2:$A$287),COLUMNS($J19:L19)),KPI_Master!$A:$A,0)&amp;":P"&amp;MATCH(SMALL(IF(KPI_Element_Map!$E$2:$E$287=$A19,KPI_Element_Map!$A$2:$A$287),COLUMNS($J19:L19)),KPI_Master!$A:$A,0),SMALL(IF(KPI_Element_Map!$E$2:$E$287=$A19,KPI_Element_Map!$A$2:$A$287),COLUMNS($J19:L19))),"")</f>
        <v>18</v>
      </c>
      <c r="M19" s="25">
        <f t="array" ref="M19">IFERROR(HYPERLINK("#KPI_Master!A"&amp;MATCH(SMALL(IF(KPI_Element_Map!$E$2:$E$287=$A19,KPI_Element_Map!$A$2:$A$287),COLUMNS($J19:M19)),KPI_Master!$A:$A,0)&amp;":P"&amp;MATCH(SMALL(IF(KPI_Element_Map!$E$2:$E$287=$A19,KPI_Element_Map!$A$2:$A$287),COLUMNS($J19:M19)),KPI_Master!$A:$A,0),SMALL(IF(KPI_Element_Map!$E$2:$E$287=$A19,KPI_Element_Map!$A$2:$A$287),COLUMNS($J19:M19))),"")</f>
        <v>19</v>
      </c>
      <c r="N19" s="25">
        <f t="array" ref="N19">IFERROR(HYPERLINK("#KPI_Master!A"&amp;MATCH(SMALL(IF(KPI_Element_Map!$E$2:$E$287=$A19,KPI_Element_Map!$A$2:$A$287),COLUMNS($J19:N19)),KPI_Master!$A:$A,0)&amp;":P"&amp;MATCH(SMALL(IF(KPI_Element_Map!$E$2:$E$287=$A19,KPI_Element_Map!$A$2:$A$287),COLUMNS($J19:N19)),KPI_Master!$A:$A,0),SMALL(IF(KPI_Element_Map!$E$2:$E$287=$A19,KPI_Element_Map!$A$2:$A$287),COLUMNS($J19:N19))),"")</f>
        <v>21</v>
      </c>
      <c r="O19" s="25">
        <f t="array" ref="O19">IFERROR(HYPERLINK("#KPI_Master!A"&amp;MATCH(SMALL(IF(KPI_Element_Map!$E$2:$E$287=$A19,KPI_Element_Map!$A$2:$A$287),COLUMNS($J19:O19)),KPI_Master!$A:$A,0)&amp;":P"&amp;MATCH(SMALL(IF(KPI_Element_Map!$E$2:$E$287=$A19,KPI_Element_Map!$A$2:$A$287),COLUMNS($J19:O19)),KPI_Master!$A:$A,0),SMALL(IF(KPI_Element_Map!$E$2:$E$287=$A19,KPI_Element_Map!$A$2:$A$287),COLUMNS($J19:O19))),"")</f>
        <v>26</v>
      </c>
      <c r="P19" s="25">
        <f t="array" ref="P19">IFERROR(HYPERLINK("#KPI_Master!A"&amp;MATCH(SMALL(IF(KPI_Element_Map!$E$2:$E$287=$A19,KPI_Element_Map!$A$2:$A$287),COLUMNS($J19:P19)),KPI_Master!$A:$A,0)&amp;":P"&amp;MATCH(SMALL(IF(KPI_Element_Map!$E$2:$E$287=$A19,KPI_Element_Map!$A$2:$A$287),COLUMNS($J19:P19)),KPI_Master!$A:$A,0),SMALL(IF(KPI_Element_Map!$E$2:$E$287=$A19,KPI_Element_Map!$A$2:$A$287),COLUMNS($J19:P19))),"")</f>
        <v>27</v>
      </c>
      <c r="Q19" s="25">
        <f t="array" ref="Q19">IFERROR(HYPERLINK("#KPI_Master!A"&amp;MATCH(SMALL(IF(KPI_Element_Map!$E$2:$E$287=$A19,KPI_Element_Map!$A$2:$A$287),COLUMNS($J19:Q19)),KPI_Master!$A:$A,0)&amp;":P"&amp;MATCH(SMALL(IF(KPI_Element_Map!$E$2:$E$287=$A19,KPI_Element_Map!$A$2:$A$287),COLUMNS($J19:Q19)),KPI_Master!$A:$A,0),SMALL(IF(KPI_Element_Map!$E$2:$E$287=$A19,KPI_Element_Map!$A$2:$A$287),COLUMNS($J19:Q19))),"")</f>
        <v>28</v>
      </c>
      <c r="R19" s="25">
        <f t="array" ref="R19">IFERROR(HYPERLINK("#KPI_Master!A"&amp;MATCH(SMALL(IF(KPI_Element_Map!$E$2:$E$287=$A19,KPI_Element_Map!$A$2:$A$287),COLUMNS($J19:R19)),KPI_Master!$A:$A,0)&amp;":P"&amp;MATCH(SMALL(IF(KPI_Element_Map!$E$2:$E$287=$A19,KPI_Element_Map!$A$2:$A$287),COLUMNS($J19:R19)),KPI_Master!$A:$A,0),SMALL(IF(KPI_Element_Map!$E$2:$E$287=$A19,KPI_Element_Map!$A$2:$A$287),COLUMNS($J19:R19))),"")</f>
        <v>29</v>
      </c>
      <c r="S19" s="25">
        <f t="array" ref="S19">IFERROR(HYPERLINK("#KPI_Master!A"&amp;MATCH(SMALL(IF(KPI_Element_Map!$E$2:$E$287=$A19,KPI_Element_Map!$A$2:$A$287),COLUMNS($J19:S19)),KPI_Master!$A:$A,0)&amp;":P"&amp;MATCH(SMALL(IF(KPI_Element_Map!$E$2:$E$287=$A19,KPI_Element_Map!$A$2:$A$287),COLUMNS($J19:S19)),KPI_Master!$A:$A,0),SMALL(IF(KPI_Element_Map!$E$2:$E$287=$A19,KPI_Element_Map!$A$2:$A$287),COLUMNS($J19:S19))),"")</f>
        <v>33</v>
      </c>
      <c r="T19" s="25">
        <f t="array" ref="T19">IFERROR(HYPERLINK("#KPI_Master!A"&amp;MATCH(SMALL(IF(KPI_Element_Map!$E$2:$E$287=$A19,KPI_Element_Map!$A$2:$A$287),COLUMNS($J19:T19)),KPI_Master!$A:$A,0)&amp;":P"&amp;MATCH(SMALL(IF(KPI_Element_Map!$E$2:$E$287=$A19,KPI_Element_Map!$A$2:$A$287),COLUMNS($J19:T19)),KPI_Master!$A:$A,0),SMALL(IF(KPI_Element_Map!$E$2:$E$287=$A19,KPI_Element_Map!$A$2:$A$287),COLUMNS($J19:T19))),"")</f>
        <v>34</v>
      </c>
      <c r="U19" s="25">
        <f t="array" ref="U19">IFERROR(HYPERLINK("#KPI_Master!A"&amp;MATCH(SMALL(IF(KPI_Element_Map!$E$2:$E$287=$A19,KPI_Element_Map!$A$2:$A$287),COLUMNS($J19:U19)),KPI_Master!$A:$A,0)&amp;":P"&amp;MATCH(SMALL(IF(KPI_Element_Map!$E$2:$E$287=$A19,KPI_Element_Map!$A$2:$A$287),COLUMNS($J19:U19)),KPI_Master!$A:$A,0),SMALL(IF(KPI_Element_Map!$E$2:$E$287=$A19,KPI_Element_Map!$A$2:$A$287),COLUMNS($J19:U19))),"")</f>
        <v>35</v>
      </c>
      <c r="V19" s="25">
        <f t="array" ref="V19">IFERROR(HYPERLINK("#KPI_Master!A"&amp;MATCH(SMALL(IF(KPI_Element_Map!$E$2:$E$287=$A19,KPI_Element_Map!$A$2:$A$287),COLUMNS($J19:V19)),KPI_Master!$A:$A,0)&amp;":P"&amp;MATCH(SMALL(IF(KPI_Element_Map!$E$2:$E$287=$A19,KPI_Element_Map!$A$2:$A$287),COLUMNS($J19:V19)),KPI_Master!$A:$A,0),SMALL(IF(KPI_Element_Map!$E$2:$E$287=$A19,KPI_Element_Map!$A$2:$A$287),COLUMNS($J19:V19))),"")</f>
        <v>36</v>
      </c>
      <c r="W19" s="25">
        <f t="array" ref="W19">IFERROR(HYPERLINK("#KPI_Master!A"&amp;MATCH(SMALL(IF(KPI_Element_Map!$E$2:$E$287=$A19,KPI_Element_Map!$A$2:$A$287),COLUMNS($J19:W19)),KPI_Master!$A:$A,0)&amp;":P"&amp;MATCH(SMALL(IF(KPI_Element_Map!$E$2:$E$287=$A19,KPI_Element_Map!$A$2:$A$287),COLUMNS($J19:W19)),KPI_Master!$A:$A,0),SMALL(IF(KPI_Element_Map!$E$2:$E$287=$A19,KPI_Element_Map!$A$2:$A$287),COLUMNS($J19:W19))),"")</f>
        <v>38</v>
      </c>
      <c r="X19" s="25" t="str">
        <f t="array" ref="X19">IFERROR(HYPERLINK("#KPI_Master!A"&amp;MATCH(SMALL(IF(KPI_Element_Map!$E$2:$E$287=$A19,KPI_Element_Map!$A$2:$A$287),COLUMNS($J19:X19)),KPI_Master!$A:$A,0)&amp;":P"&amp;MATCH(SMALL(IF(KPI_Element_Map!$E$2:$E$287=$A19,KPI_Element_Map!$A$2:$A$287),COLUMNS($J19:X19)),KPI_Master!$A:$A,0),SMALL(IF(KPI_Element_Map!$E$2:$E$287=$A19,KPI_Element_Map!$A$2:$A$287),COLUMNS($J19:X19))),"")</f>
        <v/>
      </c>
      <c r="Y19" s="25" t="str">
        <f t="array" ref="Y19">IFERROR(HYPERLINK("#KPI_Master!A"&amp;MATCH(SMALL(IF(KPI_Element_Map!$E$2:$E$287=$A19,KPI_Element_Map!$A$2:$A$287),COLUMNS($J19:Y19)),KPI_Master!$A:$A,0)&amp;":P"&amp;MATCH(SMALL(IF(KPI_Element_Map!$E$2:$E$287=$A19,KPI_Element_Map!$A$2:$A$287),COLUMNS($J19:Y19)),KPI_Master!$A:$A,0),SMALL(IF(KPI_Element_Map!$E$2:$E$287=$A19,KPI_Element_Map!$A$2:$A$287),COLUMNS($J19:Y19))),"")</f>
        <v/>
      </c>
      <c r="Z19" s="25" t="str">
        <f t="array" ref="Z19">IFERROR(HYPERLINK("#KPI_Master!A"&amp;MATCH(SMALL(IF(KPI_Element_Map!$E$2:$E$287=$A19,KPI_Element_Map!$A$2:$A$287),COLUMNS($J19:Z19)),KPI_Master!$A:$A,0)&amp;":P"&amp;MATCH(SMALL(IF(KPI_Element_Map!$E$2:$E$287=$A19,KPI_Element_Map!$A$2:$A$287),COLUMNS($J19:Z19)),KPI_Master!$A:$A,0),SMALL(IF(KPI_Element_Map!$E$2:$E$287=$A19,KPI_Element_Map!$A$2:$A$287),COLUMNS($J19:Z19))),"")</f>
        <v/>
      </c>
      <c r="AA19" s="25" t="str">
        <f t="array" ref="AA19">IFERROR(HYPERLINK("#KPI_Master!A"&amp;MATCH(SMALL(IF(KPI_Element_Map!$E$2:$E$287=$A19,KPI_Element_Map!$A$2:$A$287),COLUMNS($J19:AA19)),KPI_Master!$A:$A,0)&amp;":P"&amp;MATCH(SMALL(IF(KPI_Element_Map!$E$2:$E$287=$A19,KPI_Element_Map!$A$2:$A$287),COLUMNS($J19:AA19)),KPI_Master!$A:$A,0),SMALL(IF(KPI_Element_Map!$E$2:$E$287=$A19,KPI_Element_Map!$A$2:$A$287),COLUMNS($J19:AA19))),"")</f>
        <v/>
      </c>
      <c r="AB19" s="25" t="str">
        <f t="array" ref="AB19">IFERROR(HYPERLINK("#KPI_Master!A"&amp;MATCH(SMALL(IF(KPI_Element_Map!$E$2:$E$287=$A19,KPI_Element_Map!$A$2:$A$287),COLUMNS($J19:AB19)),KPI_Master!$A:$A,0)&amp;":P"&amp;MATCH(SMALL(IF(KPI_Element_Map!$E$2:$E$287=$A19,KPI_Element_Map!$A$2:$A$287),COLUMNS($J19:AB19)),KPI_Master!$A:$A,0),SMALL(IF(KPI_Element_Map!$E$2:$E$287=$A19,KPI_Element_Map!$A$2:$A$287),COLUMNS($J19:AB19))),"")</f>
        <v/>
      </c>
      <c r="AC19" s="25" t="str">
        <f t="array" ref="AC19">IFERROR(HYPERLINK("#KPI_Master!A"&amp;MATCH(SMALL(IF(KPI_Element_Map!$E$2:$E$287=$A19,KPI_Element_Map!$A$2:$A$287),COLUMNS($J19:AC19)),KPI_Master!$A:$A,0)&amp;":P"&amp;MATCH(SMALL(IF(KPI_Element_Map!$E$2:$E$287=$A19,KPI_Element_Map!$A$2:$A$287),COLUMNS($J19:AC19)),KPI_Master!$A:$A,0),SMALL(IF(KPI_Element_Map!$E$2:$E$287=$A19,KPI_Element_Map!$A$2:$A$287),COLUMNS($J19:AC19))),"")</f>
        <v/>
      </c>
      <c r="AD19" s="25" t="str">
        <f t="array" ref="AD19">IFERROR(HYPERLINK("#KPI_Master!A"&amp;MATCH(SMALL(IF(KPI_Element_Map!$E$2:$E$287=$A19,KPI_Element_Map!$A$2:$A$287),COLUMNS($J19:AD19)),KPI_Master!$A:$A,0)&amp;":P"&amp;MATCH(SMALL(IF(KPI_Element_Map!$E$2:$E$287=$A19,KPI_Element_Map!$A$2:$A$287),COLUMNS($J19:AD19)),KPI_Master!$A:$A,0),SMALL(IF(KPI_Element_Map!$E$2:$E$287=$A19,KPI_Element_Map!$A$2:$A$287),COLUMNS($J19:AD19))),"")</f>
        <v/>
      </c>
      <c r="AE19" s="25" t="str">
        <f t="array" ref="AE19">IFERROR(HYPERLINK("#KPI_Master!A"&amp;MATCH(SMALL(IF(KPI_Element_Map!$E$2:$E$287=$A19,KPI_Element_Map!$A$2:$A$287),COLUMNS($J19:AE19)),KPI_Master!$A:$A,0)&amp;":P"&amp;MATCH(SMALL(IF(KPI_Element_Map!$E$2:$E$287=$A19,KPI_Element_Map!$A$2:$A$287),COLUMNS($J19:AE19)),KPI_Master!$A:$A,0),SMALL(IF(KPI_Element_Map!$E$2:$E$287=$A19,KPI_Element_Map!$A$2:$A$287),COLUMNS($J19:AE19))),"")</f>
        <v/>
      </c>
      <c r="AF19" s="25" t="str">
        <f t="array" ref="AF19">IFERROR(HYPERLINK("#KPI_Master!A"&amp;MATCH(SMALL(IF(KPI_Element_Map!$E$2:$E$287=$A19,KPI_Element_Map!$A$2:$A$287),COLUMNS($J19:AF19)),KPI_Master!$A:$A,0)&amp;":P"&amp;MATCH(SMALL(IF(KPI_Element_Map!$E$2:$E$287=$A19,KPI_Element_Map!$A$2:$A$287),COLUMNS($J19:AF19)),KPI_Master!$A:$A,0),SMALL(IF(KPI_Element_Map!$E$2:$E$287=$A19,KPI_Element_Map!$A$2:$A$287),COLUMNS($J19:AF19))),"")</f>
        <v/>
      </c>
      <c r="AG19" s="25" t="str">
        <f t="array" ref="AG19">IFERROR(HYPERLINK("#KPI_Master!A"&amp;MATCH(SMALL(IF(KPI_Element_Map!$E$2:$E$287=$A19,KPI_Element_Map!$A$2:$A$287),COLUMNS($J19:AG19)),KPI_Master!$A:$A,0)&amp;":P"&amp;MATCH(SMALL(IF(KPI_Element_Map!$E$2:$E$287=$A19,KPI_Element_Map!$A$2:$A$287),COLUMNS($J19:AG19)),KPI_Master!$A:$A,0),SMALL(IF(KPI_Element_Map!$E$2:$E$287=$A19,KPI_Element_Map!$A$2:$A$287),COLUMNS($J19:AG19))),"")</f>
        <v/>
      </c>
      <c r="AH19" s="25" t="str">
        <f t="array" ref="AH19">IFERROR(HYPERLINK("#KPI_Master!A"&amp;MATCH(SMALL(IF(KPI_Element_Map!$E$2:$E$287=$A19,KPI_Element_Map!$A$2:$A$287),COLUMNS($J19:AH19)),KPI_Master!$A:$A,0)&amp;":P"&amp;MATCH(SMALL(IF(KPI_Element_Map!$E$2:$E$287=$A19,KPI_Element_Map!$A$2:$A$287),COLUMNS($J19:AH19)),KPI_Master!$A:$A,0),SMALL(IF(KPI_Element_Map!$E$2:$E$287=$A19,KPI_Element_Map!$A$2:$A$287),COLUMNS($J19:AH19))),"")</f>
        <v/>
      </c>
    </row>
    <row r="20" spans="1:34" ht="42.75" customHeight="1">
      <c r="A20" s="21" t="s">
        <v>976</v>
      </c>
      <c r="B20" s="22" t="s">
        <v>977</v>
      </c>
      <c r="C20" s="23" t="s">
        <v>978</v>
      </c>
      <c r="D20" s="23" t="str">
        <f t="array" ref="D20">_xlfn.TEXTJOIN(", ",TRUE(),IF(KPI_Element_Map!$E$2:$E$287=$A20,KPI_Element_Map!$A$2:$A$287,""))</f>
        <v>14, 18, 20, 21, 30, 36, 38, 164</v>
      </c>
      <c r="E20" s="21">
        <f>COUNTIF(KPI_Element_Map!$E$2:$E$287,$A20)</f>
        <v>8</v>
      </c>
      <c r="F20" s="21">
        <f>COUNTIFS(KPI_Element_Map!$E$2:$E$287,$A20,KPI_Element_Map!$D$2:$D$287,"1 - Core")</f>
        <v>3</v>
      </c>
      <c r="G20" s="24" t="s">
        <v>975</v>
      </c>
      <c r="H20" s="23" t="str">
        <f>INDEX(Minimum_Documents!$B:$B,MATCH($G20,Minimum_Documents!$A:$A,0))</f>
        <v>Monthly Financial Statement Package - consolidated (P&amp;L with budget, balance sheet, cash flow, trial balance; no department split needed)</v>
      </c>
      <c r="J20" s="25">
        <f t="array" ref="J20">IFERROR(HYPERLINK("#KPI_Master!A"&amp;MATCH(SMALL(IF(KPI_Element_Map!$E$2:$E$287=$A20,KPI_Element_Map!$A$2:$A$287),COLUMNS($J20:J20)),KPI_Master!$A:$A,0)&amp;":P"&amp;MATCH(SMALL(IF(KPI_Element_Map!$E$2:$E$287=$A20,KPI_Element_Map!$A$2:$A$287),COLUMNS($J20:J20)),KPI_Master!$A:$A,0),SMALL(IF(KPI_Element_Map!$E$2:$E$287=$A20,KPI_Element_Map!$A$2:$A$287),COLUMNS($J20:J20))),"")</f>
        <v>14</v>
      </c>
      <c r="K20" s="25">
        <f t="array" ref="K20">IFERROR(HYPERLINK("#KPI_Master!A"&amp;MATCH(SMALL(IF(KPI_Element_Map!$E$2:$E$287=$A20,KPI_Element_Map!$A$2:$A$287),COLUMNS($J20:K20)),KPI_Master!$A:$A,0)&amp;":P"&amp;MATCH(SMALL(IF(KPI_Element_Map!$E$2:$E$287=$A20,KPI_Element_Map!$A$2:$A$287),COLUMNS($J20:K20)),KPI_Master!$A:$A,0),SMALL(IF(KPI_Element_Map!$E$2:$E$287=$A20,KPI_Element_Map!$A$2:$A$287),COLUMNS($J20:K20))),"")</f>
        <v>18</v>
      </c>
      <c r="L20" s="25">
        <f t="array" ref="L20">IFERROR(HYPERLINK("#KPI_Master!A"&amp;MATCH(SMALL(IF(KPI_Element_Map!$E$2:$E$287=$A20,KPI_Element_Map!$A$2:$A$287),COLUMNS($J20:L20)),KPI_Master!$A:$A,0)&amp;":P"&amp;MATCH(SMALL(IF(KPI_Element_Map!$E$2:$E$287=$A20,KPI_Element_Map!$A$2:$A$287),COLUMNS($J20:L20)),KPI_Master!$A:$A,0),SMALL(IF(KPI_Element_Map!$E$2:$E$287=$A20,KPI_Element_Map!$A$2:$A$287),COLUMNS($J20:L20))),"")</f>
        <v>20</v>
      </c>
      <c r="M20" s="25">
        <f t="array" ref="M20">IFERROR(HYPERLINK("#KPI_Master!A"&amp;MATCH(SMALL(IF(KPI_Element_Map!$E$2:$E$287=$A20,KPI_Element_Map!$A$2:$A$287),COLUMNS($J20:M20)),KPI_Master!$A:$A,0)&amp;":P"&amp;MATCH(SMALL(IF(KPI_Element_Map!$E$2:$E$287=$A20,KPI_Element_Map!$A$2:$A$287),COLUMNS($J20:M20)),KPI_Master!$A:$A,0),SMALL(IF(KPI_Element_Map!$E$2:$E$287=$A20,KPI_Element_Map!$A$2:$A$287),COLUMNS($J20:M20))),"")</f>
        <v>21</v>
      </c>
      <c r="N20" s="25">
        <f t="array" ref="N20">IFERROR(HYPERLINK("#KPI_Master!A"&amp;MATCH(SMALL(IF(KPI_Element_Map!$E$2:$E$287=$A20,KPI_Element_Map!$A$2:$A$287),COLUMNS($J20:N20)),KPI_Master!$A:$A,0)&amp;":P"&amp;MATCH(SMALL(IF(KPI_Element_Map!$E$2:$E$287=$A20,KPI_Element_Map!$A$2:$A$287),COLUMNS($J20:N20)),KPI_Master!$A:$A,0),SMALL(IF(KPI_Element_Map!$E$2:$E$287=$A20,KPI_Element_Map!$A$2:$A$287),COLUMNS($J20:N20))),"")</f>
        <v>30</v>
      </c>
      <c r="O20" s="25">
        <f t="array" ref="O20">IFERROR(HYPERLINK("#KPI_Master!A"&amp;MATCH(SMALL(IF(KPI_Element_Map!$E$2:$E$287=$A20,KPI_Element_Map!$A$2:$A$287),COLUMNS($J20:O20)),KPI_Master!$A:$A,0)&amp;":P"&amp;MATCH(SMALL(IF(KPI_Element_Map!$E$2:$E$287=$A20,KPI_Element_Map!$A$2:$A$287),COLUMNS($J20:O20)),KPI_Master!$A:$A,0),SMALL(IF(KPI_Element_Map!$E$2:$E$287=$A20,KPI_Element_Map!$A$2:$A$287),COLUMNS($J20:O20))),"")</f>
        <v>36</v>
      </c>
      <c r="P20" s="25">
        <f t="array" ref="P20">IFERROR(HYPERLINK("#KPI_Master!A"&amp;MATCH(SMALL(IF(KPI_Element_Map!$E$2:$E$287=$A20,KPI_Element_Map!$A$2:$A$287),COLUMNS($J20:P20)),KPI_Master!$A:$A,0)&amp;":P"&amp;MATCH(SMALL(IF(KPI_Element_Map!$E$2:$E$287=$A20,KPI_Element_Map!$A$2:$A$287),COLUMNS($J20:P20)),KPI_Master!$A:$A,0),SMALL(IF(KPI_Element_Map!$E$2:$E$287=$A20,KPI_Element_Map!$A$2:$A$287),COLUMNS($J20:P20))),"")</f>
        <v>38</v>
      </c>
      <c r="Q20" s="25">
        <f t="array" ref="Q20">IFERROR(HYPERLINK("#KPI_Master!A"&amp;MATCH(SMALL(IF(KPI_Element_Map!$E$2:$E$287=$A20,KPI_Element_Map!$A$2:$A$287),COLUMNS($J20:Q20)),KPI_Master!$A:$A,0)&amp;":P"&amp;MATCH(SMALL(IF(KPI_Element_Map!$E$2:$E$287=$A20,KPI_Element_Map!$A$2:$A$287),COLUMNS($J20:Q20)),KPI_Master!$A:$A,0),SMALL(IF(KPI_Element_Map!$E$2:$E$287=$A20,KPI_Element_Map!$A$2:$A$287),COLUMNS($J20:Q20))),"")</f>
        <v>164</v>
      </c>
      <c r="R20" s="25" t="str">
        <f t="array" ref="R20">IFERROR(HYPERLINK("#KPI_Master!A"&amp;MATCH(SMALL(IF(KPI_Element_Map!$E$2:$E$287=$A20,KPI_Element_Map!$A$2:$A$287),COLUMNS($J20:R20)),KPI_Master!$A:$A,0)&amp;":P"&amp;MATCH(SMALL(IF(KPI_Element_Map!$E$2:$E$287=$A20,KPI_Element_Map!$A$2:$A$287),COLUMNS($J20:R20)),KPI_Master!$A:$A,0),SMALL(IF(KPI_Element_Map!$E$2:$E$287=$A20,KPI_Element_Map!$A$2:$A$287),COLUMNS($J20:R20))),"")</f>
        <v/>
      </c>
      <c r="S20" s="25" t="str">
        <f t="array" ref="S20">IFERROR(HYPERLINK("#KPI_Master!A"&amp;MATCH(SMALL(IF(KPI_Element_Map!$E$2:$E$287=$A20,KPI_Element_Map!$A$2:$A$287),COLUMNS($J20:S20)),KPI_Master!$A:$A,0)&amp;":P"&amp;MATCH(SMALL(IF(KPI_Element_Map!$E$2:$E$287=$A20,KPI_Element_Map!$A$2:$A$287),COLUMNS($J20:S20)),KPI_Master!$A:$A,0),SMALL(IF(KPI_Element_Map!$E$2:$E$287=$A20,KPI_Element_Map!$A$2:$A$287),COLUMNS($J20:S20))),"")</f>
        <v/>
      </c>
      <c r="T20" s="25" t="str">
        <f t="array" ref="T20">IFERROR(HYPERLINK("#KPI_Master!A"&amp;MATCH(SMALL(IF(KPI_Element_Map!$E$2:$E$287=$A20,KPI_Element_Map!$A$2:$A$287),COLUMNS($J20:T20)),KPI_Master!$A:$A,0)&amp;":P"&amp;MATCH(SMALL(IF(KPI_Element_Map!$E$2:$E$287=$A20,KPI_Element_Map!$A$2:$A$287),COLUMNS($J20:T20)),KPI_Master!$A:$A,0),SMALL(IF(KPI_Element_Map!$E$2:$E$287=$A20,KPI_Element_Map!$A$2:$A$287),COLUMNS($J20:T20))),"")</f>
        <v/>
      </c>
      <c r="U20" s="25" t="str">
        <f t="array" ref="U20">IFERROR(HYPERLINK("#KPI_Master!A"&amp;MATCH(SMALL(IF(KPI_Element_Map!$E$2:$E$287=$A20,KPI_Element_Map!$A$2:$A$287),COLUMNS($J20:U20)),KPI_Master!$A:$A,0)&amp;":P"&amp;MATCH(SMALL(IF(KPI_Element_Map!$E$2:$E$287=$A20,KPI_Element_Map!$A$2:$A$287),COLUMNS($J20:U20)),KPI_Master!$A:$A,0),SMALL(IF(KPI_Element_Map!$E$2:$E$287=$A20,KPI_Element_Map!$A$2:$A$287),COLUMNS($J20:U20))),"")</f>
        <v/>
      </c>
      <c r="V20" s="25" t="str">
        <f t="array" ref="V20">IFERROR(HYPERLINK("#KPI_Master!A"&amp;MATCH(SMALL(IF(KPI_Element_Map!$E$2:$E$287=$A20,KPI_Element_Map!$A$2:$A$287),COLUMNS($J20:V20)),KPI_Master!$A:$A,0)&amp;":P"&amp;MATCH(SMALL(IF(KPI_Element_Map!$E$2:$E$287=$A20,KPI_Element_Map!$A$2:$A$287),COLUMNS($J20:V20)),KPI_Master!$A:$A,0),SMALL(IF(KPI_Element_Map!$E$2:$E$287=$A20,KPI_Element_Map!$A$2:$A$287),COLUMNS($J20:V20))),"")</f>
        <v/>
      </c>
      <c r="W20" s="25" t="str">
        <f t="array" ref="W20">IFERROR(HYPERLINK("#KPI_Master!A"&amp;MATCH(SMALL(IF(KPI_Element_Map!$E$2:$E$287=$A20,KPI_Element_Map!$A$2:$A$287),COLUMNS($J20:W20)),KPI_Master!$A:$A,0)&amp;":P"&amp;MATCH(SMALL(IF(KPI_Element_Map!$E$2:$E$287=$A20,KPI_Element_Map!$A$2:$A$287),COLUMNS($J20:W20)),KPI_Master!$A:$A,0),SMALL(IF(KPI_Element_Map!$E$2:$E$287=$A20,KPI_Element_Map!$A$2:$A$287),COLUMNS($J20:W20))),"")</f>
        <v/>
      </c>
      <c r="X20" s="25" t="str">
        <f t="array" ref="X20">IFERROR(HYPERLINK("#KPI_Master!A"&amp;MATCH(SMALL(IF(KPI_Element_Map!$E$2:$E$287=$A20,KPI_Element_Map!$A$2:$A$287),COLUMNS($J20:X20)),KPI_Master!$A:$A,0)&amp;":P"&amp;MATCH(SMALL(IF(KPI_Element_Map!$E$2:$E$287=$A20,KPI_Element_Map!$A$2:$A$287),COLUMNS($J20:X20)),KPI_Master!$A:$A,0),SMALL(IF(KPI_Element_Map!$E$2:$E$287=$A20,KPI_Element_Map!$A$2:$A$287),COLUMNS($J20:X20))),"")</f>
        <v/>
      </c>
      <c r="Y20" s="25" t="str">
        <f t="array" ref="Y20">IFERROR(HYPERLINK("#KPI_Master!A"&amp;MATCH(SMALL(IF(KPI_Element_Map!$E$2:$E$287=$A20,KPI_Element_Map!$A$2:$A$287),COLUMNS($J20:Y20)),KPI_Master!$A:$A,0)&amp;":P"&amp;MATCH(SMALL(IF(KPI_Element_Map!$E$2:$E$287=$A20,KPI_Element_Map!$A$2:$A$287),COLUMNS($J20:Y20)),KPI_Master!$A:$A,0),SMALL(IF(KPI_Element_Map!$E$2:$E$287=$A20,KPI_Element_Map!$A$2:$A$287),COLUMNS($J20:Y20))),"")</f>
        <v/>
      </c>
      <c r="Z20" s="25" t="str">
        <f t="array" ref="Z20">IFERROR(HYPERLINK("#KPI_Master!A"&amp;MATCH(SMALL(IF(KPI_Element_Map!$E$2:$E$287=$A20,KPI_Element_Map!$A$2:$A$287),COLUMNS($J20:Z20)),KPI_Master!$A:$A,0)&amp;":P"&amp;MATCH(SMALL(IF(KPI_Element_Map!$E$2:$E$287=$A20,KPI_Element_Map!$A$2:$A$287),COLUMNS($J20:Z20)),KPI_Master!$A:$A,0),SMALL(IF(KPI_Element_Map!$E$2:$E$287=$A20,KPI_Element_Map!$A$2:$A$287),COLUMNS($J20:Z20))),"")</f>
        <v/>
      </c>
      <c r="AA20" s="25" t="str">
        <f t="array" ref="AA20">IFERROR(HYPERLINK("#KPI_Master!A"&amp;MATCH(SMALL(IF(KPI_Element_Map!$E$2:$E$287=$A20,KPI_Element_Map!$A$2:$A$287),COLUMNS($J20:AA20)),KPI_Master!$A:$A,0)&amp;":P"&amp;MATCH(SMALL(IF(KPI_Element_Map!$E$2:$E$287=$A20,KPI_Element_Map!$A$2:$A$287),COLUMNS($J20:AA20)),KPI_Master!$A:$A,0),SMALL(IF(KPI_Element_Map!$E$2:$E$287=$A20,KPI_Element_Map!$A$2:$A$287),COLUMNS($J20:AA20))),"")</f>
        <v/>
      </c>
      <c r="AB20" s="25" t="str">
        <f t="array" ref="AB20">IFERROR(HYPERLINK("#KPI_Master!A"&amp;MATCH(SMALL(IF(KPI_Element_Map!$E$2:$E$287=$A20,KPI_Element_Map!$A$2:$A$287),COLUMNS($J20:AB20)),KPI_Master!$A:$A,0)&amp;":P"&amp;MATCH(SMALL(IF(KPI_Element_Map!$E$2:$E$287=$A20,KPI_Element_Map!$A$2:$A$287),COLUMNS($J20:AB20)),KPI_Master!$A:$A,0),SMALL(IF(KPI_Element_Map!$E$2:$E$287=$A20,KPI_Element_Map!$A$2:$A$287),COLUMNS($J20:AB20))),"")</f>
        <v/>
      </c>
      <c r="AC20" s="25" t="str">
        <f t="array" ref="AC20">IFERROR(HYPERLINK("#KPI_Master!A"&amp;MATCH(SMALL(IF(KPI_Element_Map!$E$2:$E$287=$A20,KPI_Element_Map!$A$2:$A$287),COLUMNS($J20:AC20)),KPI_Master!$A:$A,0)&amp;":P"&amp;MATCH(SMALL(IF(KPI_Element_Map!$E$2:$E$287=$A20,KPI_Element_Map!$A$2:$A$287),COLUMNS($J20:AC20)),KPI_Master!$A:$A,0),SMALL(IF(KPI_Element_Map!$E$2:$E$287=$A20,KPI_Element_Map!$A$2:$A$287),COLUMNS($J20:AC20))),"")</f>
        <v/>
      </c>
      <c r="AD20" s="25" t="str">
        <f t="array" ref="AD20">IFERROR(HYPERLINK("#KPI_Master!A"&amp;MATCH(SMALL(IF(KPI_Element_Map!$E$2:$E$287=$A20,KPI_Element_Map!$A$2:$A$287),COLUMNS($J20:AD20)),KPI_Master!$A:$A,0)&amp;":P"&amp;MATCH(SMALL(IF(KPI_Element_Map!$E$2:$E$287=$A20,KPI_Element_Map!$A$2:$A$287),COLUMNS($J20:AD20)),KPI_Master!$A:$A,0),SMALL(IF(KPI_Element_Map!$E$2:$E$287=$A20,KPI_Element_Map!$A$2:$A$287),COLUMNS($J20:AD20))),"")</f>
        <v/>
      </c>
      <c r="AE20" s="25" t="str">
        <f t="array" ref="AE20">IFERROR(HYPERLINK("#KPI_Master!A"&amp;MATCH(SMALL(IF(KPI_Element_Map!$E$2:$E$287=$A20,KPI_Element_Map!$A$2:$A$287),COLUMNS($J20:AE20)),KPI_Master!$A:$A,0)&amp;":P"&amp;MATCH(SMALL(IF(KPI_Element_Map!$E$2:$E$287=$A20,KPI_Element_Map!$A$2:$A$287),COLUMNS($J20:AE20)),KPI_Master!$A:$A,0),SMALL(IF(KPI_Element_Map!$E$2:$E$287=$A20,KPI_Element_Map!$A$2:$A$287),COLUMNS($J20:AE20))),"")</f>
        <v/>
      </c>
      <c r="AF20" s="25" t="str">
        <f t="array" ref="AF20">IFERROR(HYPERLINK("#KPI_Master!A"&amp;MATCH(SMALL(IF(KPI_Element_Map!$E$2:$E$287=$A20,KPI_Element_Map!$A$2:$A$287),COLUMNS($J20:AF20)),KPI_Master!$A:$A,0)&amp;":P"&amp;MATCH(SMALL(IF(KPI_Element_Map!$E$2:$E$287=$A20,KPI_Element_Map!$A$2:$A$287),COLUMNS($J20:AF20)),KPI_Master!$A:$A,0),SMALL(IF(KPI_Element_Map!$E$2:$E$287=$A20,KPI_Element_Map!$A$2:$A$287),COLUMNS($J20:AF20))),"")</f>
        <v/>
      </c>
      <c r="AG20" s="25" t="str">
        <f t="array" ref="AG20">IFERROR(HYPERLINK("#KPI_Master!A"&amp;MATCH(SMALL(IF(KPI_Element_Map!$E$2:$E$287=$A20,KPI_Element_Map!$A$2:$A$287),COLUMNS($J20:AG20)),KPI_Master!$A:$A,0)&amp;":P"&amp;MATCH(SMALL(IF(KPI_Element_Map!$E$2:$E$287=$A20,KPI_Element_Map!$A$2:$A$287),COLUMNS($J20:AG20)),KPI_Master!$A:$A,0),SMALL(IF(KPI_Element_Map!$E$2:$E$287=$A20,KPI_Element_Map!$A$2:$A$287),COLUMNS($J20:AG20))),"")</f>
        <v/>
      </c>
      <c r="AH20" s="25" t="str">
        <f t="array" ref="AH20">IFERROR(HYPERLINK("#KPI_Master!A"&amp;MATCH(SMALL(IF(KPI_Element_Map!$E$2:$E$287=$A20,KPI_Element_Map!$A$2:$A$287),COLUMNS($J20:AH20)),KPI_Master!$A:$A,0)&amp;":P"&amp;MATCH(SMALL(IF(KPI_Element_Map!$E$2:$E$287=$A20,KPI_Element_Map!$A$2:$A$287),COLUMNS($J20:AH20)),KPI_Master!$A:$A,0),SMALL(IF(KPI_Element_Map!$E$2:$E$287=$A20,KPI_Element_Map!$A$2:$A$287),COLUMNS($J20:AH20))),"")</f>
        <v/>
      </c>
    </row>
    <row r="21" spans="1:34" ht="42.75" customHeight="1">
      <c r="A21" s="21" t="s">
        <v>979</v>
      </c>
      <c r="B21" s="22" t="s">
        <v>980</v>
      </c>
      <c r="C21" s="23" t="s">
        <v>981</v>
      </c>
      <c r="D21" s="23" t="str">
        <f t="array" ref="D21">_xlfn.TEXTJOIN(", ",TRUE(),IF(KPI_Element_Map!$E$2:$E$287=$A21,KPI_Element_Map!$A$2:$A$287,""))</f>
        <v>17, 33, 39, 40, 114</v>
      </c>
      <c r="E21" s="21">
        <f>COUNTIF(KPI_Element_Map!$E$2:$E$287,$A21)</f>
        <v>5</v>
      </c>
      <c r="F21" s="21">
        <f>COUNTIFS(KPI_Element_Map!$E$2:$E$287,$A21,KPI_Element_Map!$D$2:$D$287,"1 - Core")</f>
        <v>0</v>
      </c>
      <c r="G21" s="24" t="s">
        <v>975</v>
      </c>
      <c r="H21" s="23" t="str">
        <f>INDEX(Minimum_Documents!$B:$B,MATCH($G21,Minimum_Documents!$A:$A,0))</f>
        <v>Monthly Financial Statement Package - consolidated (P&amp;L with budget, balance sheet, cash flow, trial balance; no department split needed)</v>
      </c>
      <c r="J21" s="25">
        <f t="array" ref="J21">IFERROR(HYPERLINK("#KPI_Master!A"&amp;MATCH(SMALL(IF(KPI_Element_Map!$E$2:$E$287=$A21,KPI_Element_Map!$A$2:$A$287),COLUMNS($J21:J21)),KPI_Master!$A:$A,0)&amp;":P"&amp;MATCH(SMALL(IF(KPI_Element_Map!$E$2:$E$287=$A21,KPI_Element_Map!$A$2:$A$287),COLUMNS($J21:J21)),KPI_Master!$A:$A,0),SMALL(IF(KPI_Element_Map!$E$2:$E$287=$A21,KPI_Element_Map!$A$2:$A$287),COLUMNS($J21:J21))),"")</f>
        <v>17</v>
      </c>
      <c r="K21" s="25">
        <f t="array" ref="K21">IFERROR(HYPERLINK("#KPI_Master!A"&amp;MATCH(SMALL(IF(KPI_Element_Map!$E$2:$E$287=$A21,KPI_Element_Map!$A$2:$A$287),COLUMNS($J21:K21)),KPI_Master!$A:$A,0)&amp;":P"&amp;MATCH(SMALL(IF(KPI_Element_Map!$E$2:$E$287=$A21,KPI_Element_Map!$A$2:$A$287),COLUMNS($J21:K21)),KPI_Master!$A:$A,0),SMALL(IF(KPI_Element_Map!$E$2:$E$287=$A21,KPI_Element_Map!$A$2:$A$287),COLUMNS($J21:K21))),"")</f>
        <v>33</v>
      </c>
      <c r="L21" s="25">
        <f t="array" ref="L21">IFERROR(HYPERLINK("#KPI_Master!A"&amp;MATCH(SMALL(IF(KPI_Element_Map!$E$2:$E$287=$A21,KPI_Element_Map!$A$2:$A$287),COLUMNS($J21:L21)),KPI_Master!$A:$A,0)&amp;":P"&amp;MATCH(SMALL(IF(KPI_Element_Map!$E$2:$E$287=$A21,KPI_Element_Map!$A$2:$A$287),COLUMNS($J21:L21)),KPI_Master!$A:$A,0),SMALL(IF(KPI_Element_Map!$E$2:$E$287=$A21,KPI_Element_Map!$A$2:$A$287),COLUMNS($J21:L21))),"")</f>
        <v>39</v>
      </c>
      <c r="M21" s="25">
        <f t="array" ref="M21">IFERROR(HYPERLINK("#KPI_Master!A"&amp;MATCH(SMALL(IF(KPI_Element_Map!$E$2:$E$287=$A21,KPI_Element_Map!$A$2:$A$287),COLUMNS($J21:M21)),KPI_Master!$A:$A,0)&amp;":P"&amp;MATCH(SMALL(IF(KPI_Element_Map!$E$2:$E$287=$A21,KPI_Element_Map!$A$2:$A$287),COLUMNS($J21:M21)),KPI_Master!$A:$A,0),SMALL(IF(KPI_Element_Map!$E$2:$E$287=$A21,KPI_Element_Map!$A$2:$A$287),COLUMNS($J21:M21))),"")</f>
        <v>40</v>
      </c>
      <c r="N21" s="25">
        <f t="array" ref="N21">IFERROR(HYPERLINK("#KPI_Master!A"&amp;MATCH(SMALL(IF(KPI_Element_Map!$E$2:$E$287=$A21,KPI_Element_Map!$A$2:$A$287),COLUMNS($J21:N21)),KPI_Master!$A:$A,0)&amp;":P"&amp;MATCH(SMALL(IF(KPI_Element_Map!$E$2:$E$287=$A21,KPI_Element_Map!$A$2:$A$287),COLUMNS($J21:N21)),KPI_Master!$A:$A,0),SMALL(IF(KPI_Element_Map!$E$2:$E$287=$A21,KPI_Element_Map!$A$2:$A$287),COLUMNS($J21:N21))),"")</f>
        <v>114</v>
      </c>
      <c r="O21" s="25" t="str">
        <f t="array" ref="O21">IFERROR(HYPERLINK("#KPI_Master!A"&amp;MATCH(SMALL(IF(KPI_Element_Map!$E$2:$E$287=$A21,KPI_Element_Map!$A$2:$A$287),COLUMNS($J21:O21)),KPI_Master!$A:$A,0)&amp;":P"&amp;MATCH(SMALL(IF(KPI_Element_Map!$E$2:$E$287=$A21,KPI_Element_Map!$A$2:$A$287),COLUMNS($J21:O21)),KPI_Master!$A:$A,0),SMALL(IF(KPI_Element_Map!$E$2:$E$287=$A21,KPI_Element_Map!$A$2:$A$287),COLUMNS($J21:O21))),"")</f>
        <v/>
      </c>
      <c r="P21" s="25" t="str">
        <f t="array" ref="P21">IFERROR(HYPERLINK("#KPI_Master!A"&amp;MATCH(SMALL(IF(KPI_Element_Map!$E$2:$E$287=$A21,KPI_Element_Map!$A$2:$A$287),COLUMNS($J21:P21)),KPI_Master!$A:$A,0)&amp;":P"&amp;MATCH(SMALL(IF(KPI_Element_Map!$E$2:$E$287=$A21,KPI_Element_Map!$A$2:$A$287),COLUMNS($J21:P21)),KPI_Master!$A:$A,0),SMALL(IF(KPI_Element_Map!$E$2:$E$287=$A21,KPI_Element_Map!$A$2:$A$287),COLUMNS($J21:P21))),"")</f>
        <v/>
      </c>
      <c r="Q21" s="25" t="str">
        <f t="array" ref="Q21">IFERROR(HYPERLINK("#KPI_Master!A"&amp;MATCH(SMALL(IF(KPI_Element_Map!$E$2:$E$287=$A21,KPI_Element_Map!$A$2:$A$287),COLUMNS($J21:Q21)),KPI_Master!$A:$A,0)&amp;":P"&amp;MATCH(SMALL(IF(KPI_Element_Map!$E$2:$E$287=$A21,KPI_Element_Map!$A$2:$A$287),COLUMNS($J21:Q21)),KPI_Master!$A:$A,0),SMALL(IF(KPI_Element_Map!$E$2:$E$287=$A21,KPI_Element_Map!$A$2:$A$287),COLUMNS($J21:Q21))),"")</f>
        <v/>
      </c>
      <c r="R21" s="25" t="str">
        <f t="array" ref="R21">IFERROR(HYPERLINK("#KPI_Master!A"&amp;MATCH(SMALL(IF(KPI_Element_Map!$E$2:$E$287=$A21,KPI_Element_Map!$A$2:$A$287),COLUMNS($J21:R21)),KPI_Master!$A:$A,0)&amp;":P"&amp;MATCH(SMALL(IF(KPI_Element_Map!$E$2:$E$287=$A21,KPI_Element_Map!$A$2:$A$287),COLUMNS($J21:R21)),KPI_Master!$A:$A,0),SMALL(IF(KPI_Element_Map!$E$2:$E$287=$A21,KPI_Element_Map!$A$2:$A$287),COLUMNS($J21:R21))),"")</f>
        <v/>
      </c>
      <c r="S21" s="25" t="str">
        <f t="array" ref="S21">IFERROR(HYPERLINK("#KPI_Master!A"&amp;MATCH(SMALL(IF(KPI_Element_Map!$E$2:$E$287=$A21,KPI_Element_Map!$A$2:$A$287),COLUMNS($J21:S21)),KPI_Master!$A:$A,0)&amp;":P"&amp;MATCH(SMALL(IF(KPI_Element_Map!$E$2:$E$287=$A21,KPI_Element_Map!$A$2:$A$287),COLUMNS($J21:S21)),KPI_Master!$A:$A,0),SMALL(IF(KPI_Element_Map!$E$2:$E$287=$A21,KPI_Element_Map!$A$2:$A$287),COLUMNS($J21:S21))),"")</f>
        <v/>
      </c>
      <c r="T21" s="25" t="str">
        <f t="array" ref="T21">IFERROR(HYPERLINK("#KPI_Master!A"&amp;MATCH(SMALL(IF(KPI_Element_Map!$E$2:$E$287=$A21,KPI_Element_Map!$A$2:$A$287),COLUMNS($J21:T21)),KPI_Master!$A:$A,0)&amp;":P"&amp;MATCH(SMALL(IF(KPI_Element_Map!$E$2:$E$287=$A21,KPI_Element_Map!$A$2:$A$287),COLUMNS($J21:T21)),KPI_Master!$A:$A,0),SMALL(IF(KPI_Element_Map!$E$2:$E$287=$A21,KPI_Element_Map!$A$2:$A$287),COLUMNS($J21:T21))),"")</f>
        <v/>
      </c>
      <c r="U21" s="25" t="str">
        <f t="array" ref="U21">IFERROR(HYPERLINK("#KPI_Master!A"&amp;MATCH(SMALL(IF(KPI_Element_Map!$E$2:$E$287=$A21,KPI_Element_Map!$A$2:$A$287),COLUMNS($J21:U21)),KPI_Master!$A:$A,0)&amp;":P"&amp;MATCH(SMALL(IF(KPI_Element_Map!$E$2:$E$287=$A21,KPI_Element_Map!$A$2:$A$287),COLUMNS($J21:U21)),KPI_Master!$A:$A,0),SMALL(IF(KPI_Element_Map!$E$2:$E$287=$A21,KPI_Element_Map!$A$2:$A$287),COLUMNS($J21:U21))),"")</f>
        <v/>
      </c>
      <c r="V21" s="25" t="str">
        <f t="array" ref="V21">IFERROR(HYPERLINK("#KPI_Master!A"&amp;MATCH(SMALL(IF(KPI_Element_Map!$E$2:$E$287=$A21,KPI_Element_Map!$A$2:$A$287),COLUMNS($J21:V21)),KPI_Master!$A:$A,0)&amp;":P"&amp;MATCH(SMALL(IF(KPI_Element_Map!$E$2:$E$287=$A21,KPI_Element_Map!$A$2:$A$287),COLUMNS($J21:V21)),KPI_Master!$A:$A,0),SMALL(IF(KPI_Element_Map!$E$2:$E$287=$A21,KPI_Element_Map!$A$2:$A$287),COLUMNS($J21:V21))),"")</f>
        <v/>
      </c>
      <c r="W21" s="25" t="str">
        <f t="array" ref="W21">IFERROR(HYPERLINK("#KPI_Master!A"&amp;MATCH(SMALL(IF(KPI_Element_Map!$E$2:$E$287=$A21,KPI_Element_Map!$A$2:$A$287),COLUMNS($J21:W21)),KPI_Master!$A:$A,0)&amp;":P"&amp;MATCH(SMALL(IF(KPI_Element_Map!$E$2:$E$287=$A21,KPI_Element_Map!$A$2:$A$287),COLUMNS($J21:W21)),KPI_Master!$A:$A,0),SMALL(IF(KPI_Element_Map!$E$2:$E$287=$A21,KPI_Element_Map!$A$2:$A$287),COLUMNS($J21:W21))),"")</f>
        <v/>
      </c>
      <c r="X21" s="25" t="str">
        <f t="array" ref="X21">IFERROR(HYPERLINK("#KPI_Master!A"&amp;MATCH(SMALL(IF(KPI_Element_Map!$E$2:$E$287=$A21,KPI_Element_Map!$A$2:$A$287),COLUMNS($J21:X21)),KPI_Master!$A:$A,0)&amp;":P"&amp;MATCH(SMALL(IF(KPI_Element_Map!$E$2:$E$287=$A21,KPI_Element_Map!$A$2:$A$287),COLUMNS($J21:X21)),KPI_Master!$A:$A,0),SMALL(IF(KPI_Element_Map!$E$2:$E$287=$A21,KPI_Element_Map!$A$2:$A$287),COLUMNS($J21:X21))),"")</f>
        <v/>
      </c>
      <c r="Y21" s="25" t="str">
        <f t="array" ref="Y21">IFERROR(HYPERLINK("#KPI_Master!A"&amp;MATCH(SMALL(IF(KPI_Element_Map!$E$2:$E$287=$A21,KPI_Element_Map!$A$2:$A$287),COLUMNS($J21:Y21)),KPI_Master!$A:$A,0)&amp;":P"&amp;MATCH(SMALL(IF(KPI_Element_Map!$E$2:$E$287=$A21,KPI_Element_Map!$A$2:$A$287),COLUMNS($J21:Y21)),KPI_Master!$A:$A,0),SMALL(IF(KPI_Element_Map!$E$2:$E$287=$A21,KPI_Element_Map!$A$2:$A$287),COLUMNS($J21:Y21))),"")</f>
        <v/>
      </c>
      <c r="Z21" s="25" t="str">
        <f t="array" ref="Z21">IFERROR(HYPERLINK("#KPI_Master!A"&amp;MATCH(SMALL(IF(KPI_Element_Map!$E$2:$E$287=$A21,KPI_Element_Map!$A$2:$A$287),COLUMNS($J21:Z21)),KPI_Master!$A:$A,0)&amp;":P"&amp;MATCH(SMALL(IF(KPI_Element_Map!$E$2:$E$287=$A21,KPI_Element_Map!$A$2:$A$287),COLUMNS($J21:Z21)),KPI_Master!$A:$A,0),SMALL(IF(KPI_Element_Map!$E$2:$E$287=$A21,KPI_Element_Map!$A$2:$A$287),COLUMNS($J21:Z21))),"")</f>
        <v/>
      </c>
      <c r="AA21" s="25" t="str">
        <f t="array" ref="AA21">IFERROR(HYPERLINK("#KPI_Master!A"&amp;MATCH(SMALL(IF(KPI_Element_Map!$E$2:$E$287=$A21,KPI_Element_Map!$A$2:$A$287),COLUMNS($J21:AA21)),KPI_Master!$A:$A,0)&amp;":P"&amp;MATCH(SMALL(IF(KPI_Element_Map!$E$2:$E$287=$A21,KPI_Element_Map!$A$2:$A$287),COLUMNS($J21:AA21)),KPI_Master!$A:$A,0),SMALL(IF(KPI_Element_Map!$E$2:$E$287=$A21,KPI_Element_Map!$A$2:$A$287),COLUMNS($J21:AA21))),"")</f>
        <v/>
      </c>
      <c r="AB21" s="25" t="str">
        <f t="array" ref="AB21">IFERROR(HYPERLINK("#KPI_Master!A"&amp;MATCH(SMALL(IF(KPI_Element_Map!$E$2:$E$287=$A21,KPI_Element_Map!$A$2:$A$287),COLUMNS($J21:AB21)),KPI_Master!$A:$A,0)&amp;":P"&amp;MATCH(SMALL(IF(KPI_Element_Map!$E$2:$E$287=$A21,KPI_Element_Map!$A$2:$A$287),COLUMNS($J21:AB21)),KPI_Master!$A:$A,0),SMALL(IF(KPI_Element_Map!$E$2:$E$287=$A21,KPI_Element_Map!$A$2:$A$287),COLUMNS($J21:AB21))),"")</f>
        <v/>
      </c>
      <c r="AC21" s="25" t="str">
        <f t="array" ref="AC21">IFERROR(HYPERLINK("#KPI_Master!A"&amp;MATCH(SMALL(IF(KPI_Element_Map!$E$2:$E$287=$A21,KPI_Element_Map!$A$2:$A$287),COLUMNS($J21:AC21)),KPI_Master!$A:$A,0)&amp;":P"&amp;MATCH(SMALL(IF(KPI_Element_Map!$E$2:$E$287=$A21,KPI_Element_Map!$A$2:$A$287),COLUMNS($J21:AC21)),KPI_Master!$A:$A,0),SMALL(IF(KPI_Element_Map!$E$2:$E$287=$A21,KPI_Element_Map!$A$2:$A$287),COLUMNS($J21:AC21))),"")</f>
        <v/>
      </c>
      <c r="AD21" s="25" t="str">
        <f t="array" ref="AD21">IFERROR(HYPERLINK("#KPI_Master!A"&amp;MATCH(SMALL(IF(KPI_Element_Map!$E$2:$E$287=$A21,KPI_Element_Map!$A$2:$A$287),COLUMNS($J21:AD21)),KPI_Master!$A:$A,0)&amp;":P"&amp;MATCH(SMALL(IF(KPI_Element_Map!$E$2:$E$287=$A21,KPI_Element_Map!$A$2:$A$287),COLUMNS($J21:AD21)),KPI_Master!$A:$A,0),SMALL(IF(KPI_Element_Map!$E$2:$E$287=$A21,KPI_Element_Map!$A$2:$A$287),COLUMNS($J21:AD21))),"")</f>
        <v/>
      </c>
      <c r="AE21" s="25" t="str">
        <f t="array" ref="AE21">IFERROR(HYPERLINK("#KPI_Master!A"&amp;MATCH(SMALL(IF(KPI_Element_Map!$E$2:$E$287=$A21,KPI_Element_Map!$A$2:$A$287),COLUMNS($J21:AE21)),KPI_Master!$A:$A,0)&amp;":P"&amp;MATCH(SMALL(IF(KPI_Element_Map!$E$2:$E$287=$A21,KPI_Element_Map!$A$2:$A$287),COLUMNS($J21:AE21)),KPI_Master!$A:$A,0),SMALL(IF(KPI_Element_Map!$E$2:$E$287=$A21,KPI_Element_Map!$A$2:$A$287),COLUMNS($J21:AE21))),"")</f>
        <v/>
      </c>
      <c r="AF21" s="25" t="str">
        <f t="array" ref="AF21">IFERROR(HYPERLINK("#KPI_Master!A"&amp;MATCH(SMALL(IF(KPI_Element_Map!$E$2:$E$287=$A21,KPI_Element_Map!$A$2:$A$287),COLUMNS($J21:AF21)),KPI_Master!$A:$A,0)&amp;":P"&amp;MATCH(SMALL(IF(KPI_Element_Map!$E$2:$E$287=$A21,KPI_Element_Map!$A$2:$A$287),COLUMNS($J21:AF21)),KPI_Master!$A:$A,0),SMALL(IF(KPI_Element_Map!$E$2:$E$287=$A21,KPI_Element_Map!$A$2:$A$287),COLUMNS($J21:AF21))),"")</f>
        <v/>
      </c>
      <c r="AG21" s="25" t="str">
        <f t="array" ref="AG21">IFERROR(HYPERLINK("#KPI_Master!A"&amp;MATCH(SMALL(IF(KPI_Element_Map!$E$2:$E$287=$A21,KPI_Element_Map!$A$2:$A$287),COLUMNS($J21:AG21)),KPI_Master!$A:$A,0)&amp;":P"&amp;MATCH(SMALL(IF(KPI_Element_Map!$E$2:$E$287=$A21,KPI_Element_Map!$A$2:$A$287),COLUMNS($J21:AG21)),KPI_Master!$A:$A,0),SMALL(IF(KPI_Element_Map!$E$2:$E$287=$A21,KPI_Element_Map!$A$2:$A$287),COLUMNS($J21:AG21))),"")</f>
        <v/>
      </c>
      <c r="AH21" s="25" t="str">
        <f t="array" ref="AH21">IFERROR(HYPERLINK("#KPI_Master!A"&amp;MATCH(SMALL(IF(KPI_Element_Map!$E$2:$E$287=$A21,KPI_Element_Map!$A$2:$A$287),COLUMNS($J21:AH21)),KPI_Master!$A:$A,0)&amp;":P"&amp;MATCH(SMALL(IF(KPI_Element_Map!$E$2:$E$287=$A21,KPI_Element_Map!$A$2:$A$287),COLUMNS($J21:AH21)),KPI_Master!$A:$A,0),SMALL(IF(KPI_Element_Map!$E$2:$E$287=$A21,KPI_Element_Map!$A$2:$A$287),COLUMNS($J21:AH21))),"")</f>
        <v/>
      </c>
    </row>
    <row r="22" spans="1:34" ht="42.75" customHeight="1">
      <c r="A22" s="21" t="s">
        <v>982</v>
      </c>
      <c r="B22" s="22" t="s">
        <v>983</v>
      </c>
      <c r="C22" s="23" t="s">
        <v>984</v>
      </c>
      <c r="D22" s="23" t="str">
        <f t="array" ref="D22">_xlfn.TEXTJOIN(", ",TRUE(),IF(KPI_Element_Map!$E$2:$E$287=$A22,KPI_Element_Map!$A$2:$A$287,""))</f>
        <v>20, 29, 30, 31, 117</v>
      </c>
      <c r="E22" s="21">
        <f>COUNTIF(KPI_Element_Map!$E$2:$E$287,$A22)</f>
        <v>5</v>
      </c>
      <c r="F22" s="21">
        <f>COUNTIFS(KPI_Element_Map!$E$2:$E$287,$A22,KPI_Element_Map!$D$2:$D$287,"1 - Core")</f>
        <v>1</v>
      </c>
      <c r="G22" s="24" t="s">
        <v>975</v>
      </c>
      <c r="H22" s="23" t="str">
        <f>INDEX(Minimum_Documents!$B:$B,MATCH($G22,Minimum_Documents!$A:$A,0))</f>
        <v>Monthly Financial Statement Package - consolidated (P&amp;L with budget, balance sheet, cash flow, trial balance; no department split needed)</v>
      </c>
      <c r="J22" s="25">
        <f t="array" ref="J22">IFERROR(HYPERLINK("#KPI_Master!A"&amp;MATCH(SMALL(IF(KPI_Element_Map!$E$2:$E$287=$A22,KPI_Element_Map!$A$2:$A$287),COLUMNS($J22:J22)),KPI_Master!$A:$A,0)&amp;":P"&amp;MATCH(SMALL(IF(KPI_Element_Map!$E$2:$E$287=$A22,KPI_Element_Map!$A$2:$A$287),COLUMNS($J22:J22)),KPI_Master!$A:$A,0),SMALL(IF(KPI_Element_Map!$E$2:$E$287=$A22,KPI_Element_Map!$A$2:$A$287),COLUMNS($J22:J22))),"")</f>
        <v>20</v>
      </c>
      <c r="K22" s="25">
        <f t="array" ref="K22">IFERROR(HYPERLINK("#KPI_Master!A"&amp;MATCH(SMALL(IF(KPI_Element_Map!$E$2:$E$287=$A22,KPI_Element_Map!$A$2:$A$287),COLUMNS($J22:K22)),KPI_Master!$A:$A,0)&amp;":P"&amp;MATCH(SMALL(IF(KPI_Element_Map!$E$2:$E$287=$A22,KPI_Element_Map!$A$2:$A$287),COLUMNS($J22:K22)),KPI_Master!$A:$A,0),SMALL(IF(KPI_Element_Map!$E$2:$E$287=$A22,KPI_Element_Map!$A$2:$A$287),COLUMNS($J22:K22))),"")</f>
        <v>29</v>
      </c>
      <c r="L22" s="25">
        <f t="array" ref="L22">IFERROR(HYPERLINK("#KPI_Master!A"&amp;MATCH(SMALL(IF(KPI_Element_Map!$E$2:$E$287=$A22,KPI_Element_Map!$A$2:$A$287),COLUMNS($J22:L22)),KPI_Master!$A:$A,0)&amp;":P"&amp;MATCH(SMALL(IF(KPI_Element_Map!$E$2:$E$287=$A22,KPI_Element_Map!$A$2:$A$287),COLUMNS($J22:L22)),KPI_Master!$A:$A,0),SMALL(IF(KPI_Element_Map!$E$2:$E$287=$A22,KPI_Element_Map!$A$2:$A$287),COLUMNS($J22:L22))),"")</f>
        <v>30</v>
      </c>
      <c r="M22" s="25">
        <f t="array" ref="M22">IFERROR(HYPERLINK("#KPI_Master!A"&amp;MATCH(SMALL(IF(KPI_Element_Map!$E$2:$E$287=$A22,KPI_Element_Map!$A$2:$A$287),COLUMNS($J22:M22)),KPI_Master!$A:$A,0)&amp;":P"&amp;MATCH(SMALL(IF(KPI_Element_Map!$E$2:$E$287=$A22,KPI_Element_Map!$A$2:$A$287),COLUMNS($J22:M22)),KPI_Master!$A:$A,0),SMALL(IF(KPI_Element_Map!$E$2:$E$287=$A22,KPI_Element_Map!$A$2:$A$287),COLUMNS($J22:M22))),"")</f>
        <v>31</v>
      </c>
      <c r="N22" s="25">
        <f t="array" ref="N22">IFERROR(HYPERLINK("#KPI_Master!A"&amp;MATCH(SMALL(IF(KPI_Element_Map!$E$2:$E$287=$A22,KPI_Element_Map!$A$2:$A$287),COLUMNS($J22:N22)),KPI_Master!$A:$A,0)&amp;":P"&amp;MATCH(SMALL(IF(KPI_Element_Map!$E$2:$E$287=$A22,KPI_Element_Map!$A$2:$A$287),COLUMNS($J22:N22)),KPI_Master!$A:$A,0),SMALL(IF(KPI_Element_Map!$E$2:$E$287=$A22,KPI_Element_Map!$A$2:$A$287),COLUMNS($J22:N22))),"")</f>
        <v>117</v>
      </c>
      <c r="O22" s="25" t="str">
        <f t="array" ref="O22">IFERROR(HYPERLINK("#KPI_Master!A"&amp;MATCH(SMALL(IF(KPI_Element_Map!$E$2:$E$287=$A22,KPI_Element_Map!$A$2:$A$287),COLUMNS($J22:O22)),KPI_Master!$A:$A,0)&amp;":P"&amp;MATCH(SMALL(IF(KPI_Element_Map!$E$2:$E$287=$A22,KPI_Element_Map!$A$2:$A$287),COLUMNS($J22:O22)),KPI_Master!$A:$A,0),SMALL(IF(KPI_Element_Map!$E$2:$E$287=$A22,KPI_Element_Map!$A$2:$A$287),COLUMNS($J22:O22))),"")</f>
        <v/>
      </c>
      <c r="P22" s="25" t="str">
        <f t="array" ref="P22">IFERROR(HYPERLINK("#KPI_Master!A"&amp;MATCH(SMALL(IF(KPI_Element_Map!$E$2:$E$287=$A22,KPI_Element_Map!$A$2:$A$287),COLUMNS($J22:P22)),KPI_Master!$A:$A,0)&amp;":P"&amp;MATCH(SMALL(IF(KPI_Element_Map!$E$2:$E$287=$A22,KPI_Element_Map!$A$2:$A$287),COLUMNS($J22:P22)),KPI_Master!$A:$A,0),SMALL(IF(KPI_Element_Map!$E$2:$E$287=$A22,KPI_Element_Map!$A$2:$A$287),COLUMNS($J22:P22))),"")</f>
        <v/>
      </c>
      <c r="Q22" s="25" t="str">
        <f t="array" ref="Q22">IFERROR(HYPERLINK("#KPI_Master!A"&amp;MATCH(SMALL(IF(KPI_Element_Map!$E$2:$E$287=$A22,KPI_Element_Map!$A$2:$A$287),COLUMNS($J22:Q22)),KPI_Master!$A:$A,0)&amp;":P"&amp;MATCH(SMALL(IF(KPI_Element_Map!$E$2:$E$287=$A22,KPI_Element_Map!$A$2:$A$287),COLUMNS($J22:Q22)),KPI_Master!$A:$A,0),SMALL(IF(KPI_Element_Map!$E$2:$E$287=$A22,KPI_Element_Map!$A$2:$A$287),COLUMNS($J22:Q22))),"")</f>
        <v/>
      </c>
      <c r="R22" s="25" t="str">
        <f t="array" ref="R22">IFERROR(HYPERLINK("#KPI_Master!A"&amp;MATCH(SMALL(IF(KPI_Element_Map!$E$2:$E$287=$A22,KPI_Element_Map!$A$2:$A$287),COLUMNS($J22:R22)),KPI_Master!$A:$A,0)&amp;":P"&amp;MATCH(SMALL(IF(KPI_Element_Map!$E$2:$E$287=$A22,KPI_Element_Map!$A$2:$A$287),COLUMNS($J22:R22)),KPI_Master!$A:$A,0),SMALL(IF(KPI_Element_Map!$E$2:$E$287=$A22,KPI_Element_Map!$A$2:$A$287),COLUMNS($J22:R22))),"")</f>
        <v/>
      </c>
      <c r="S22" s="25" t="str">
        <f t="array" ref="S22">IFERROR(HYPERLINK("#KPI_Master!A"&amp;MATCH(SMALL(IF(KPI_Element_Map!$E$2:$E$287=$A22,KPI_Element_Map!$A$2:$A$287),COLUMNS($J22:S22)),KPI_Master!$A:$A,0)&amp;":P"&amp;MATCH(SMALL(IF(KPI_Element_Map!$E$2:$E$287=$A22,KPI_Element_Map!$A$2:$A$287),COLUMNS($J22:S22)),KPI_Master!$A:$A,0),SMALL(IF(KPI_Element_Map!$E$2:$E$287=$A22,KPI_Element_Map!$A$2:$A$287),COLUMNS($J22:S22))),"")</f>
        <v/>
      </c>
      <c r="T22" s="25" t="str">
        <f t="array" ref="T22">IFERROR(HYPERLINK("#KPI_Master!A"&amp;MATCH(SMALL(IF(KPI_Element_Map!$E$2:$E$287=$A22,KPI_Element_Map!$A$2:$A$287),COLUMNS($J22:T22)),KPI_Master!$A:$A,0)&amp;":P"&amp;MATCH(SMALL(IF(KPI_Element_Map!$E$2:$E$287=$A22,KPI_Element_Map!$A$2:$A$287),COLUMNS($J22:T22)),KPI_Master!$A:$A,0),SMALL(IF(KPI_Element_Map!$E$2:$E$287=$A22,KPI_Element_Map!$A$2:$A$287),COLUMNS($J22:T22))),"")</f>
        <v/>
      </c>
      <c r="U22" s="25" t="str">
        <f t="array" ref="U22">IFERROR(HYPERLINK("#KPI_Master!A"&amp;MATCH(SMALL(IF(KPI_Element_Map!$E$2:$E$287=$A22,KPI_Element_Map!$A$2:$A$287),COLUMNS($J22:U22)),KPI_Master!$A:$A,0)&amp;":P"&amp;MATCH(SMALL(IF(KPI_Element_Map!$E$2:$E$287=$A22,KPI_Element_Map!$A$2:$A$287),COLUMNS($J22:U22)),KPI_Master!$A:$A,0),SMALL(IF(KPI_Element_Map!$E$2:$E$287=$A22,KPI_Element_Map!$A$2:$A$287),COLUMNS($J22:U22))),"")</f>
        <v/>
      </c>
      <c r="V22" s="25" t="str">
        <f t="array" ref="V22">IFERROR(HYPERLINK("#KPI_Master!A"&amp;MATCH(SMALL(IF(KPI_Element_Map!$E$2:$E$287=$A22,KPI_Element_Map!$A$2:$A$287),COLUMNS($J22:V22)),KPI_Master!$A:$A,0)&amp;":P"&amp;MATCH(SMALL(IF(KPI_Element_Map!$E$2:$E$287=$A22,KPI_Element_Map!$A$2:$A$287),COLUMNS($J22:V22)),KPI_Master!$A:$A,0),SMALL(IF(KPI_Element_Map!$E$2:$E$287=$A22,KPI_Element_Map!$A$2:$A$287),COLUMNS($J22:V22))),"")</f>
        <v/>
      </c>
      <c r="W22" s="25" t="str">
        <f t="array" ref="W22">IFERROR(HYPERLINK("#KPI_Master!A"&amp;MATCH(SMALL(IF(KPI_Element_Map!$E$2:$E$287=$A22,KPI_Element_Map!$A$2:$A$287),COLUMNS($J22:W22)),KPI_Master!$A:$A,0)&amp;":P"&amp;MATCH(SMALL(IF(KPI_Element_Map!$E$2:$E$287=$A22,KPI_Element_Map!$A$2:$A$287),COLUMNS($J22:W22)),KPI_Master!$A:$A,0),SMALL(IF(KPI_Element_Map!$E$2:$E$287=$A22,KPI_Element_Map!$A$2:$A$287),COLUMNS($J22:W22))),"")</f>
        <v/>
      </c>
      <c r="X22" s="25" t="str">
        <f t="array" ref="X22">IFERROR(HYPERLINK("#KPI_Master!A"&amp;MATCH(SMALL(IF(KPI_Element_Map!$E$2:$E$287=$A22,KPI_Element_Map!$A$2:$A$287),COLUMNS($J22:X22)),KPI_Master!$A:$A,0)&amp;":P"&amp;MATCH(SMALL(IF(KPI_Element_Map!$E$2:$E$287=$A22,KPI_Element_Map!$A$2:$A$287),COLUMNS($J22:X22)),KPI_Master!$A:$A,0),SMALL(IF(KPI_Element_Map!$E$2:$E$287=$A22,KPI_Element_Map!$A$2:$A$287),COLUMNS($J22:X22))),"")</f>
        <v/>
      </c>
      <c r="Y22" s="25" t="str">
        <f t="array" ref="Y22">IFERROR(HYPERLINK("#KPI_Master!A"&amp;MATCH(SMALL(IF(KPI_Element_Map!$E$2:$E$287=$A22,KPI_Element_Map!$A$2:$A$287),COLUMNS($J22:Y22)),KPI_Master!$A:$A,0)&amp;":P"&amp;MATCH(SMALL(IF(KPI_Element_Map!$E$2:$E$287=$A22,KPI_Element_Map!$A$2:$A$287),COLUMNS($J22:Y22)),KPI_Master!$A:$A,0),SMALL(IF(KPI_Element_Map!$E$2:$E$287=$A22,KPI_Element_Map!$A$2:$A$287),COLUMNS($J22:Y22))),"")</f>
        <v/>
      </c>
      <c r="Z22" s="25" t="str">
        <f t="array" ref="Z22">IFERROR(HYPERLINK("#KPI_Master!A"&amp;MATCH(SMALL(IF(KPI_Element_Map!$E$2:$E$287=$A22,KPI_Element_Map!$A$2:$A$287),COLUMNS($J22:Z22)),KPI_Master!$A:$A,0)&amp;":P"&amp;MATCH(SMALL(IF(KPI_Element_Map!$E$2:$E$287=$A22,KPI_Element_Map!$A$2:$A$287),COLUMNS($J22:Z22)),KPI_Master!$A:$A,0),SMALL(IF(KPI_Element_Map!$E$2:$E$287=$A22,KPI_Element_Map!$A$2:$A$287),COLUMNS($J22:Z22))),"")</f>
        <v/>
      </c>
      <c r="AA22" s="25" t="str">
        <f t="array" ref="AA22">IFERROR(HYPERLINK("#KPI_Master!A"&amp;MATCH(SMALL(IF(KPI_Element_Map!$E$2:$E$287=$A22,KPI_Element_Map!$A$2:$A$287),COLUMNS($J22:AA22)),KPI_Master!$A:$A,0)&amp;":P"&amp;MATCH(SMALL(IF(KPI_Element_Map!$E$2:$E$287=$A22,KPI_Element_Map!$A$2:$A$287),COLUMNS($J22:AA22)),KPI_Master!$A:$A,0),SMALL(IF(KPI_Element_Map!$E$2:$E$287=$A22,KPI_Element_Map!$A$2:$A$287),COLUMNS($J22:AA22))),"")</f>
        <v/>
      </c>
      <c r="AB22" s="25" t="str">
        <f t="array" ref="AB22">IFERROR(HYPERLINK("#KPI_Master!A"&amp;MATCH(SMALL(IF(KPI_Element_Map!$E$2:$E$287=$A22,KPI_Element_Map!$A$2:$A$287),COLUMNS($J22:AB22)),KPI_Master!$A:$A,0)&amp;":P"&amp;MATCH(SMALL(IF(KPI_Element_Map!$E$2:$E$287=$A22,KPI_Element_Map!$A$2:$A$287),COLUMNS($J22:AB22)),KPI_Master!$A:$A,0),SMALL(IF(KPI_Element_Map!$E$2:$E$287=$A22,KPI_Element_Map!$A$2:$A$287),COLUMNS($J22:AB22))),"")</f>
        <v/>
      </c>
      <c r="AC22" s="25" t="str">
        <f t="array" ref="AC22">IFERROR(HYPERLINK("#KPI_Master!A"&amp;MATCH(SMALL(IF(KPI_Element_Map!$E$2:$E$287=$A22,KPI_Element_Map!$A$2:$A$287),COLUMNS($J22:AC22)),KPI_Master!$A:$A,0)&amp;":P"&amp;MATCH(SMALL(IF(KPI_Element_Map!$E$2:$E$287=$A22,KPI_Element_Map!$A$2:$A$287),COLUMNS($J22:AC22)),KPI_Master!$A:$A,0),SMALL(IF(KPI_Element_Map!$E$2:$E$287=$A22,KPI_Element_Map!$A$2:$A$287),COLUMNS($J22:AC22))),"")</f>
        <v/>
      </c>
      <c r="AD22" s="25" t="str">
        <f t="array" ref="AD22">IFERROR(HYPERLINK("#KPI_Master!A"&amp;MATCH(SMALL(IF(KPI_Element_Map!$E$2:$E$287=$A22,KPI_Element_Map!$A$2:$A$287),COLUMNS($J22:AD22)),KPI_Master!$A:$A,0)&amp;":P"&amp;MATCH(SMALL(IF(KPI_Element_Map!$E$2:$E$287=$A22,KPI_Element_Map!$A$2:$A$287),COLUMNS($J22:AD22)),KPI_Master!$A:$A,0),SMALL(IF(KPI_Element_Map!$E$2:$E$287=$A22,KPI_Element_Map!$A$2:$A$287),COLUMNS($J22:AD22))),"")</f>
        <v/>
      </c>
      <c r="AE22" s="25" t="str">
        <f t="array" ref="AE22">IFERROR(HYPERLINK("#KPI_Master!A"&amp;MATCH(SMALL(IF(KPI_Element_Map!$E$2:$E$287=$A22,KPI_Element_Map!$A$2:$A$287),COLUMNS($J22:AE22)),KPI_Master!$A:$A,0)&amp;":P"&amp;MATCH(SMALL(IF(KPI_Element_Map!$E$2:$E$287=$A22,KPI_Element_Map!$A$2:$A$287),COLUMNS($J22:AE22)),KPI_Master!$A:$A,0),SMALL(IF(KPI_Element_Map!$E$2:$E$287=$A22,KPI_Element_Map!$A$2:$A$287),COLUMNS($J22:AE22))),"")</f>
        <v/>
      </c>
      <c r="AF22" s="25" t="str">
        <f t="array" ref="AF22">IFERROR(HYPERLINK("#KPI_Master!A"&amp;MATCH(SMALL(IF(KPI_Element_Map!$E$2:$E$287=$A22,KPI_Element_Map!$A$2:$A$287),COLUMNS($J22:AF22)),KPI_Master!$A:$A,0)&amp;":P"&amp;MATCH(SMALL(IF(KPI_Element_Map!$E$2:$E$287=$A22,KPI_Element_Map!$A$2:$A$287),COLUMNS($J22:AF22)),KPI_Master!$A:$A,0),SMALL(IF(KPI_Element_Map!$E$2:$E$287=$A22,KPI_Element_Map!$A$2:$A$287),COLUMNS($J22:AF22))),"")</f>
        <v/>
      </c>
      <c r="AG22" s="25" t="str">
        <f t="array" ref="AG22">IFERROR(HYPERLINK("#KPI_Master!A"&amp;MATCH(SMALL(IF(KPI_Element_Map!$E$2:$E$287=$A22,KPI_Element_Map!$A$2:$A$287),COLUMNS($J22:AG22)),KPI_Master!$A:$A,0)&amp;":P"&amp;MATCH(SMALL(IF(KPI_Element_Map!$E$2:$E$287=$A22,KPI_Element_Map!$A$2:$A$287),COLUMNS($J22:AG22)),KPI_Master!$A:$A,0),SMALL(IF(KPI_Element_Map!$E$2:$E$287=$A22,KPI_Element_Map!$A$2:$A$287),COLUMNS($J22:AG22))),"")</f>
        <v/>
      </c>
      <c r="AH22" s="25" t="str">
        <f t="array" ref="AH22">IFERROR(HYPERLINK("#KPI_Master!A"&amp;MATCH(SMALL(IF(KPI_Element_Map!$E$2:$E$287=$A22,KPI_Element_Map!$A$2:$A$287),COLUMNS($J22:AH22)),KPI_Master!$A:$A,0)&amp;":P"&amp;MATCH(SMALL(IF(KPI_Element_Map!$E$2:$E$287=$A22,KPI_Element_Map!$A$2:$A$287),COLUMNS($J22:AH22)),KPI_Master!$A:$A,0),SMALL(IF(KPI_Element_Map!$E$2:$E$287=$A22,KPI_Element_Map!$A$2:$A$287),COLUMNS($J22:AH22))),"")</f>
        <v/>
      </c>
    </row>
    <row r="23" spans="1:34" ht="42.75" customHeight="1">
      <c r="A23" s="21" t="s">
        <v>985</v>
      </c>
      <c r="B23" s="22" t="s">
        <v>986</v>
      </c>
      <c r="C23" s="23" t="s">
        <v>987</v>
      </c>
      <c r="D23" s="23" t="str">
        <f t="array" ref="D23">_xlfn.TEXTJOIN(", ",TRUE(),IF(KPI_Element_Map!$E$2:$E$287=$A23,KPI_Element_Map!$A$2:$A$287,""))</f>
        <v>26, 27, 28, 29, 35</v>
      </c>
      <c r="E23" s="21">
        <f>COUNTIF(KPI_Element_Map!$E$2:$E$287,$A23)</f>
        <v>5</v>
      </c>
      <c r="F23" s="21">
        <f>COUNTIFS(KPI_Element_Map!$E$2:$E$287,$A23,KPI_Element_Map!$D$2:$D$287,"1 - Core")</f>
        <v>0</v>
      </c>
      <c r="G23" s="24" t="s">
        <v>975</v>
      </c>
      <c r="H23" s="23" t="str">
        <f>INDEX(Minimum_Documents!$B:$B,MATCH($G23,Minimum_Documents!$A:$A,0))</f>
        <v>Monthly Financial Statement Package - consolidated (P&amp;L with budget, balance sheet, cash flow, trial balance; no department split needed)</v>
      </c>
      <c r="J23" s="25">
        <f t="array" ref="J23">IFERROR(HYPERLINK("#KPI_Master!A"&amp;MATCH(SMALL(IF(KPI_Element_Map!$E$2:$E$287=$A23,KPI_Element_Map!$A$2:$A$287),COLUMNS($J23:J23)),KPI_Master!$A:$A,0)&amp;":P"&amp;MATCH(SMALL(IF(KPI_Element_Map!$E$2:$E$287=$A23,KPI_Element_Map!$A$2:$A$287),COLUMNS($J23:J23)),KPI_Master!$A:$A,0),SMALL(IF(KPI_Element_Map!$E$2:$E$287=$A23,KPI_Element_Map!$A$2:$A$287),COLUMNS($J23:J23))),"")</f>
        <v>26</v>
      </c>
      <c r="K23" s="25">
        <f t="array" ref="K23">IFERROR(HYPERLINK("#KPI_Master!A"&amp;MATCH(SMALL(IF(KPI_Element_Map!$E$2:$E$287=$A23,KPI_Element_Map!$A$2:$A$287),COLUMNS($J23:K23)),KPI_Master!$A:$A,0)&amp;":P"&amp;MATCH(SMALL(IF(KPI_Element_Map!$E$2:$E$287=$A23,KPI_Element_Map!$A$2:$A$287),COLUMNS($J23:K23)),KPI_Master!$A:$A,0),SMALL(IF(KPI_Element_Map!$E$2:$E$287=$A23,KPI_Element_Map!$A$2:$A$287),COLUMNS($J23:K23))),"")</f>
        <v>27</v>
      </c>
      <c r="L23" s="25">
        <f t="array" ref="L23">IFERROR(HYPERLINK("#KPI_Master!A"&amp;MATCH(SMALL(IF(KPI_Element_Map!$E$2:$E$287=$A23,KPI_Element_Map!$A$2:$A$287),COLUMNS($J23:L23)),KPI_Master!$A:$A,0)&amp;":P"&amp;MATCH(SMALL(IF(KPI_Element_Map!$E$2:$E$287=$A23,KPI_Element_Map!$A$2:$A$287),COLUMNS($J23:L23)),KPI_Master!$A:$A,0),SMALL(IF(KPI_Element_Map!$E$2:$E$287=$A23,KPI_Element_Map!$A$2:$A$287),COLUMNS($J23:L23))),"")</f>
        <v>28</v>
      </c>
      <c r="M23" s="25">
        <f t="array" ref="M23">IFERROR(HYPERLINK("#KPI_Master!A"&amp;MATCH(SMALL(IF(KPI_Element_Map!$E$2:$E$287=$A23,KPI_Element_Map!$A$2:$A$287),COLUMNS($J23:M23)),KPI_Master!$A:$A,0)&amp;":P"&amp;MATCH(SMALL(IF(KPI_Element_Map!$E$2:$E$287=$A23,KPI_Element_Map!$A$2:$A$287),COLUMNS($J23:M23)),KPI_Master!$A:$A,0),SMALL(IF(KPI_Element_Map!$E$2:$E$287=$A23,KPI_Element_Map!$A$2:$A$287),COLUMNS($J23:M23))),"")</f>
        <v>29</v>
      </c>
      <c r="N23" s="25">
        <f t="array" ref="N23">IFERROR(HYPERLINK("#KPI_Master!A"&amp;MATCH(SMALL(IF(KPI_Element_Map!$E$2:$E$287=$A23,KPI_Element_Map!$A$2:$A$287),COLUMNS($J23:N23)),KPI_Master!$A:$A,0)&amp;":P"&amp;MATCH(SMALL(IF(KPI_Element_Map!$E$2:$E$287=$A23,KPI_Element_Map!$A$2:$A$287),COLUMNS($J23:N23)),KPI_Master!$A:$A,0),SMALL(IF(KPI_Element_Map!$E$2:$E$287=$A23,KPI_Element_Map!$A$2:$A$287),COLUMNS($J23:N23))),"")</f>
        <v>35</v>
      </c>
      <c r="O23" s="25" t="str">
        <f t="array" ref="O23">IFERROR(HYPERLINK("#KPI_Master!A"&amp;MATCH(SMALL(IF(KPI_Element_Map!$E$2:$E$287=$A23,KPI_Element_Map!$A$2:$A$287),COLUMNS($J23:O23)),KPI_Master!$A:$A,0)&amp;":P"&amp;MATCH(SMALL(IF(KPI_Element_Map!$E$2:$E$287=$A23,KPI_Element_Map!$A$2:$A$287),COLUMNS($J23:O23)),KPI_Master!$A:$A,0),SMALL(IF(KPI_Element_Map!$E$2:$E$287=$A23,KPI_Element_Map!$A$2:$A$287),COLUMNS($J23:O23))),"")</f>
        <v/>
      </c>
      <c r="P23" s="25" t="str">
        <f t="array" ref="P23">IFERROR(HYPERLINK("#KPI_Master!A"&amp;MATCH(SMALL(IF(KPI_Element_Map!$E$2:$E$287=$A23,KPI_Element_Map!$A$2:$A$287),COLUMNS($J23:P23)),KPI_Master!$A:$A,0)&amp;":P"&amp;MATCH(SMALL(IF(KPI_Element_Map!$E$2:$E$287=$A23,KPI_Element_Map!$A$2:$A$287),COLUMNS($J23:P23)),KPI_Master!$A:$A,0),SMALL(IF(KPI_Element_Map!$E$2:$E$287=$A23,KPI_Element_Map!$A$2:$A$287),COLUMNS($J23:P23))),"")</f>
        <v/>
      </c>
      <c r="Q23" s="25" t="str">
        <f t="array" ref="Q23">IFERROR(HYPERLINK("#KPI_Master!A"&amp;MATCH(SMALL(IF(KPI_Element_Map!$E$2:$E$287=$A23,KPI_Element_Map!$A$2:$A$287),COLUMNS($J23:Q23)),KPI_Master!$A:$A,0)&amp;":P"&amp;MATCH(SMALL(IF(KPI_Element_Map!$E$2:$E$287=$A23,KPI_Element_Map!$A$2:$A$287),COLUMNS($J23:Q23)),KPI_Master!$A:$A,0),SMALL(IF(KPI_Element_Map!$E$2:$E$287=$A23,KPI_Element_Map!$A$2:$A$287),COLUMNS($J23:Q23))),"")</f>
        <v/>
      </c>
      <c r="R23" s="25" t="str">
        <f t="array" ref="R23">IFERROR(HYPERLINK("#KPI_Master!A"&amp;MATCH(SMALL(IF(KPI_Element_Map!$E$2:$E$287=$A23,KPI_Element_Map!$A$2:$A$287),COLUMNS($J23:R23)),KPI_Master!$A:$A,0)&amp;":P"&amp;MATCH(SMALL(IF(KPI_Element_Map!$E$2:$E$287=$A23,KPI_Element_Map!$A$2:$A$287),COLUMNS($J23:R23)),KPI_Master!$A:$A,0),SMALL(IF(KPI_Element_Map!$E$2:$E$287=$A23,KPI_Element_Map!$A$2:$A$287),COLUMNS($J23:R23))),"")</f>
        <v/>
      </c>
      <c r="S23" s="25" t="str">
        <f t="array" ref="S23">IFERROR(HYPERLINK("#KPI_Master!A"&amp;MATCH(SMALL(IF(KPI_Element_Map!$E$2:$E$287=$A23,KPI_Element_Map!$A$2:$A$287),COLUMNS($J23:S23)),KPI_Master!$A:$A,0)&amp;":P"&amp;MATCH(SMALL(IF(KPI_Element_Map!$E$2:$E$287=$A23,KPI_Element_Map!$A$2:$A$287),COLUMNS($J23:S23)),KPI_Master!$A:$A,0),SMALL(IF(KPI_Element_Map!$E$2:$E$287=$A23,KPI_Element_Map!$A$2:$A$287),COLUMNS($J23:S23))),"")</f>
        <v/>
      </c>
      <c r="T23" s="25" t="str">
        <f t="array" ref="T23">IFERROR(HYPERLINK("#KPI_Master!A"&amp;MATCH(SMALL(IF(KPI_Element_Map!$E$2:$E$287=$A23,KPI_Element_Map!$A$2:$A$287),COLUMNS($J23:T23)),KPI_Master!$A:$A,0)&amp;":P"&amp;MATCH(SMALL(IF(KPI_Element_Map!$E$2:$E$287=$A23,KPI_Element_Map!$A$2:$A$287),COLUMNS($J23:T23)),KPI_Master!$A:$A,0),SMALL(IF(KPI_Element_Map!$E$2:$E$287=$A23,KPI_Element_Map!$A$2:$A$287),COLUMNS($J23:T23))),"")</f>
        <v/>
      </c>
      <c r="U23" s="25" t="str">
        <f t="array" ref="U23">IFERROR(HYPERLINK("#KPI_Master!A"&amp;MATCH(SMALL(IF(KPI_Element_Map!$E$2:$E$287=$A23,KPI_Element_Map!$A$2:$A$287),COLUMNS($J23:U23)),KPI_Master!$A:$A,0)&amp;":P"&amp;MATCH(SMALL(IF(KPI_Element_Map!$E$2:$E$287=$A23,KPI_Element_Map!$A$2:$A$287),COLUMNS($J23:U23)),KPI_Master!$A:$A,0),SMALL(IF(KPI_Element_Map!$E$2:$E$287=$A23,KPI_Element_Map!$A$2:$A$287),COLUMNS($J23:U23))),"")</f>
        <v/>
      </c>
      <c r="V23" s="25" t="str">
        <f t="array" ref="V23">IFERROR(HYPERLINK("#KPI_Master!A"&amp;MATCH(SMALL(IF(KPI_Element_Map!$E$2:$E$287=$A23,KPI_Element_Map!$A$2:$A$287),COLUMNS($J23:V23)),KPI_Master!$A:$A,0)&amp;":P"&amp;MATCH(SMALL(IF(KPI_Element_Map!$E$2:$E$287=$A23,KPI_Element_Map!$A$2:$A$287),COLUMNS($J23:V23)),KPI_Master!$A:$A,0),SMALL(IF(KPI_Element_Map!$E$2:$E$287=$A23,KPI_Element_Map!$A$2:$A$287),COLUMNS($J23:V23))),"")</f>
        <v/>
      </c>
      <c r="W23" s="25" t="str">
        <f t="array" ref="W23">IFERROR(HYPERLINK("#KPI_Master!A"&amp;MATCH(SMALL(IF(KPI_Element_Map!$E$2:$E$287=$A23,KPI_Element_Map!$A$2:$A$287),COLUMNS($J23:W23)),KPI_Master!$A:$A,0)&amp;":P"&amp;MATCH(SMALL(IF(KPI_Element_Map!$E$2:$E$287=$A23,KPI_Element_Map!$A$2:$A$287),COLUMNS($J23:W23)),KPI_Master!$A:$A,0),SMALL(IF(KPI_Element_Map!$E$2:$E$287=$A23,KPI_Element_Map!$A$2:$A$287),COLUMNS($J23:W23))),"")</f>
        <v/>
      </c>
      <c r="X23" s="25" t="str">
        <f t="array" ref="X23">IFERROR(HYPERLINK("#KPI_Master!A"&amp;MATCH(SMALL(IF(KPI_Element_Map!$E$2:$E$287=$A23,KPI_Element_Map!$A$2:$A$287),COLUMNS($J23:X23)),KPI_Master!$A:$A,0)&amp;":P"&amp;MATCH(SMALL(IF(KPI_Element_Map!$E$2:$E$287=$A23,KPI_Element_Map!$A$2:$A$287),COLUMNS($J23:X23)),KPI_Master!$A:$A,0),SMALL(IF(KPI_Element_Map!$E$2:$E$287=$A23,KPI_Element_Map!$A$2:$A$287),COLUMNS($J23:X23))),"")</f>
        <v/>
      </c>
      <c r="Y23" s="25" t="str">
        <f t="array" ref="Y23">IFERROR(HYPERLINK("#KPI_Master!A"&amp;MATCH(SMALL(IF(KPI_Element_Map!$E$2:$E$287=$A23,KPI_Element_Map!$A$2:$A$287),COLUMNS($J23:Y23)),KPI_Master!$A:$A,0)&amp;":P"&amp;MATCH(SMALL(IF(KPI_Element_Map!$E$2:$E$287=$A23,KPI_Element_Map!$A$2:$A$287),COLUMNS($J23:Y23)),KPI_Master!$A:$A,0),SMALL(IF(KPI_Element_Map!$E$2:$E$287=$A23,KPI_Element_Map!$A$2:$A$287),COLUMNS($J23:Y23))),"")</f>
        <v/>
      </c>
      <c r="Z23" s="25" t="str">
        <f t="array" ref="Z23">IFERROR(HYPERLINK("#KPI_Master!A"&amp;MATCH(SMALL(IF(KPI_Element_Map!$E$2:$E$287=$A23,KPI_Element_Map!$A$2:$A$287),COLUMNS($J23:Z23)),KPI_Master!$A:$A,0)&amp;":P"&amp;MATCH(SMALL(IF(KPI_Element_Map!$E$2:$E$287=$A23,KPI_Element_Map!$A$2:$A$287),COLUMNS($J23:Z23)),KPI_Master!$A:$A,0),SMALL(IF(KPI_Element_Map!$E$2:$E$287=$A23,KPI_Element_Map!$A$2:$A$287),COLUMNS($J23:Z23))),"")</f>
        <v/>
      </c>
      <c r="AA23" s="25" t="str">
        <f t="array" ref="AA23">IFERROR(HYPERLINK("#KPI_Master!A"&amp;MATCH(SMALL(IF(KPI_Element_Map!$E$2:$E$287=$A23,KPI_Element_Map!$A$2:$A$287),COLUMNS($J23:AA23)),KPI_Master!$A:$A,0)&amp;":P"&amp;MATCH(SMALL(IF(KPI_Element_Map!$E$2:$E$287=$A23,KPI_Element_Map!$A$2:$A$287),COLUMNS($J23:AA23)),KPI_Master!$A:$A,0),SMALL(IF(KPI_Element_Map!$E$2:$E$287=$A23,KPI_Element_Map!$A$2:$A$287),COLUMNS($J23:AA23))),"")</f>
        <v/>
      </c>
      <c r="AB23" s="25" t="str">
        <f t="array" ref="AB23">IFERROR(HYPERLINK("#KPI_Master!A"&amp;MATCH(SMALL(IF(KPI_Element_Map!$E$2:$E$287=$A23,KPI_Element_Map!$A$2:$A$287),COLUMNS($J23:AB23)),KPI_Master!$A:$A,0)&amp;":P"&amp;MATCH(SMALL(IF(KPI_Element_Map!$E$2:$E$287=$A23,KPI_Element_Map!$A$2:$A$287),COLUMNS($J23:AB23)),KPI_Master!$A:$A,0),SMALL(IF(KPI_Element_Map!$E$2:$E$287=$A23,KPI_Element_Map!$A$2:$A$287),COLUMNS($J23:AB23))),"")</f>
        <v/>
      </c>
      <c r="AC23" s="25" t="str">
        <f t="array" ref="AC23">IFERROR(HYPERLINK("#KPI_Master!A"&amp;MATCH(SMALL(IF(KPI_Element_Map!$E$2:$E$287=$A23,KPI_Element_Map!$A$2:$A$287),COLUMNS($J23:AC23)),KPI_Master!$A:$A,0)&amp;":P"&amp;MATCH(SMALL(IF(KPI_Element_Map!$E$2:$E$287=$A23,KPI_Element_Map!$A$2:$A$287),COLUMNS($J23:AC23)),KPI_Master!$A:$A,0),SMALL(IF(KPI_Element_Map!$E$2:$E$287=$A23,KPI_Element_Map!$A$2:$A$287),COLUMNS($J23:AC23))),"")</f>
        <v/>
      </c>
      <c r="AD23" s="25" t="str">
        <f t="array" ref="AD23">IFERROR(HYPERLINK("#KPI_Master!A"&amp;MATCH(SMALL(IF(KPI_Element_Map!$E$2:$E$287=$A23,KPI_Element_Map!$A$2:$A$287),COLUMNS($J23:AD23)),KPI_Master!$A:$A,0)&amp;":P"&amp;MATCH(SMALL(IF(KPI_Element_Map!$E$2:$E$287=$A23,KPI_Element_Map!$A$2:$A$287),COLUMNS($J23:AD23)),KPI_Master!$A:$A,0),SMALL(IF(KPI_Element_Map!$E$2:$E$287=$A23,KPI_Element_Map!$A$2:$A$287),COLUMNS($J23:AD23))),"")</f>
        <v/>
      </c>
      <c r="AE23" s="25" t="str">
        <f t="array" ref="AE23">IFERROR(HYPERLINK("#KPI_Master!A"&amp;MATCH(SMALL(IF(KPI_Element_Map!$E$2:$E$287=$A23,KPI_Element_Map!$A$2:$A$287),COLUMNS($J23:AE23)),KPI_Master!$A:$A,0)&amp;":P"&amp;MATCH(SMALL(IF(KPI_Element_Map!$E$2:$E$287=$A23,KPI_Element_Map!$A$2:$A$287),COLUMNS($J23:AE23)),KPI_Master!$A:$A,0),SMALL(IF(KPI_Element_Map!$E$2:$E$287=$A23,KPI_Element_Map!$A$2:$A$287),COLUMNS($J23:AE23))),"")</f>
        <v/>
      </c>
      <c r="AF23" s="25" t="str">
        <f t="array" ref="AF23">IFERROR(HYPERLINK("#KPI_Master!A"&amp;MATCH(SMALL(IF(KPI_Element_Map!$E$2:$E$287=$A23,KPI_Element_Map!$A$2:$A$287),COLUMNS($J23:AF23)),KPI_Master!$A:$A,0)&amp;":P"&amp;MATCH(SMALL(IF(KPI_Element_Map!$E$2:$E$287=$A23,KPI_Element_Map!$A$2:$A$287),COLUMNS($J23:AF23)),KPI_Master!$A:$A,0),SMALL(IF(KPI_Element_Map!$E$2:$E$287=$A23,KPI_Element_Map!$A$2:$A$287),COLUMNS($J23:AF23))),"")</f>
        <v/>
      </c>
      <c r="AG23" s="25" t="str">
        <f t="array" ref="AG23">IFERROR(HYPERLINK("#KPI_Master!A"&amp;MATCH(SMALL(IF(KPI_Element_Map!$E$2:$E$287=$A23,KPI_Element_Map!$A$2:$A$287),COLUMNS($J23:AG23)),KPI_Master!$A:$A,0)&amp;":P"&amp;MATCH(SMALL(IF(KPI_Element_Map!$E$2:$E$287=$A23,KPI_Element_Map!$A$2:$A$287),COLUMNS($J23:AG23)),KPI_Master!$A:$A,0),SMALL(IF(KPI_Element_Map!$E$2:$E$287=$A23,KPI_Element_Map!$A$2:$A$287),COLUMNS($J23:AG23))),"")</f>
        <v/>
      </c>
      <c r="AH23" s="25" t="str">
        <f t="array" ref="AH23">IFERROR(HYPERLINK("#KPI_Master!A"&amp;MATCH(SMALL(IF(KPI_Element_Map!$E$2:$E$287=$A23,KPI_Element_Map!$A$2:$A$287),COLUMNS($J23:AH23)),KPI_Master!$A:$A,0)&amp;":P"&amp;MATCH(SMALL(IF(KPI_Element_Map!$E$2:$E$287=$A23,KPI_Element_Map!$A$2:$A$287),COLUMNS($J23:AH23)),KPI_Master!$A:$A,0),SMALL(IF(KPI_Element_Map!$E$2:$E$287=$A23,KPI_Element_Map!$A$2:$A$287),COLUMNS($J23:AH23))),"")</f>
        <v/>
      </c>
    </row>
    <row r="24" spans="1:34" ht="42.75" customHeight="1">
      <c r="A24" s="21" t="s">
        <v>988</v>
      </c>
      <c r="B24" s="22" t="s">
        <v>989</v>
      </c>
      <c r="C24" s="23" t="s">
        <v>990</v>
      </c>
      <c r="D24" s="23" t="str">
        <f t="array" ref="D24">_xlfn.TEXTJOIN(", ",TRUE(),IF(KPI_Element_Map!$E$2:$E$287=$A24,KPI_Element_Map!$A$2:$A$287,""))</f>
        <v>18</v>
      </c>
      <c r="E24" s="21">
        <f>COUNTIF(KPI_Element_Map!$E$2:$E$287,$A24)</f>
        <v>1</v>
      </c>
      <c r="F24" s="21">
        <f>COUNTIFS(KPI_Element_Map!$E$2:$E$287,$A24,KPI_Element_Map!$D$2:$D$287,"1 - Core")</f>
        <v>1</v>
      </c>
      <c r="G24" s="24" t="s">
        <v>975</v>
      </c>
      <c r="H24" s="23" t="str">
        <f>INDEX(Minimum_Documents!$B:$B,MATCH($G24,Minimum_Documents!$A:$A,0))</f>
        <v>Monthly Financial Statement Package - consolidated (P&amp;L with budget, balance sheet, cash flow, trial balance; no department split needed)</v>
      </c>
      <c r="J24" s="25">
        <f t="array" ref="J24">IFERROR(HYPERLINK("#KPI_Master!A"&amp;MATCH(SMALL(IF(KPI_Element_Map!$E$2:$E$287=$A24,KPI_Element_Map!$A$2:$A$287),COLUMNS($J24:J24)),KPI_Master!$A:$A,0)&amp;":P"&amp;MATCH(SMALL(IF(KPI_Element_Map!$E$2:$E$287=$A24,KPI_Element_Map!$A$2:$A$287),COLUMNS($J24:J24)),KPI_Master!$A:$A,0),SMALL(IF(KPI_Element_Map!$E$2:$E$287=$A24,KPI_Element_Map!$A$2:$A$287),COLUMNS($J24:J24))),"")</f>
        <v>18</v>
      </c>
      <c r="K24" s="25" t="str">
        <f t="array" ref="K24">IFERROR(HYPERLINK("#KPI_Master!A"&amp;MATCH(SMALL(IF(KPI_Element_Map!$E$2:$E$287=$A24,KPI_Element_Map!$A$2:$A$287),COLUMNS($J24:K24)),KPI_Master!$A:$A,0)&amp;":P"&amp;MATCH(SMALL(IF(KPI_Element_Map!$E$2:$E$287=$A24,KPI_Element_Map!$A$2:$A$287),COLUMNS($J24:K24)),KPI_Master!$A:$A,0),SMALL(IF(KPI_Element_Map!$E$2:$E$287=$A24,KPI_Element_Map!$A$2:$A$287),COLUMNS($J24:K24))),"")</f>
        <v/>
      </c>
      <c r="L24" s="25" t="str">
        <f t="array" ref="L24">IFERROR(HYPERLINK("#KPI_Master!A"&amp;MATCH(SMALL(IF(KPI_Element_Map!$E$2:$E$287=$A24,KPI_Element_Map!$A$2:$A$287),COLUMNS($J24:L24)),KPI_Master!$A:$A,0)&amp;":P"&amp;MATCH(SMALL(IF(KPI_Element_Map!$E$2:$E$287=$A24,KPI_Element_Map!$A$2:$A$287),COLUMNS($J24:L24)),KPI_Master!$A:$A,0),SMALL(IF(KPI_Element_Map!$E$2:$E$287=$A24,KPI_Element_Map!$A$2:$A$287),COLUMNS($J24:L24))),"")</f>
        <v/>
      </c>
      <c r="M24" s="25" t="str">
        <f t="array" ref="M24">IFERROR(HYPERLINK("#KPI_Master!A"&amp;MATCH(SMALL(IF(KPI_Element_Map!$E$2:$E$287=$A24,KPI_Element_Map!$A$2:$A$287),COLUMNS($J24:M24)),KPI_Master!$A:$A,0)&amp;":P"&amp;MATCH(SMALL(IF(KPI_Element_Map!$E$2:$E$287=$A24,KPI_Element_Map!$A$2:$A$287),COLUMNS($J24:M24)),KPI_Master!$A:$A,0),SMALL(IF(KPI_Element_Map!$E$2:$E$287=$A24,KPI_Element_Map!$A$2:$A$287),COLUMNS($J24:M24))),"")</f>
        <v/>
      </c>
      <c r="N24" s="25" t="str">
        <f t="array" ref="N24">IFERROR(HYPERLINK("#KPI_Master!A"&amp;MATCH(SMALL(IF(KPI_Element_Map!$E$2:$E$287=$A24,KPI_Element_Map!$A$2:$A$287),COLUMNS($J24:N24)),KPI_Master!$A:$A,0)&amp;":P"&amp;MATCH(SMALL(IF(KPI_Element_Map!$E$2:$E$287=$A24,KPI_Element_Map!$A$2:$A$287),COLUMNS($J24:N24)),KPI_Master!$A:$A,0),SMALL(IF(KPI_Element_Map!$E$2:$E$287=$A24,KPI_Element_Map!$A$2:$A$287),COLUMNS($J24:N24))),"")</f>
        <v/>
      </c>
      <c r="O24" s="25" t="str">
        <f t="array" ref="O24">IFERROR(HYPERLINK("#KPI_Master!A"&amp;MATCH(SMALL(IF(KPI_Element_Map!$E$2:$E$287=$A24,KPI_Element_Map!$A$2:$A$287),COLUMNS($J24:O24)),KPI_Master!$A:$A,0)&amp;":P"&amp;MATCH(SMALL(IF(KPI_Element_Map!$E$2:$E$287=$A24,KPI_Element_Map!$A$2:$A$287),COLUMNS($J24:O24)),KPI_Master!$A:$A,0),SMALL(IF(KPI_Element_Map!$E$2:$E$287=$A24,KPI_Element_Map!$A$2:$A$287),COLUMNS($J24:O24))),"")</f>
        <v/>
      </c>
      <c r="P24" s="25" t="str">
        <f t="array" ref="P24">IFERROR(HYPERLINK("#KPI_Master!A"&amp;MATCH(SMALL(IF(KPI_Element_Map!$E$2:$E$287=$A24,KPI_Element_Map!$A$2:$A$287),COLUMNS($J24:P24)),KPI_Master!$A:$A,0)&amp;":P"&amp;MATCH(SMALL(IF(KPI_Element_Map!$E$2:$E$287=$A24,KPI_Element_Map!$A$2:$A$287),COLUMNS($J24:P24)),KPI_Master!$A:$A,0),SMALL(IF(KPI_Element_Map!$E$2:$E$287=$A24,KPI_Element_Map!$A$2:$A$287),COLUMNS($J24:P24))),"")</f>
        <v/>
      </c>
      <c r="Q24" s="25" t="str">
        <f t="array" ref="Q24">IFERROR(HYPERLINK("#KPI_Master!A"&amp;MATCH(SMALL(IF(KPI_Element_Map!$E$2:$E$287=$A24,KPI_Element_Map!$A$2:$A$287),COLUMNS($J24:Q24)),KPI_Master!$A:$A,0)&amp;":P"&amp;MATCH(SMALL(IF(KPI_Element_Map!$E$2:$E$287=$A24,KPI_Element_Map!$A$2:$A$287),COLUMNS($J24:Q24)),KPI_Master!$A:$A,0),SMALL(IF(KPI_Element_Map!$E$2:$E$287=$A24,KPI_Element_Map!$A$2:$A$287),COLUMNS($J24:Q24))),"")</f>
        <v/>
      </c>
      <c r="R24" s="25" t="str">
        <f t="array" ref="R24">IFERROR(HYPERLINK("#KPI_Master!A"&amp;MATCH(SMALL(IF(KPI_Element_Map!$E$2:$E$287=$A24,KPI_Element_Map!$A$2:$A$287),COLUMNS($J24:R24)),KPI_Master!$A:$A,0)&amp;":P"&amp;MATCH(SMALL(IF(KPI_Element_Map!$E$2:$E$287=$A24,KPI_Element_Map!$A$2:$A$287),COLUMNS($J24:R24)),KPI_Master!$A:$A,0),SMALL(IF(KPI_Element_Map!$E$2:$E$287=$A24,KPI_Element_Map!$A$2:$A$287),COLUMNS($J24:R24))),"")</f>
        <v/>
      </c>
      <c r="S24" s="25" t="str">
        <f t="array" ref="S24">IFERROR(HYPERLINK("#KPI_Master!A"&amp;MATCH(SMALL(IF(KPI_Element_Map!$E$2:$E$287=$A24,KPI_Element_Map!$A$2:$A$287),COLUMNS($J24:S24)),KPI_Master!$A:$A,0)&amp;":P"&amp;MATCH(SMALL(IF(KPI_Element_Map!$E$2:$E$287=$A24,KPI_Element_Map!$A$2:$A$287),COLUMNS($J24:S24)),KPI_Master!$A:$A,0),SMALL(IF(KPI_Element_Map!$E$2:$E$287=$A24,KPI_Element_Map!$A$2:$A$287),COLUMNS($J24:S24))),"")</f>
        <v/>
      </c>
      <c r="T24" s="25" t="str">
        <f t="array" ref="T24">IFERROR(HYPERLINK("#KPI_Master!A"&amp;MATCH(SMALL(IF(KPI_Element_Map!$E$2:$E$287=$A24,KPI_Element_Map!$A$2:$A$287),COLUMNS($J24:T24)),KPI_Master!$A:$A,0)&amp;":P"&amp;MATCH(SMALL(IF(KPI_Element_Map!$E$2:$E$287=$A24,KPI_Element_Map!$A$2:$A$287),COLUMNS($J24:T24)),KPI_Master!$A:$A,0),SMALL(IF(KPI_Element_Map!$E$2:$E$287=$A24,KPI_Element_Map!$A$2:$A$287),COLUMNS($J24:T24))),"")</f>
        <v/>
      </c>
      <c r="U24" s="25" t="str">
        <f t="array" ref="U24">IFERROR(HYPERLINK("#KPI_Master!A"&amp;MATCH(SMALL(IF(KPI_Element_Map!$E$2:$E$287=$A24,KPI_Element_Map!$A$2:$A$287),COLUMNS($J24:U24)),KPI_Master!$A:$A,0)&amp;":P"&amp;MATCH(SMALL(IF(KPI_Element_Map!$E$2:$E$287=$A24,KPI_Element_Map!$A$2:$A$287),COLUMNS($J24:U24)),KPI_Master!$A:$A,0),SMALL(IF(KPI_Element_Map!$E$2:$E$287=$A24,KPI_Element_Map!$A$2:$A$287),COLUMNS($J24:U24))),"")</f>
        <v/>
      </c>
      <c r="V24" s="25" t="str">
        <f t="array" ref="V24">IFERROR(HYPERLINK("#KPI_Master!A"&amp;MATCH(SMALL(IF(KPI_Element_Map!$E$2:$E$287=$A24,KPI_Element_Map!$A$2:$A$287),COLUMNS($J24:V24)),KPI_Master!$A:$A,0)&amp;":P"&amp;MATCH(SMALL(IF(KPI_Element_Map!$E$2:$E$287=$A24,KPI_Element_Map!$A$2:$A$287),COLUMNS($J24:V24)),KPI_Master!$A:$A,0),SMALL(IF(KPI_Element_Map!$E$2:$E$287=$A24,KPI_Element_Map!$A$2:$A$287),COLUMNS($J24:V24))),"")</f>
        <v/>
      </c>
      <c r="W24" s="25" t="str">
        <f t="array" ref="W24">IFERROR(HYPERLINK("#KPI_Master!A"&amp;MATCH(SMALL(IF(KPI_Element_Map!$E$2:$E$287=$A24,KPI_Element_Map!$A$2:$A$287),COLUMNS($J24:W24)),KPI_Master!$A:$A,0)&amp;":P"&amp;MATCH(SMALL(IF(KPI_Element_Map!$E$2:$E$287=$A24,KPI_Element_Map!$A$2:$A$287),COLUMNS($J24:W24)),KPI_Master!$A:$A,0),SMALL(IF(KPI_Element_Map!$E$2:$E$287=$A24,KPI_Element_Map!$A$2:$A$287),COLUMNS($J24:W24))),"")</f>
        <v/>
      </c>
      <c r="X24" s="25" t="str">
        <f t="array" ref="X24">IFERROR(HYPERLINK("#KPI_Master!A"&amp;MATCH(SMALL(IF(KPI_Element_Map!$E$2:$E$287=$A24,KPI_Element_Map!$A$2:$A$287),COLUMNS($J24:X24)),KPI_Master!$A:$A,0)&amp;":P"&amp;MATCH(SMALL(IF(KPI_Element_Map!$E$2:$E$287=$A24,KPI_Element_Map!$A$2:$A$287),COLUMNS($J24:X24)),KPI_Master!$A:$A,0),SMALL(IF(KPI_Element_Map!$E$2:$E$287=$A24,KPI_Element_Map!$A$2:$A$287),COLUMNS($J24:X24))),"")</f>
        <v/>
      </c>
      <c r="Y24" s="25" t="str">
        <f t="array" ref="Y24">IFERROR(HYPERLINK("#KPI_Master!A"&amp;MATCH(SMALL(IF(KPI_Element_Map!$E$2:$E$287=$A24,KPI_Element_Map!$A$2:$A$287),COLUMNS($J24:Y24)),KPI_Master!$A:$A,0)&amp;":P"&amp;MATCH(SMALL(IF(KPI_Element_Map!$E$2:$E$287=$A24,KPI_Element_Map!$A$2:$A$287),COLUMNS($J24:Y24)),KPI_Master!$A:$A,0),SMALL(IF(KPI_Element_Map!$E$2:$E$287=$A24,KPI_Element_Map!$A$2:$A$287),COLUMNS($J24:Y24))),"")</f>
        <v/>
      </c>
      <c r="Z24" s="25" t="str">
        <f t="array" ref="Z24">IFERROR(HYPERLINK("#KPI_Master!A"&amp;MATCH(SMALL(IF(KPI_Element_Map!$E$2:$E$287=$A24,KPI_Element_Map!$A$2:$A$287),COLUMNS($J24:Z24)),KPI_Master!$A:$A,0)&amp;":P"&amp;MATCH(SMALL(IF(KPI_Element_Map!$E$2:$E$287=$A24,KPI_Element_Map!$A$2:$A$287),COLUMNS($J24:Z24)),KPI_Master!$A:$A,0),SMALL(IF(KPI_Element_Map!$E$2:$E$287=$A24,KPI_Element_Map!$A$2:$A$287),COLUMNS($J24:Z24))),"")</f>
        <v/>
      </c>
      <c r="AA24" s="25" t="str">
        <f t="array" ref="AA24">IFERROR(HYPERLINK("#KPI_Master!A"&amp;MATCH(SMALL(IF(KPI_Element_Map!$E$2:$E$287=$A24,KPI_Element_Map!$A$2:$A$287),COLUMNS($J24:AA24)),KPI_Master!$A:$A,0)&amp;":P"&amp;MATCH(SMALL(IF(KPI_Element_Map!$E$2:$E$287=$A24,KPI_Element_Map!$A$2:$A$287),COLUMNS($J24:AA24)),KPI_Master!$A:$A,0),SMALL(IF(KPI_Element_Map!$E$2:$E$287=$A24,KPI_Element_Map!$A$2:$A$287),COLUMNS($J24:AA24))),"")</f>
        <v/>
      </c>
      <c r="AB24" s="25" t="str">
        <f t="array" ref="AB24">IFERROR(HYPERLINK("#KPI_Master!A"&amp;MATCH(SMALL(IF(KPI_Element_Map!$E$2:$E$287=$A24,KPI_Element_Map!$A$2:$A$287),COLUMNS($J24:AB24)),KPI_Master!$A:$A,0)&amp;":P"&amp;MATCH(SMALL(IF(KPI_Element_Map!$E$2:$E$287=$A24,KPI_Element_Map!$A$2:$A$287),COLUMNS($J24:AB24)),KPI_Master!$A:$A,0),SMALL(IF(KPI_Element_Map!$E$2:$E$287=$A24,KPI_Element_Map!$A$2:$A$287),COLUMNS($J24:AB24))),"")</f>
        <v/>
      </c>
      <c r="AC24" s="25" t="str">
        <f t="array" ref="AC24">IFERROR(HYPERLINK("#KPI_Master!A"&amp;MATCH(SMALL(IF(KPI_Element_Map!$E$2:$E$287=$A24,KPI_Element_Map!$A$2:$A$287),COLUMNS($J24:AC24)),KPI_Master!$A:$A,0)&amp;":P"&amp;MATCH(SMALL(IF(KPI_Element_Map!$E$2:$E$287=$A24,KPI_Element_Map!$A$2:$A$287),COLUMNS($J24:AC24)),KPI_Master!$A:$A,0),SMALL(IF(KPI_Element_Map!$E$2:$E$287=$A24,KPI_Element_Map!$A$2:$A$287),COLUMNS($J24:AC24))),"")</f>
        <v/>
      </c>
      <c r="AD24" s="25" t="str">
        <f t="array" ref="AD24">IFERROR(HYPERLINK("#KPI_Master!A"&amp;MATCH(SMALL(IF(KPI_Element_Map!$E$2:$E$287=$A24,KPI_Element_Map!$A$2:$A$287),COLUMNS($J24:AD24)),KPI_Master!$A:$A,0)&amp;":P"&amp;MATCH(SMALL(IF(KPI_Element_Map!$E$2:$E$287=$A24,KPI_Element_Map!$A$2:$A$287),COLUMNS($J24:AD24)),KPI_Master!$A:$A,0),SMALL(IF(KPI_Element_Map!$E$2:$E$287=$A24,KPI_Element_Map!$A$2:$A$287),COLUMNS($J24:AD24))),"")</f>
        <v/>
      </c>
      <c r="AE24" s="25" t="str">
        <f t="array" ref="AE24">IFERROR(HYPERLINK("#KPI_Master!A"&amp;MATCH(SMALL(IF(KPI_Element_Map!$E$2:$E$287=$A24,KPI_Element_Map!$A$2:$A$287),COLUMNS($J24:AE24)),KPI_Master!$A:$A,0)&amp;":P"&amp;MATCH(SMALL(IF(KPI_Element_Map!$E$2:$E$287=$A24,KPI_Element_Map!$A$2:$A$287),COLUMNS($J24:AE24)),KPI_Master!$A:$A,0),SMALL(IF(KPI_Element_Map!$E$2:$E$287=$A24,KPI_Element_Map!$A$2:$A$287),COLUMNS($J24:AE24))),"")</f>
        <v/>
      </c>
      <c r="AF24" s="25" t="str">
        <f t="array" ref="AF24">IFERROR(HYPERLINK("#KPI_Master!A"&amp;MATCH(SMALL(IF(KPI_Element_Map!$E$2:$E$287=$A24,KPI_Element_Map!$A$2:$A$287),COLUMNS($J24:AF24)),KPI_Master!$A:$A,0)&amp;":P"&amp;MATCH(SMALL(IF(KPI_Element_Map!$E$2:$E$287=$A24,KPI_Element_Map!$A$2:$A$287),COLUMNS($J24:AF24)),KPI_Master!$A:$A,0),SMALL(IF(KPI_Element_Map!$E$2:$E$287=$A24,KPI_Element_Map!$A$2:$A$287),COLUMNS($J24:AF24))),"")</f>
        <v/>
      </c>
      <c r="AG24" s="25" t="str">
        <f t="array" ref="AG24">IFERROR(HYPERLINK("#KPI_Master!A"&amp;MATCH(SMALL(IF(KPI_Element_Map!$E$2:$E$287=$A24,KPI_Element_Map!$A$2:$A$287),COLUMNS($J24:AG24)),KPI_Master!$A:$A,0)&amp;":P"&amp;MATCH(SMALL(IF(KPI_Element_Map!$E$2:$E$287=$A24,KPI_Element_Map!$A$2:$A$287),COLUMNS($J24:AG24)),KPI_Master!$A:$A,0),SMALL(IF(KPI_Element_Map!$E$2:$E$287=$A24,KPI_Element_Map!$A$2:$A$287),COLUMNS($J24:AG24))),"")</f>
        <v/>
      </c>
      <c r="AH24" s="25" t="str">
        <f t="array" ref="AH24">IFERROR(HYPERLINK("#KPI_Master!A"&amp;MATCH(SMALL(IF(KPI_Element_Map!$E$2:$E$287=$A24,KPI_Element_Map!$A$2:$A$287),COLUMNS($J24:AH24)),KPI_Master!$A:$A,0)&amp;":P"&amp;MATCH(SMALL(IF(KPI_Element_Map!$E$2:$E$287=$A24,KPI_Element_Map!$A$2:$A$287),COLUMNS($J24:AH24)),KPI_Master!$A:$A,0),SMALL(IF(KPI_Element_Map!$E$2:$E$287=$A24,KPI_Element_Map!$A$2:$A$287),COLUMNS($J24:AH24))),"")</f>
        <v/>
      </c>
    </row>
    <row r="25" spans="1:34" ht="42.75" customHeight="1">
      <c r="A25" s="21" t="s">
        <v>991</v>
      </c>
      <c r="B25" s="22" t="s">
        <v>992</v>
      </c>
      <c r="C25" s="23" t="s">
        <v>993</v>
      </c>
      <c r="D25" s="23" t="str">
        <f t="array" ref="D25">_xlfn.TEXTJOIN(", ",TRUE(),IF(KPI_Element_Map!$E$2:$E$287=$A25,KPI_Element_Map!$A$2:$A$287,""))</f>
        <v>20, 30, 37, 38, 117</v>
      </c>
      <c r="E25" s="21">
        <f>COUNTIF(KPI_Element_Map!$E$2:$E$287,$A25)</f>
        <v>5</v>
      </c>
      <c r="F25" s="21">
        <f>COUNTIFS(KPI_Element_Map!$E$2:$E$287,$A25,KPI_Element_Map!$D$2:$D$287,"1 - Core")</f>
        <v>1</v>
      </c>
      <c r="G25" s="24" t="s">
        <v>975</v>
      </c>
      <c r="H25" s="23" t="str">
        <f>INDEX(Minimum_Documents!$B:$B,MATCH($G25,Minimum_Documents!$A:$A,0))</f>
        <v>Monthly Financial Statement Package - consolidated (P&amp;L with budget, balance sheet, cash flow, trial balance; no department split needed)</v>
      </c>
      <c r="J25" s="25">
        <f t="array" ref="J25">IFERROR(HYPERLINK("#KPI_Master!A"&amp;MATCH(SMALL(IF(KPI_Element_Map!$E$2:$E$287=$A25,KPI_Element_Map!$A$2:$A$287),COLUMNS($J25:J25)),KPI_Master!$A:$A,0)&amp;":P"&amp;MATCH(SMALL(IF(KPI_Element_Map!$E$2:$E$287=$A25,KPI_Element_Map!$A$2:$A$287),COLUMNS($J25:J25)),KPI_Master!$A:$A,0),SMALL(IF(KPI_Element_Map!$E$2:$E$287=$A25,KPI_Element_Map!$A$2:$A$287),COLUMNS($J25:J25))),"")</f>
        <v>20</v>
      </c>
      <c r="K25" s="25">
        <f t="array" ref="K25">IFERROR(HYPERLINK("#KPI_Master!A"&amp;MATCH(SMALL(IF(KPI_Element_Map!$E$2:$E$287=$A25,KPI_Element_Map!$A$2:$A$287),COLUMNS($J25:K25)),KPI_Master!$A:$A,0)&amp;":P"&amp;MATCH(SMALL(IF(KPI_Element_Map!$E$2:$E$287=$A25,KPI_Element_Map!$A$2:$A$287),COLUMNS($J25:K25)),KPI_Master!$A:$A,0),SMALL(IF(KPI_Element_Map!$E$2:$E$287=$A25,KPI_Element_Map!$A$2:$A$287),COLUMNS($J25:K25))),"")</f>
        <v>30</v>
      </c>
      <c r="L25" s="25">
        <f t="array" ref="L25">IFERROR(HYPERLINK("#KPI_Master!A"&amp;MATCH(SMALL(IF(KPI_Element_Map!$E$2:$E$287=$A25,KPI_Element_Map!$A$2:$A$287),COLUMNS($J25:L25)),KPI_Master!$A:$A,0)&amp;":P"&amp;MATCH(SMALL(IF(KPI_Element_Map!$E$2:$E$287=$A25,KPI_Element_Map!$A$2:$A$287),COLUMNS($J25:L25)),KPI_Master!$A:$A,0),SMALL(IF(KPI_Element_Map!$E$2:$E$287=$A25,KPI_Element_Map!$A$2:$A$287),COLUMNS($J25:L25))),"")</f>
        <v>37</v>
      </c>
      <c r="M25" s="25">
        <f t="array" ref="M25">IFERROR(HYPERLINK("#KPI_Master!A"&amp;MATCH(SMALL(IF(KPI_Element_Map!$E$2:$E$287=$A25,KPI_Element_Map!$A$2:$A$287),COLUMNS($J25:M25)),KPI_Master!$A:$A,0)&amp;":P"&amp;MATCH(SMALL(IF(KPI_Element_Map!$E$2:$E$287=$A25,KPI_Element_Map!$A$2:$A$287),COLUMNS($J25:M25)),KPI_Master!$A:$A,0),SMALL(IF(KPI_Element_Map!$E$2:$E$287=$A25,KPI_Element_Map!$A$2:$A$287),COLUMNS($J25:M25))),"")</f>
        <v>38</v>
      </c>
      <c r="N25" s="25">
        <f t="array" ref="N25">IFERROR(HYPERLINK("#KPI_Master!A"&amp;MATCH(SMALL(IF(KPI_Element_Map!$E$2:$E$287=$A25,KPI_Element_Map!$A$2:$A$287),COLUMNS($J25:N25)),KPI_Master!$A:$A,0)&amp;":P"&amp;MATCH(SMALL(IF(KPI_Element_Map!$E$2:$E$287=$A25,KPI_Element_Map!$A$2:$A$287),COLUMNS($J25:N25)),KPI_Master!$A:$A,0),SMALL(IF(KPI_Element_Map!$E$2:$E$287=$A25,KPI_Element_Map!$A$2:$A$287),COLUMNS($J25:N25))),"")</f>
        <v>117</v>
      </c>
      <c r="O25" s="25" t="str">
        <f t="array" ref="O25">IFERROR(HYPERLINK("#KPI_Master!A"&amp;MATCH(SMALL(IF(KPI_Element_Map!$E$2:$E$287=$A25,KPI_Element_Map!$A$2:$A$287),COLUMNS($J25:O25)),KPI_Master!$A:$A,0)&amp;":P"&amp;MATCH(SMALL(IF(KPI_Element_Map!$E$2:$E$287=$A25,KPI_Element_Map!$A$2:$A$287),COLUMNS($J25:O25)),KPI_Master!$A:$A,0),SMALL(IF(KPI_Element_Map!$E$2:$E$287=$A25,KPI_Element_Map!$A$2:$A$287),COLUMNS($J25:O25))),"")</f>
        <v/>
      </c>
      <c r="P25" s="25" t="str">
        <f t="array" ref="P25">IFERROR(HYPERLINK("#KPI_Master!A"&amp;MATCH(SMALL(IF(KPI_Element_Map!$E$2:$E$287=$A25,KPI_Element_Map!$A$2:$A$287),COLUMNS($J25:P25)),KPI_Master!$A:$A,0)&amp;":P"&amp;MATCH(SMALL(IF(KPI_Element_Map!$E$2:$E$287=$A25,KPI_Element_Map!$A$2:$A$287),COLUMNS($J25:P25)),KPI_Master!$A:$A,0),SMALL(IF(KPI_Element_Map!$E$2:$E$287=$A25,KPI_Element_Map!$A$2:$A$287),COLUMNS($J25:P25))),"")</f>
        <v/>
      </c>
      <c r="Q25" s="25" t="str">
        <f t="array" ref="Q25">IFERROR(HYPERLINK("#KPI_Master!A"&amp;MATCH(SMALL(IF(KPI_Element_Map!$E$2:$E$287=$A25,KPI_Element_Map!$A$2:$A$287),COLUMNS($J25:Q25)),KPI_Master!$A:$A,0)&amp;":P"&amp;MATCH(SMALL(IF(KPI_Element_Map!$E$2:$E$287=$A25,KPI_Element_Map!$A$2:$A$287),COLUMNS($J25:Q25)),KPI_Master!$A:$A,0),SMALL(IF(KPI_Element_Map!$E$2:$E$287=$A25,KPI_Element_Map!$A$2:$A$287),COLUMNS($J25:Q25))),"")</f>
        <v/>
      </c>
      <c r="R25" s="25" t="str">
        <f t="array" ref="R25">IFERROR(HYPERLINK("#KPI_Master!A"&amp;MATCH(SMALL(IF(KPI_Element_Map!$E$2:$E$287=$A25,KPI_Element_Map!$A$2:$A$287),COLUMNS($J25:R25)),KPI_Master!$A:$A,0)&amp;":P"&amp;MATCH(SMALL(IF(KPI_Element_Map!$E$2:$E$287=$A25,KPI_Element_Map!$A$2:$A$287),COLUMNS($J25:R25)),KPI_Master!$A:$A,0),SMALL(IF(KPI_Element_Map!$E$2:$E$287=$A25,KPI_Element_Map!$A$2:$A$287),COLUMNS($J25:R25))),"")</f>
        <v/>
      </c>
      <c r="S25" s="25" t="str">
        <f t="array" ref="S25">IFERROR(HYPERLINK("#KPI_Master!A"&amp;MATCH(SMALL(IF(KPI_Element_Map!$E$2:$E$287=$A25,KPI_Element_Map!$A$2:$A$287),COLUMNS($J25:S25)),KPI_Master!$A:$A,0)&amp;":P"&amp;MATCH(SMALL(IF(KPI_Element_Map!$E$2:$E$287=$A25,KPI_Element_Map!$A$2:$A$287),COLUMNS($J25:S25)),KPI_Master!$A:$A,0),SMALL(IF(KPI_Element_Map!$E$2:$E$287=$A25,KPI_Element_Map!$A$2:$A$287),COLUMNS($J25:S25))),"")</f>
        <v/>
      </c>
      <c r="T25" s="25" t="str">
        <f t="array" ref="T25">IFERROR(HYPERLINK("#KPI_Master!A"&amp;MATCH(SMALL(IF(KPI_Element_Map!$E$2:$E$287=$A25,KPI_Element_Map!$A$2:$A$287),COLUMNS($J25:T25)),KPI_Master!$A:$A,0)&amp;":P"&amp;MATCH(SMALL(IF(KPI_Element_Map!$E$2:$E$287=$A25,KPI_Element_Map!$A$2:$A$287),COLUMNS($J25:T25)),KPI_Master!$A:$A,0),SMALL(IF(KPI_Element_Map!$E$2:$E$287=$A25,KPI_Element_Map!$A$2:$A$287),COLUMNS($J25:T25))),"")</f>
        <v/>
      </c>
      <c r="U25" s="25" t="str">
        <f t="array" ref="U25">IFERROR(HYPERLINK("#KPI_Master!A"&amp;MATCH(SMALL(IF(KPI_Element_Map!$E$2:$E$287=$A25,KPI_Element_Map!$A$2:$A$287),COLUMNS($J25:U25)),KPI_Master!$A:$A,0)&amp;":P"&amp;MATCH(SMALL(IF(KPI_Element_Map!$E$2:$E$287=$A25,KPI_Element_Map!$A$2:$A$287),COLUMNS($J25:U25)),KPI_Master!$A:$A,0),SMALL(IF(KPI_Element_Map!$E$2:$E$287=$A25,KPI_Element_Map!$A$2:$A$287),COLUMNS($J25:U25))),"")</f>
        <v/>
      </c>
      <c r="V25" s="25" t="str">
        <f t="array" ref="V25">IFERROR(HYPERLINK("#KPI_Master!A"&amp;MATCH(SMALL(IF(KPI_Element_Map!$E$2:$E$287=$A25,KPI_Element_Map!$A$2:$A$287),COLUMNS($J25:V25)),KPI_Master!$A:$A,0)&amp;":P"&amp;MATCH(SMALL(IF(KPI_Element_Map!$E$2:$E$287=$A25,KPI_Element_Map!$A$2:$A$287),COLUMNS($J25:V25)),KPI_Master!$A:$A,0),SMALL(IF(KPI_Element_Map!$E$2:$E$287=$A25,KPI_Element_Map!$A$2:$A$287),COLUMNS($J25:V25))),"")</f>
        <v/>
      </c>
      <c r="W25" s="25" t="str">
        <f t="array" ref="W25">IFERROR(HYPERLINK("#KPI_Master!A"&amp;MATCH(SMALL(IF(KPI_Element_Map!$E$2:$E$287=$A25,KPI_Element_Map!$A$2:$A$287),COLUMNS($J25:W25)),KPI_Master!$A:$A,0)&amp;":P"&amp;MATCH(SMALL(IF(KPI_Element_Map!$E$2:$E$287=$A25,KPI_Element_Map!$A$2:$A$287),COLUMNS($J25:W25)),KPI_Master!$A:$A,0),SMALL(IF(KPI_Element_Map!$E$2:$E$287=$A25,KPI_Element_Map!$A$2:$A$287),COLUMNS($J25:W25))),"")</f>
        <v/>
      </c>
      <c r="X25" s="25" t="str">
        <f t="array" ref="X25">IFERROR(HYPERLINK("#KPI_Master!A"&amp;MATCH(SMALL(IF(KPI_Element_Map!$E$2:$E$287=$A25,KPI_Element_Map!$A$2:$A$287),COLUMNS($J25:X25)),KPI_Master!$A:$A,0)&amp;":P"&amp;MATCH(SMALL(IF(KPI_Element_Map!$E$2:$E$287=$A25,KPI_Element_Map!$A$2:$A$287),COLUMNS($J25:X25)),KPI_Master!$A:$A,0),SMALL(IF(KPI_Element_Map!$E$2:$E$287=$A25,KPI_Element_Map!$A$2:$A$287),COLUMNS($J25:X25))),"")</f>
        <v/>
      </c>
      <c r="Y25" s="25" t="str">
        <f t="array" ref="Y25">IFERROR(HYPERLINK("#KPI_Master!A"&amp;MATCH(SMALL(IF(KPI_Element_Map!$E$2:$E$287=$A25,KPI_Element_Map!$A$2:$A$287),COLUMNS($J25:Y25)),KPI_Master!$A:$A,0)&amp;":P"&amp;MATCH(SMALL(IF(KPI_Element_Map!$E$2:$E$287=$A25,KPI_Element_Map!$A$2:$A$287),COLUMNS($J25:Y25)),KPI_Master!$A:$A,0),SMALL(IF(KPI_Element_Map!$E$2:$E$287=$A25,KPI_Element_Map!$A$2:$A$287),COLUMNS($J25:Y25))),"")</f>
        <v/>
      </c>
      <c r="Z25" s="25" t="str">
        <f t="array" ref="Z25">IFERROR(HYPERLINK("#KPI_Master!A"&amp;MATCH(SMALL(IF(KPI_Element_Map!$E$2:$E$287=$A25,KPI_Element_Map!$A$2:$A$287),COLUMNS($J25:Z25)),KPI_Master!$A:$A,0)&amp;":P"&amp;MATCH(SMALL(IF(KPI_Element_Map!$E$2:$E$287=$A25,KPI_Element_Map!$A$2:$A$287),COLUMNS($J25:Z25)),KPI_Master!$A:$A,0),SMALL(IF(KPI_Element_Map!$E$2:$E$287=$A25,KPI_Element_Map!$A$2:$A$287),COLUMNS($J25:Z25))),"")</f>
        <v/>
      </c>
      <c r="AA25" s="25" t="str">
        <f t="array" ref="AA25">IFERROR(HYPERLINK("#KPI_Master!A"&amp;MATCH(SMALL(IF(KPI_Element_Map!$E$2:$E$287=$A25,KPI_Element_Map!$A$2:$A$287),COLUMNS($J25:AA25)),KPI_Master!$A:$A,0)&amp;":P"&amp;MATCH(SMALL(IF(KPI_Element_Map!$E$2:$E$287=$A25,KPI_Element_Map!$A$2:$A$287),COLUMNS($J25:AA25)),KPI_Master!$A:$A,0),SMALL(IF(KPI_Element_Map!$E$2:$E$287=$A25,KPI_Element_Map!$A$2:$A$287),COLUMNS($J25:AA25))),"")</f>
        <v/>
      </c>
      <c r="AB25" s="25" t="str">
        <f t="array" ref="AB25">IFERROR(HYPERLINK("#KPI_Master!A"&amp;MATCH(SMALL(IF(KPI_Element_Map!$E$2:$E$287=$A25,KPI_Element_Map!$A$2:$A$287),COLUMNS($J25:AB25)),KPI_Master!$A:$A,0)&amp;":P"&amp;MATCH(SMALL(IF(KPI_Element_Map!$E$2:$E$287=$A25,KPI_Element_Map!$A$2:$A$287),COLUMNS($J25:AB25)),KPI_Master!$A:$A,0),SMALL(IF(KPI_Element_Map!$E$2:$E$287=$A25,KPI_Element_Map!$A$2:$A$287),COLUMNS($J25:AB25))),"")</f>
        <v/>
      </c>
      <c r="AC25" s="25" t="str">
        <f t="array" ref="AC25">IFERROR(HYPERLINK("#KPI_Master!A"&amp;MATCH(SMALL(IF(KPI_Element_Map!$E$2:$E$287=$A25,KPI_Element_Map!$A$2:$A$287),COLUMNS($J25:AC25)),KPI_Master!$A:$A,0)&amp;":P"&amp;MATCH(SMALL(IF(KPI_Element_Map!$E$2:$E$287=$A25,KPI_Element_Map!$A$2:$A$287),COLUMNS($J25:AC25)),KPI_Master!$A:$A,0),SMALL(IF(KPI_Element_Map!$E$2:$E$287=$A25,KPI_Element_Map!$A$2:$A$287),COLUMNS($J25:AC25))),"")</f>
        <v/>
      </c>
      <c r="AD25" s="25" t="str">
        <f t="array" ref="AD25">IFERROR(HYPERLINK("#KPI_Master!A"&amp;MATCH(SMALL(IF(KPI_Element_Map!$E$2:$E$287=$A25,KPI_Element_Map!$A$2:$A$287),COLUMNS($J25:AD25)),KPI_Master!$A:$A,0)&amp;":P"&amp;MATCH(SMALL(IF(KPI_Element_Map!$E$2:$E$287=$A25,KPI_Element_Map!$A$2:$A$287),COLUMNS($J25:AD25)),KPI_Master!$A:$A,0),SMALL(IF(KPI_Element_Map!$E$2:$E$287=$A25,KPI_Element_Map!$A$2:$A$287),COLUMNS($J25:AD25))),"")</f>
        <v/>
      </c>
      <c r="AE25" s="25" t="str">
        <f t="array" ref="AE25">IFERROR(HYPERLINK("#KPI_Master!A"&amp;MATCH(SMALL(IF(KPI_Element_Map!$E$2:$E$287=$A25,KPI_Element_Map!$A$2:$A$287),COLUMNS($J25:AE25)),KPI_Master!$A:$A,0)&amp;":P"&amp;MATCH(SMALL(IF(KPI_Element_Map!$E$2:$E$287=$A25,KPI_Element_Map!$A$2:$A$287),COLUMNS($J25:AE25)),KPI_Master!$A:$A,0),SMALL(IF(KPI_Element_Map!$E$2:$E$287=$A25,KPI_Element_Map!$A$2:$A$287),COLUMNS($J25:AE25))),"")</f>
        <v/>
      </c>
      <c r="AF25" s="25" t="str">
        <f t="array" ref="AF25">IFERROR(HYPERLINK("#KPI_Master!A"&amp;MATCH(SMALL(IF(KPI_Element_Map!$E$2:$E$287=$A25,KPI_Element_Map!$A$2:$A$287),COLUMNS($J25:AF25)),KPI_Master!$A:$A,0)&amp;":P"&amp;MATCH(SMALL(IF(KPI_Element_Map!$E$2:$E$287=$A25,KPI_Element_Map!$A$2:$A$287),COLUMNS($J25:AF25)),KPI_Master!$A:$A,0),SMALL(IF(KPI_Element_Map!$E$2:$E$287=$A25,KPI_Element_Map!$A$2:$A$287),COLUMNS($J25:AF25))),"")</f>
        <v/>
      </c>
      <c r="AG25" s="25" t="str">
        <f t="array" ref="AG25">IFERROR(HYPERLINK("#KPI_Master!A"&amp;MATCH(SMALL(IF(KPI_Element_Map!$E$2:$E$287=$A25,KPI_Element_Map!$A$2:$A$287),COLUMNS($J25:AG25)),KPI_Master!$A:$A,0)&amp;":P"&amp;MATCH(SMALL(IF(KPI_Element_Map!$E$2:$E$287=$A25,KPI_Element_Map!$A$2:$A$287),COLUMNS($J25:AG25)),KPI_Master!$A:$A,0),SMALL(IF(KPI_Element_Map!$E$2:$E$287=$A25,KPI_Element_Map!$A$2:$A$287),COLUMNS($J25:AG25))),"")</f>
        <v/>
      </c>
      <c r="AH25" s="25" t="str">
        <f t="array" ref="AH25">IFERROR(HYPERLINK("#KPI_Master!A"&amp;MATCH(SMALL(IF(KPI_Element_Map!$E$2:$E$287=$A25,KPI_Element_Map!$A$2:$A$287),COLUMNS($J25:AH25)),KPI_Master!$A:$A,0)&amp;":P"&amp;MATCH(SMALL(IF(KPI_Element_Map!$E$2:$E$287=$A25,KPI_Element_Map!$A$2:$A$287),COLUMNS($J25:AH25)),KPI_Master!$A:$A,0),SMALL(IF(KPI_Element_Map!$E$2:$E$287=$A25,KPI_Element_Map!$A$2:$A$287),COLUMNS($J25:AH25))),"")</f>
        <v/>
      </c>
    </row>
    <row r="26" spans="1:34" ht="42.75" customHeight="1">
      <c r="A26" s="21" t="s">
        <v>994</v>
      </c>
      <c r="B26" s="22" t="s">
        <v>995</v>
      </c>
      <c r="C26" s="23" t="s">
        <v>996</v>
      </c>
      <c r="D26" s="23" t="str">
        <f t="array" ref="D26">_xlfn.TEXTJOIN(", ",TRUE(),IF(KPI_Element_Map!$E$2:$E$287=$A26,KPI_Element_Map!$A$2:$A$287,""))</f>
        <v>21, 31, 32</v>
      </c>
      <c r="E26" s="21">
        <f>COUNTIF(KPI_Element_Map!$E$2:$E$287,$A26)</f>
        <v>3</v>
      </c>
      <c r="F26" s="21">
        <f>COUNTIFS(KPI_Element_Map!$E$2:$E$287,$A26,KPI_Element_Map!$D$2:$D$287,"1 - Core")</f>
        <v>0</v>
      </c>
      <c r="G26" s="24" t="s">
        <v>975</v>
      </c>
      <c r="H26" s="23" t="str">
        <f>INDEX(Minimum_Documents!$B:$B,MATCH($G26,Minimum_Documents!$A:$A,0))</f>
        <v>Monthly Financial Statement Package - consolidated (P&amp;L with budget, balance sheet, cash flow, trial balance; no department split needed)</v>
      </c>
      <c r="J26" s="25">
        <f t="array" ref="J26">IFERROR(HYPERLINK("#KPI_Master!A"&amp;MATCH(SMALL(IF(KPI_Element_Map!$E$2:$E$287=$A26,KPI_Element_Map!$A$2:$A$287),COLUMNS($J26:J26)),KPI_Master!$A:$A,0)&amp;":P"&amp;MATCH(SMALL(IF(KPI_Element_Map!$E$2:$E$287=$A26,KPI_Element_Map!$A$2:$A$287),COLUMNS($J26:J26)),KPI_Master!$A:$A,0),SMALL(IF(KPI_Element_Map!$E$2:$E$287=$A26,KPI_Element_Map!$A$2:$A$287),COLUMNS($J26:J26))),"")</f>
        <v>21</v>
      </c>
      <c r="K26" s="25">
        <f t="array" ref="K26">IFERROR(HYPERLINK("#KPI_Master!A"&amp;MATCH(SMALL(IF(KPI_Element_Map!$E$2:$E$287=$A26,KPI_Element_Map!$A$2:$A$287),COLUMNS($J26:K26)),KPI_Master!$A:$A,0)&amp;":P"&amp;MATCH(SMALL(IF(KPI_Element_Map!$E$2:$E$287=$A26,KPI_Element_Map!$A$2:$A$287),COLUMNS($J26:K26)),KPI_Master!$A:$A,0),SMALL(IF(KPI_Element_Map!$E$2:$E$287=$A26,KPI_Element_Map!$A$2:$A$287),COLUMNS($J26:K26))),"")</f>
        <v>31</v>
      </c>
      <c r="L26" s="25">
        <f t="array" ref="L26">IFERROR(HYPERLINK("#KPI_Master!A"&amp;MATCH(SMALL(IF(KPI_Element_Map!$E$2:$E$287=$A26,KPI_Element_Map!$A$2:$A$287),COLUMNS($J26:L26)),KPI_Master!$A:$A,0)&amp;":P"&amp;MATCH(SMALL(IF(KPI_Element_Map!$E$2:$E$287=$A26,KPI_Element_Map!$A$2:$A$287),COLUMNS($J26:L26)),KPI_Master!$A:$A,0),SMALL(IF(KPI_Element_Map!$E$2:$E$287=$A26,KPI_Element_Map!$A$2:$A$287),COLUMNS($J26:L26))),"")</f>
        <v>32</v>
      </c>
      <c r="M26" s="25" t="str">
        <f t="array" ref="M26">IFERROR(HYPERLINK("#KPI_Master!A"&amp;MATCH(SMALL(IF(KPI_Element_Map!$E$2:$E$287=$A26,KPI_Element_Map!$A$2:$A$287),COLUMNS($J26:M26)),KPI_Master!$A:$A,0)&amp;":P"&amp;MATCH(SMALL(IF(KPI_Element_Map!$E$2:$E$287=$A26,KPI_Element_Map!$A$2:$A$287),COLUMNS($J26:M26)),KPI_Master!$A:$A,0),SMALL(IF(KPI_Element_Map!$E$2:$E$287=$A26,KPI_Element_Map!$A$2:$A$287),COLUMNS($J26:M26))),"")</f>
        <v/>
      </c>
      <c r="N26" s="25" t="str">
        <f t="array" ref="N26">IFERROR(HYPERLINK("#KPI_Master!A"&amp;MATCH(SMALL(IF(KPI_Element_Map!$E$2:$E$287=$A26,KPI_Element_Map!$A$2:$A$287),COLUMNS($J26:N26)),KPI_Master!$A:$A,0)&amp;":P"&amp;MATCH(SMALL(IF(KPI_Element_Map!$E$2:$E$287=$A26,KPI_Element_Map!$A$2:$A$287),COLUMNS($J26:N26)),KPI_Master!$A:$A,0),SMALL(IF(KPI_Element_Map!$E$2:$E$287=$A26,KPI_Element_Map!$A$2:$A$287),COLUMNS($J26:N26))),"")</f>
        <v/>
      </c>
      <c r="O26" s="25" t="str">
        <f t="array" ref="O26">IFERROR(HYPERLINK("#KPI_Master!A"&amp;MATCH(SMALL(IF(KPI_Element_Map!$E$2:$E$287=$A26,KPI_Element_Map!$A$2:$A$287),COLUMNS($J26:O26)),KPI_Master!$A:$A,0)&amp;":P"&amp;MATCH(SMALL(IF(KPI_Element_Map!$E$2:$E$287=$A26,KPI_Element_Map!$A$2:$A$287),COLUMNS($J26:O26)),KPI_Master!$A:$A,0),SMALL(IF(KPI_Element_Map!$E$2:$E$287=$A26,KPI_Element_Map!$A$2:$A$287),COLUMNS($J26:O26))),"")</f>
        <v/>
      </c>
      <c r="P26" s="25" t="str">
        <f t="array" ref="P26">IFERROR(HYPERLINK("#KPI_Master!A"&amp;MATCH(SMALL(IF(KPI_Element_Map!$E$2:$E$287=$A26,KPI_Element_Map!$A$2:$A$287),COLUMNS($J26:P26)),KPI_Master!$A:$A,0)&amp;":P"&amp;MATCH(SMALL(IF(KPI_Element_Map!$E$2:$E$287=$A26,KPI_Element_Map!$A$2:$A$287),COLUMNS($J26:P26)),KPI_Master!$A:$A,0),SMALL(IF(KPI_Element_Map!$E$2:$E$287=$A26,KPI_Element_Map!$A$2:$A$287),COLUMNS($J26:P26))),"")</f>
        <v/>
      </c>
      <c r="Q26" s="25" t="str">
        <f t="array" ref="Q26">IFERROR(HYPERLINK("#KPI_Master!A"&amp;MATCH(SMALL(IF(KPI_Element_Map!$E$2:$E$287=$A26,KPI_Element_Map!$A$2:$A$287),COLUMNS($J26:Q26)),KPI_Master!$A:$A,0)&amp;":P"&amp;MATCH(SMALL(IF(KPI_Element_Map!$E$2:$E$287=$A26,KPI_Element_Map!$A$2:$A$287),COLUMNS($J26:Q26)),KPI_Master!$A:$A,0),SMALL(IF(KPI_Element_Map!$E$2:$E$287=$A26,KPI_Element_Map!$A$2:$A$287),COLUMNS($J26:Q26))),"")</f>
        <v/>
      </c>
      <c r="R26" s="25" t="str">
        <f t="array" ref="R26">IFERROR(HYPERLINK("#KPI_Master!A"&amp;MATCH(SMALL(IF(KPI_Element_Map!$E$2:$E$287=$A26,KPI_Element_Map!$A$2:$A$287),COLUMNS($J26:R26)),KPI_Master!$A:$A,0)&amp;":P"&amp;MATCH(SMALL(IF(KPI_Element_Map!$E$2:$E$287=$A26,KPI_Element_Map!$A$2:$A$287),COLUMNS($J26:R26)),KPI_Master!$A:$A,0),SMALL(IF(KPI_Element_Map!$E$2:$E$287=$A26,KPI_Element_Map!$A$2:$A$287),COLUMNS($J26:R26))),"")</f>
        <v/>
      </c>
      <c r="S26" s="25" t="str">
        <f t="array" ref="S26">IFERROR(HYPERLINK("#KPI_Master!A"&amp;MATCH(SMALL(IF(KPI_Element_Map!$E$2:$E$287=$A26,KPI_Element_Map!$A$2:$A$287),COLUMNS($J26:S26)),KPI_Master!$A:$A,0)&amp;":P"&amp;MATCH(SMALL(IF(KPI_Element_Map!$E$2:$E$287=$A26,KPI_Element_Map!$A$2:$A$287),COLUMNS($J26:S26)),KPI_Master!$A:$A,0),SMALL(IF(KPI_Element_Map!$E$2:$E$287=$A26,KPI_Element_Map!$A$2:$A$287),COLUMNS($J26:S26))),"")</f>
        <v/>
      </c>
      <c r="T26" s="25" t="str">
        <f t="array" ref="T26">IFERROR(HYPERLINK("#KPI_Master!A"&amp;MATCH(SMALL(IF(KPI_Element_Map!$E$2:$E$287=$A26,KPI_Element_Map!$A$2:$A$287),COLUMNS($J26:T26)),KPI_Master!$A:$A,0)&amp;":P"&amp;MATCH(SMALL(IF(KPI_Element_Map!$E$2:$E$287=$A26,KPI_Element_Map!$A$2:$A$287),COLUMNS($J26:T26)),KPI_Master!$A:$A,0),SMALL(IF(KPI_Element_Map!$E$2:$E$287=$A26,KPI_Element_Map!$A$2:$A$287),COLUMNS($J26:T26))),"")</f>
        <v/>
      </c>
      <c r="U26" s="25" t="str">
        <f t="array" ref="U26">IFERROR(HYPERLINK("#KPI_Master!A"&amp;MATCH(SMALL(IF(KPI_Element_Map!$E$2:$E$287=$A26,KPI_Element_Map!$A$2:$A$287),COLUMNS($J26:U26)),KPI_Master!$A:$A,0)&amp;":P"&amp;MATCH(SMALL(IF(KPI_Element_Map!$E$2:$E$287=$A26,KPI_Element_Map!$A$2:$A$287),COLUMNS($J26:U26)),KPI_Master!$A:$A,0),SMALL(IF(KPI_Element_Map!$E$2:$E$287=$A26,KPI_Element_Map!$A$2:$A$287),COLUMNS($J26:U26))),"")</f>
        <v/>
      </c>
      <c r="V26" s="25" t="str">
        <f t="array" ref="V26">IFERROR(HYPERLINK("#KPI_Master!A"&amp;MATCH(SMALL(IF(KPI_Element_Map!$E$2:$E$287=$A26,KPI_Element_Map!$A$2:$A$287),COLUMNS($J26:V26)),KPI_Master!$A:$A,0)&amp;":P"&amp;MATCH(SMALL(IF(KPI_Element_Map!$E$2:$E$287=$A26,KPI_Element_Map!$A$2:$A$287),COLUMNS($J26:V26)),KPI_Master!$A:$A,0),SMALL(IF(KPI_Element_Map!$E$2:$E$287=$A26,KPI_Element_Map!$A$2:$A$287),COLUMNS($J26:V26))),"")</f>
        <v/>
      </c>
      <c r="W26" s="25" t="str">
        <f t="array" ref="W26">IFERROR(HYPERLINK("#KPI_Master!A"&amp;MATCH(SMALL(IF(KPI_Element_Map!$E$2:$E$287=$A26,KPI_Element_Map!$A$2:$A$287),COLUMNS($J26:W26)),KPI_Master!$A:$A,0)&amp;":P"&amp;MATCH(SMALL(IF(KPI_Element_Map!$E$2:$E$287=$A26,KPI_Element_Map!$A$2:$A$287),COLUMNS($J26:W26)),KPI_Master!$A:$A,0),SMALL(IF(KPI_Element_Map!$E$2:$E$287=$A26,KPI_Element_Map!$A$2:$A$287),COLUMNS($J26:W26))),"")</f>
        <v/>
      </c>
      <c r="X26" s="25" t="str">
        <f t="array" ref="X26">IFERROR(HYPERLINK("#KPI_Master!A"&amp;MATCH(SMALL(IF(KPI_Element_Map!$E$2:$E$287=$A26,KPI_Element_Map!$A$2:$A$287),COLUMNS($J26:X26)),KPI_Master!$A:$A,0)&amp;":P"&amp;MATCH(SMALL(IF(KPI_Element_Map!$E$2:$E$287=$A26,KPI_Element_Map!$A$2:$A$287),COLUMNS($J26:X26)),KPI_Master!$A:$A,0),SMALL(IF(KPI_Element_Map!$E$2:$E$287=$A26,KPI_Element_Map!$A$2:$A$287),COLUMNS($J26:X26))),"")</f>
        <v/>
      </c>
      <c r="Y26" s="25" t="str">
        <f t="array" ref="Y26">IFERROR(HYPERLINK("#KPI_Master!A"&amp;MATCH(SMALL(IF(KPI_Element_Map!$E$2:$E$287=$A26,KPI_Element_Map!$A$2:$A$287),COLUMNS($J26:Y26)),KPI_Master!$A:$A,0)&amp;":P"&amp;MATCH(SMALL(IF(KPI_Element_Map!$E$2:$E$287=$A26,KPI_Element_Map!$A$2:$A$287),COLUMNS($J26:Y26)),KPI_Master!$A:$A,0),SMALL(IF(KPI_Element_Map!$E$2:$E$287=$A26,KPI_Element_Map!$A$2:$A$287),COLUMNS($J26:Y26))),"")</f>
        <v/>
      </c>
      <c r="Z26" s="25" t="str">
        <f t="array" ref="Z26">IFERROR(HYPERLINK("#KPI_Master!A"&amp;MATCH(SMALL(IF(KPI_Element_Map!$E$2:$E$287=$A26,KPI_Element_Map!$A$2:$A$287),COLUMNS($J26:Z26)),KPI_Master!$A:$A,0)&amp;":P"&amp;MATCH(SMALL(IF(KPI_Element_Map!$E$2:$E$287=$A26,KPI_Element_Map!$A$2:$A$287),COLUMNS($J26:Z26)),KPI_Master!$A:$A,0),SMALL(IF(KPI_Element_Map!$E$2:$E$287=$A26,KPI_Element_Map!$A$2:$A$287),COLUMNS($J26:Z26))),"")</f>
        <v/>
      </c>
      <c r="AA26" s="25" t="str">
        <f t="array" ref="AA26">IFERROR(HYPERLINK("#KPI_Master!A"&amp;MATCH(SMALL(IF(KPI_Element_Map!$E$2:$E$287=$A26,KPI_Element_Map!$A$2:$A$287),COLUMNS($J26:AA26)),KPI_Master!$A:$A,0)&amp;":P"&amp;MATCH(SMALL(IF(KPI_Element_Map!$E$2:$E$287=$A26,KPI_Element_Map!$A$2:$A$287),COLUMNS($J26:AA26)),KPI_Master!$A:$A,0),SMALL(IF(KPI_Element_Map!$E$2:$E$287=$A26,KPI_Element_Map!$A$2:$A$287),COLUMNS($J26:AA26))),"")</f>
        <v/>
      </c>
      <c r="AB26" s="25" t="str">
        <f t="array" ref="AB26">IFERROR(HYPERLINK("#KPI_Master!A"&amp;MATCH(SMALL(IF(KPI_Element_Map!$E$2:$E$287=$A26,KPI_Element_Map!$A$2:$A$287),COLUMNS($J26:AB26)),KPI_Master!$A:$A,0)&amp;":P"&amp;MATCH(SMALL(IF(KPI_Element_Map!$E$2:$E$287=$A26,KPI_Element_Map!$A$2:$A$287),COLUMNS($J26:AB26)),KPI_Master!$A:$A,0),SMALL(IF(KPI_Element_Map!$E$2:$E$287=$A26,KPI_Element_Map!$A$2:$A$287),COLUMNS($J26:AB26))),"")</f>
        <v/>
      </c>
      <c r="AC26" s="25" t="str">
        <f t="array" ref="AC26">IFERROR(HYPERLINK("#KPI_Master!A"&amp;MATCH(SMALL(IF(KPI_Element_Map!$E$2:$E$287=$A26,KPI_Element_Map!$A$2:$A$287),COLUMNS($J26:AC26)),KPI_Master!$A:$A,0)&amp;":P"&amp;MATCH(SMALL(IF(KPI_Element_Map!$E$2:$E$287=$A26,KPI_Element_Map!$A$2:$A$287),COLUMNS($J26:AC26)),KPI_Master!$A:$A,0),SMALL(IF(KPI_Element_Map!$E$2:$E$287=$A26,KPI_Element_Map!$A$2:$A$287),COLUMNS($J26:AC26))),"")</f>
        <v/>
      </c>
      <c r="AD26" s="25" t="str">
        <f t="array" ref="AD26">IFERROR(HYPERLINK("#KPI_Master!A"&amp;MATCH(SMALL(IF(KPI_Element_Map!$E$2:$E$287=$A26,KPI_Element_Map!$A$2:$A$287),COLUMNS($J26:AD26)),KPI_Master!$A:$A,0)&amp;":P"&amp;MATCH(SMALL(IF(KPI_Element_Map!$E$2:$E$287=$A26,KPI_Element_Map!$A$2:$A$287),COLUMNS($J26:AD26)),KPI_Master!$A:$A,0),SMALL(IF(KPI_Element_Map!$E$2:$E$287=$A26,KPI_Element_Map!$A$2:$A$287),COLUMNS($J26:AD26))),"")</f>
        <v/>
      </c>
      <c r="AE26" s="25" t="str">
        <f t="array" ref="AE26">IFERROR(HYPERLINK("#KPI_Master!A"&amp;MATCH(SMALL(IF(KPI_Element_Map!$E$2:$E$287=$A26,KPI_Element_Map!$A$2:$A$287),COLUMNS($J26:AE26)),KPI_Master!$A:$A,0)&amp;":P"&amp;MATCH(SMALL(IF(KPI_Element_Map!$E$2:$E$287=$A26,KPI_Element_Map!$A$2:$A$287),COLUMNS($J26:AE26)),KPI_Master!$A:$A,0),SMALL(IF(KPI_Element_Map!$E$2:$E$287=$A26,KPI_Element_Map!$A$2:$A$287),COLUMNS($J26:AE26))),"")</f>
        <v/>
      </c>
      <c r="AF26" s="25" t="str">
        <f t="array" ref="AF26">IFERROR(HYPERLINK("#KPI_Master!A"&amp;MATCH(SMALL(IF(KPI_Element_Map!$E$2:$E$287=$A26,KPI_Element_Map!$A$2:$A$287),COLUMNS($J26:AF26)),KPI_Master!$A:$A,0)&amp;":P"&amp;MATCH(SMALL(IF(KPI_Element_Map!$E$2:$E$287=$A26,KPI_Element_Map!$A$2:$A$287),COLUMNS($J26:AF26)),KPI_Master!$A:$A,0),SMALL(IF(KPI_Element_Map!$E$2:$E$287=$A26,KPI_Element_Map!$A$2:$A$287),COLUMNS($J26:AF26))),"")</f>
        <v/>
      </c>
      <c r="AG26" s="25" t="str">
        <f t="array" ref="AG26">IFERROR(HYPERLINK("#KPI_Master!A"&amp;MATCH(SMALL(IF(KPI_Element_Map!$E$2:$E$287=$A26,KPI_Element_Map!$A$2:$A$287),COLUMNS($J26:AG26)),KPI_Master!$A:$A,0)&amp;":P"&amp;MATCH(SMALL(IF(KPI_Element_Map!$E$2:$E$287=$A26,KPI_Element_Map!$A$2:$A$287),COLUMNS($J26:AG26)),KPI_Master!$A:$A,0),SMALL(IF(KPI_Element_Map!$E$2:$E$287=$A26,KPI_Element_Map!$A$2:$A$287),COLUMNS($J26:AG26))),"")</f>
        <v/>
      </c>
      <c r="AH26" s="25" t="str">
        <f t="array" ref="AH26">IFERROR(HYPERLINK("#KPI_Master!A"&amp;MATCH(SMALL(IF(KPI_Element_Map!$E$2:$E$287=$A26,KPI_Element_Map!$A$2:$A$287),COLUMNS($J26:AH26)),KPI_Master!$A:$A,0)&amp;":P"&amp;MATCH(SMALL(IF(KPI_Element_Map!$E$2:$E$287=$A26,KPI_Element_Map!$A$2:$A$287),COLUMNS($J26:AH26)),KPI_Master!$A:$A,0),SMALL(IF(KPI_Element_Map!$E$2:$E$287=$A26,KPI_Element_Map!$A$2:$A$287),COLUMNS($J26:AH26))),"")</f>
        <v/>
      </c>
    </row>
    <row r="27" spans="1:34" ht="42.75" customHeight="1">
      <c r="A27" s="21" t="s">
        <v>997</v>
      </c>
      <c r="B27" s="22" t="s">
        <v>998</v>
      </c>
      <c r="C27" s="23" t="s">
        <v>999</v>
      </c>
      <c r="D27" s="23" t="str">
        <f t="array" ref="D27">_xlfn.TEXTJOIN(", ",TRUE(),IF(KPI_Element_Map!$E$2:$E$287=$A27,KPI_Element_Map!$A$2:$A$287,""))</f>
        <v>19, 50, 62, 63, 66, 72</v>
      </c>
      <c r="E27" s="21">
        <f>COUNTIF(KPI_Element_Map!$E$2:$E$287,$A27)</f>
        <v>6</v>
      </c>
      <c r="F27" s="21">
        <f>COUNTIFS(KPI_Element_Map!$E$2:$E$287,$A27,KPI_Element_Map!$D$2:$D$287,"1 - Core")</f>
        <v>2</v>
      </c>
      <c r="G27" s="24" t="s">
        <v>975</v>
      </c>
      <c r="H27" s="23" t="str">
        <f>INDEX(Minimum_Documents!$B:$B,MATCH($G27,Minimum_Documents!$A:$A,0))</f>
        <v>Monthly Financial Statement Package - consolidated (P&amp;L with budget, balance sheet, cash flow, trial balance; no department split needed)</v>
      </c>
      <c r="J27" s="25">
        <f t="array" ref="J27">IFERROR(HYPERLINK("#KPI_Master!A"&amp;MATCH(SMALL(IF(KPI_Element_Map!$E$2:$E$287=$A27,KPI_Element_Map!$A$2:$A$287),COLUMNS($J27:J27)),KPI_Master!$A:$A,0)&amp;":P"&amp;MATCH(SMALL(IF(KPI_Element_Map!$E$2:$E$287=$A27,KPI_Element_Map!$A$2:$A$287),COLUMNS($J27:J27)),KPI_Master!$A:$A,0),SMALL(IF(KPI_Element_Map!$E$2:$E$287=$A27,KPI_Element_Map!$A$2:$A$287),COLUMNS($J27:J27))),"")</f>
        <v>19</v>
      </c>
      <c r="K27" s="25">
        <f t="array" ref="K27">IFERROR(HYPERLINK("#KPI_Master!A"&amp;MATCH(SMALL(IF(KPI_Element_Map!$E$2:$E$287=$A27,KPI_Element_Map!$A$2:$A$287),COLUMNS($J27:K27)),KPI_Master!$A:$A,0)&amp;":P"&amp;MATCH(SMALL(IF(KPI_Element_Map!$E$2:$E$287=$A27,KPI_Element_Map!$A$2:$A$287),COLUMNS($J27:K27)),KPI_Master!$A:$A,0),SMALL(IF(KPI_Element_Map!$E$2:$E$287=$A27,KPI_Element_Map!$A$2:$A$287),COLUMNS($J27:K27))),"")</f>
        <v>50</v>
      </c>
      <c r="L27" s="25">
        <f t="array" ref="L27">IFERROR(HYPERLINK("#KPI_Master!A"&amp;MATCH(SMALL(IF(KPI_Element_Map!$E$2:$E$287=$A27,KPI_Element_Map!$A$2:$A$287),COLUMNS($J27:L27)),KPI_Master!$A:$A,0)&amp;":P"&amp;MATCH(SMALL(IF(KPI_Element_Map!$E$2:$E$287=$A27,KPI_Element_Map!$A$2:$A$287),COLUMNS($J27:L27)),KPI_Master!$A:$A,0),SMALL(IF(KPI_Element_Map!$E$2:$E$287=$A27,KPI_Element_Map!$A$2:$A$287),COLUMNS($J27:L27))),"")</f>
        <v>62</v>
      </c>
      <c r="M27" s="25">
        <f t="array" ref="M27">IFERROR(HYPERLINK("#KPI_Master!A"&amp;MATCH(SMALL(IF(KPI_Element_Map!$E$2:$E$287=$A27,KPI_Element_Map!$A$2:$A$287),COLUMNS($J27:M27)),KPI_Master!$A:$A,0)&amp;":P"&amp;MATCH(SMALL(IF(KPI_Element_Map!$E$2:$E$287=$A27,KPI_Element_Map!$A$2:$A$287),COLUMNS($J27:M27)),KPI_Master!$A:$A,0),SMALL(IF(KPI_Element_Map!$E$2:$E$287=$A27,KPI_Element_Map!$A$2:$A$287),COLUMNS($J27:M27))),"")</f>
        <v>63</v>
      </c>
      <c r="N27" s="25">
        <f t="array" ref="N27">IFERROR(HYPERLINK("#KPI_Master!A"&amp;MATCH(SMALL(IF(KPI_Element_Map!$E$2:$E$287=$A27,KPI_Element_Map!$A$2:$A$287),COLUMNS($J27:N27)),KPI_Master!$A:$A,0)&amp;":P"&amp;MATCH(SMALL(IF(KPI_Element_Map!$E$2:$E$287=$A27,KPI_Element_Map!$A$2:$A$287),COLUMNS($J27:N27)),KPI_Master!$A:$A,0),SMALL(IF(KPI_Element_Map!$E$2:$E$287=$A27,KPI_Element_Map!$A$2:$A$287),COLUMNS($J27:N27))),"")</f>
        <v>66</v>
      </c>
      <c r="O27" s="25">
        <f t="array" ref="O27">IFERROR(HYPERLINK("#KPI_Master!A"&amp;MATCH(SMALL(IF(KPI_Element_Map!$E$2:$E$287=$A27,KPI_Element_Map!$A$2:$A$287),COLUMNS($J27:O27)),KPI_Master!$A:$A,0)&amp;":P"&amp;MATCH(SMALL(IF(KPI_Element_Map!$E$2:$E$287=$A27,KPI_Element_Map!$A$2:$A$287),COLUMNS($J27:O27)),KPI_Master!$A:$A,0),SMALL(IF(KPI_Element_Map!$E$2:$E$287=$A27,KPI_Element_Map!$A$2:$A$287),COLUMNS($J27:O27))),"")</f>
        <v>72</v>
      </c>
      <c r="P27" s="25" t="str">
        <f t="array" ref="P27">IFERROR(HYPERLINK("#KPI_Master!A"&amp;MATCH(SMALL(IF(KPI_Element_Map!$E$2:$E$287=$A27,KPI_Element_Map!$A$2:$A$287),COLUMNS($J27:P27)),KPI_Master!$A:$A,0)&amp;":P"&amp;MATCH(SMALL(IF(KPI_Element_Map!$E$2:$E$287=$A27,KPI_Element_Map!$A$2:$A$287),COLUMNS($J27:P27)),KPI_Master!$A:$A,0),SMALL(IF(KPI_Element_Map!$E$2:$E$287=$A27,KPI_Element_Map!$A$2:$A$287),COLUMNS($J27:P27))),"")</f>
        <v/>
      </c>
      <c r="Q27" s="25" t="str">
        <f t="array" ref="Q27">IFERROR(HYPERLINK("#KPI_Master!A"&amp;MATCH(SMALL(IF(KPI_Element_Map!$E$2:$E$287=$A27,KPI_Element_Map!$A$2:$A$287),COLUMNS($J27:Q27)),KPI_Master!$A:$A,0)&amp;":P"&amp;MATCH(SMALL(IF(KPI_Element_Map!$E$2:$E$287=$A27,KPI_Element_Map!$A$2:$A$287),COLUMNS($J27:Q27)),KPI_Master!$A:$A,0),SMALL(IF(KPI_Element_Map!$E$2:$E$287=$A27,KPI_Element_Map!$A$2:$A$287),COLUMNS($J27:Q27))),"")</f>
        <v/>
      </c>
      <c r="R27" s="25" t="str">
        <f t="array" ref="R27">IFERROR(HYPERLINK("#KPI_Master!A"&amp;MATCH(SMALL(IF(KPI_Element_Map!$E$2:$E$287=$A27,KPI_Element_Map!$A$2:$A$287),COLUMNS($J27:R27)),KPI_Master!$A:$A,0)&amp;":P"&amp;MATCH(SMALL(IF(KPI_Element_Map!$E$2:$E$287=$A27,KPI_Element_Map!$A$2:$A$287),COLUMNS($J27:R27)),KPI_Master!$A:$A,0),SMALL(IF(KPI_Element_Map!$E$2:$E$287=$A27,KPI_Element_Map!$A$2:$A$287),COLUMNS($J27:R27))),"")</f>
        <v/>
      </c>
      <c r="S27" s="25" t="str">
        <f t="array" ref="S27">IFERROR(HYPERLINK("#KPI_Master!A"&amp;MATCH(SMALL(IF(KPI_Element_Map!$E$2:$E$287=$A27,KPI_Element_Map!$A$2:$A$287),COLUMNS($J27:S27)),KPI_Master!$A:$A,0)&amp;":P"&amp;MATCH(SMALL(IF(KPI_Element_Map!$E$2:$E$287=$A27,KPI_Element_Map!$A$2:$A$287),COLUMNS($J27:S27)),KPI_Master!$A:$A,0),SMALL(IF(KPI_Element_Map!$E$2:$E$287=$A27,KPI_Element_Map!$A$2:$A$287),COLUMNS($J27:S27))),"")</f>
        <v/>
      </c>
      <c r="T27" s="25" t="str">
        <f t="array" ref="T27">IFERROR(HYPERLINK("#KPI_Master!A"&amp;MATCH(SMALL(IF(KPI_Element_Map!$E$2:$E$287=$A27,KPI_Element_Map!$A$2:$A$287),COLUMNS($J27:T27)),KPI_Master!$A:$A,0)&amp;":P"&amp;MATCH(SMALL(IF(KPI_Element_Map!$E$2:$E$287=$A27,KPI_Element_Map!$A$2:$A$287),COLUMNS($J27:T27)),KPI_Master!$A:$A,0),SMALL(IF(KPI_Element_Map!$E$2:$E$287=$A27,KPI_Element_Map!$A$2:$A$287),COLUMNS($J27:T27))),"")</f>
        <v/>
      </c>
      <c r="U27" s="25" t="str">
        <f t="array" ref="U27">IFERROR(HYPERLINK("#KPI_Master!A"&amp;MATCH(SMALL(IF(KPI_Element_Map!$E$2:$E$287=$A27,KPI_Element_Map!$A$2:$A$287),COLUMNS($J27:U27)),KPI_Master!$A:$A,0)&amp;":P"&amp;MATCH(SMALL(IF(KPI_Element_Map!$E$2:$E$287=$A27,KPI_Element_Map!$A$2:$A$287),COLUMNS($J27:U27)),KPI_Master!$A:$A,0),SMALL(IF(KPI_Element_Map!$E$2:$E$287=$A27,KPI_Element_Map!$A$2:$A$287),COLUMNS($J27:U27))),"")</f>
        <v/>
      </c>
      <c r="V27" s="25" t="str">
        <f t="array" ref="V27">IFERROR(HYPERLINK("#KPI_Master!A"&amp;MATCH(SMALL(IF(KPI_Element_Map!$E$2:$E$287=$A27,KPI_Element_Map!$A$2:$A$287),COLUMNS($J27:V27)),KPI_Master!$A:$A,0)&amp;":P"&amp;MATCH(SMALL(IF(KPI_Element_Map!$E$2:$E$287=$A27,KPI_Element_Map!$A$2:$A$287),COLUMNS($J27:V27)),KPI_Master!$A:$A,0),SMALL(IF(KPI_Element_Map!$E$2:$E$287=$A27,KPI_Element_Map!$A$2:$A$287),COLUMNS($J27:V27))),"")</f>
        <v/>
      </c>
      <c r="W27" s="25" t="str">
        <f t="array" ref="W27">IFERROR(HYPERLINK("#KPI_Master!A"&amp;MATCH(SMALL(IF(KPI_Element_Map!$E$2:$E$287=$A27,KPI_Element_Map!$A$2:$A$287),COLUMNS($J27:W27)),KPI_Master!$A:$A,0)&amp;":P"&amp;MATCH(SMALL(IF(KPI_Element_Map!$E$2:$E$287=$A27,KPI_Element_Map!$A$2:$A$287),COLUMNS($J27:W27)),KPI_Master!$A:$A,0),SMALL(IF(KPI_Element_Map!$E$2:$E$287=$A27,KPI_Element_Map!$A$2:$A$287),COLUMNS($J27:W27))),"")</f>
        <v/>
      </c>
      <c r="X27" s="25" t="str">
        <f t="array" ref="X27">IFERROR(HYPERLINK("#KPI_Master!A"&amp;MATCH(SMALL(IF(KPI_Element_Map!$E$2:$E$287=$A27,KPI_Element_Map!$A$2:$A$287),COLUMNS($J27:X27)),KPI_Master!$A:$A,0)&amp;":P"&amp;MATCH(SMALL(IF(KPI_Element_Map!$E$2:$E$287=$A27,KPI_Element_Map!$A$2:$A$287),COLUMNS($J27:X27)),KPI_Master!$A:$A,0),SMALL(IF(KPI_Element_Map!$E$2:$E$287=$A27,KPI_Element_Map!$A$2:$A$287),COLUMNS($J27:X27))),"")</f>
        <v/>
      </c>
      <c r="Y27" s="25" t="str">
        <f t="array" ref="Y27">IFERROR(HYPERLINK("#KPI_Master!A"&amp;MATCH(SMALL(IF(KPI_Element_Map!$E$2:$E$287=$A27,KPI_Element_Map!$A$2:$A$287),COLUMNS($J27:Y27)),KPI_Master!$A:$A,0)&amp;":P"&amp;MATCH(SMALL(IF(KPI_Element_Map!$E$2:$E$287=$A27,KPI_Element_Map!$A$2:$A$287),COLUMNS($J27:Y27)),KPI_Master!$A:$A,0),SMALL(IF(KPI_Element_Map!$E$2:$E$287=$A27,KPI_Element_Map!$A$2:$A$287),COLUMNS($J27:Y27))),"")</f>
        <v/>
      </c>
      <c r="Z27" s="25" t="str">
        <f t="array" ref="Z27">IFERROR(HYPERLINK("#KPI_Master!A"&amp;MATCH(SMALL(IF(KPI_Element_Map!$E$2:$E$287=$A27,KPI_Element_Map!$A$2:$A$287),COLUMNS($J27:Z27)),KPI_Master!$A:$A,0)&amp;":P"&amp;MATCH(SMALL(IF(KPI_Element_Map!$E$2:$E$287=$A27,KPI_Element_Map!$A$2:$A$287),COLUMNS($J27:Z27)),KPI_Master!$A:$A,0),SMALL(IF(KPI_Element_Map!$E$2:$E$287=$A27,KPI_Element_Map!$A$2:$A$287),COLUMNS($J27:Z27))),"")</f>
        <v/>
      </c>
      <c r="AA27" s="25" t="str">
        <f t="array" ref="AA27">IFERROR(HYPERLINK("#KPI_Master!A"&amp;MATCH(SMALL(IF(KPI_Element_Map!$E$2:$E$287=$A27,KPI_Element_Map!$A$2:$A$287),COLUMNS($J27:AA27)),KPI_Master!$A:$A,0)&amp;":P"&amp;MATCH(SMALL(IF(KPI_Element_Map!$E$2:$E$287=$A27,KPI_Element_Map!$A$2:$A$287),COLUMNS($J27:AA27)),KPI_Master!$A:$A,0),SMALL(IF(KPI_Element_Map!$E$2:$E$287=$A27,KPI_Element_Map!$A$2:$A$287),COLUMNS($J27:AA27))),"")</f>
        <v/>
      </c>
      <c r="AB27" s="25" t="str">
        <f t="array" ref="AB27">IFERROR(HYPERLINK("#KPI_Master!A"&amp;MATCH(SMALL(IF(KPI_Element_Map!$E$2:$E$287=$A27,KPI_Element_Map!$A$2:$A$287),COLUMNS($J27:AB27)),KPI_Master!$A:$A,0)&amp;":P"&amp;MATCH(SMALL(IF(KPI_Element_Map!$E$2:$E$287=$A27,KPI_Element_Map!$A$2:$A$287),COLUMNS($J27:AB27)),KPI_Master!$A:$A,0),SMALL(IF(KPI_Element_Map!$E$2:$E$287=$A27,KPI_Element_Map!$A$2:$A$287),COLUMNS($J27:AB27))),"")</f>
        <v/>
      </c>
      <c r="AC27" s="25" t="str">
        <f t="array" ref="AC27">IFERROR(HYPERLINK("#KPI_Master!A"&amp;MATCH(SMALL(IF(KPI_Element_Map!$E$2:$E$287=$A27,KPI_Element_Map!$A$2:$A$287),COLUMNS($J27:AC27)),KPI_Master!$A:$A,0)&amp;":P"&amp;MATCH(SMALL(IF(KPI_Element_Map!$E$2:$E$287=$A27,KPI_Element_Map!$A$2:$A$287),COLUMNS($J27:AC27)),KPI_Master!$A:$A,0),SMALL(IF(KPI_Element_Map!$E$2:$E$287=$A27,KPI_Element_Map!$A$2:$A$287),COLUMNS($J27:AC27))),"")</f>
        <v/>
      </c>
      <c r="AD27" s="25" t="str">
        <f t="array" ref="AD27">IFERROR(HYPERLINK("#KPI_Master!A"&amp;MATCH(SMALL(IF(KPI_Element_Map!$E$2:$E$287=$A27,KPI_Element_Map!$A$2:$A$287),COLUMNS($J27:AD27)),KPI_Master!$A:$A,0)&amp;":P"&amp;MATCH(SMALL(IF(KPI_Element_Map!$E$2:$E$287=$A27,KPI_Element_Map!$A$2:$A$287),COLUMNS($J27:AD27)),KPI_Master!$A:$A,0),SMALL(IF(KPI_Element_Map!$E$2:$E$287=$A27,KPI_Element_Map!$A$2:$A$287),COLUMNS($J27:AD27))),"")</f>
        <v/>
      </c>
      <c r="AE27" s="25" t="str">
        <f t="array" ref="AE27">IFERROR(HYPERLINK("#KPI_Master!A"&amp;MATCH(SMALL(IF(KPI_Element_Map!$E$2:$E$287=$A27,KPI_Element_Map!$A$2:$A$287),COLUMNS($J27:AE27)),KPI_Master!$A:$A,0)&amp;":P"&amp;MATCH(SMALL(IF(KPI_Element_Map!$E$2:$E$287=$A27,KPI_Element_Map!$A$2:$A$287),COLUMNS($J27:AE27)),KPI_Master!$A:$A,0),SMALL(IF(KPI_Element_Map!$E$2:$E$287=$A27,KPI_Element_Map!$A$2:$A$287),COLUMNS($J27:AE27))),"")</f>
        <v/>
      </c>
      <c r="AF27" s="25" t="str">
        <f t="array" ref="AF27">IFERROR(HYPERLINK("#KPI_Master!A"&amp;MATCH(SMALL(IF(KPI_Element_Map!$E$2:$E$287=$A27,KPI_Element_Map!$A$2:$A$287),COLUMNS($J27:AF27)),KPI_Master!$A:$A,0)&amp;":P"&amp;MATCH(SMALL(IF(KPI_Element_Map!$E$2:$E$287=$A27,KPI_Element_Map!$A$2:$A$287),COLUMNS($J27:AF27)),KPI_Master!$A:$A,0),SMALL(IF(KPI_Element_Map!$E$2:$E$287=$A27,KPI_Element_Map!$A$2:$A$287),COLUMNS($J27:AF27))),"")</f>
        <v/>
      </c>
      <c r="AG27" s="25" t="str">
        <f t="array" ref="AG27">IFERROR(HYPERLINK("#KPI_Master!A"&amp;MATCH(SMALL(IF(KPI_Element_Map!$E$2:$E$287=$A27,KPI_Element_Map!$A$2:$A$287),COLUMNS($J27:AG27)),KPI_Master!$A:$A,0)&amp;":P"&amp;MATCH(SMALL(IF(KPI_Element_Map!$E$2:$E$287=$A27,KPI_Element_Map!$A$2:$A$287),COLUMNS($J27:AG27)),KPI_Master!$A:$A,0),SMALL(IF(KPI_Element_Map!$E$2:$E$287=$A27,KPI_Element_Map!$A$2:$A$287),COLUMNS($J27:AG27))),"")</f>
        <v/>
      </c>
      <c r="AH27" s="25" t="str">
        <f t="array" ref="AH27">IFERROR(HYPERLINK("#KPI_Master!A"&amp;MATCH(SMALL(IF(KPI_Element_Map!$E$2:$E$287=$A27,KPI_Element_Map!$A$2:$A$287),COLUMNS($J27:AH27)),KPI_Master!$A:$A,0)&amp;":P"&amp;MATCH(SMALL(IF(KPI_Element_Map!$E$2:$E$287=$A27,KPI_Element_Map!$A$2:$A$287),COLUMNS($J27:AH27)),KPI_Master!$A:$A,0),SMALL(IF(KPI_Element_Map!$E$2:$E$287=$A27,KPI_Element_Map!$A$2:$A$287),COLUMNS($J27:AH27))),"")</f>
        <v/>
      </c>
    </row>
    <row r="28" spans="1:34" ht="28.5" customHeight="1">
      <c r="A28" s="21" t="s">
        <v>1000</v>
      </c>
      <c r="B28" s="22" t="s">
        <v>1001</v>
      </c>
      <c r="C28" s="23" t="s">
        <v>1002</v>
      </c>
      <c r="D28" s="23" t="str">
        <f t="array" ref="D28">_xlfn.TEXTJOIN(", ",TRUE(),IF(KPI_Element_Map!$E$2:$E$287=$A28,KPI_Element_Map!$A$2:$A$287,""))</f>
        <v>13, 15, 23, 41, 165</v>
      </c>
      <c r="E28" s="21">
        <f>COUNTIF(KPI_Element_Map!$E$2:$E$287,$A28)</f>
        <v>5</v>
      </c>
      <c r="F28" s="21">
        <f>COUNTIFS(KPI_Element_Map!$E$2:$E$287,$A28,KPI_Element_Map!$D$2:$D$287,"1 - Core")</f>
        <v>3</v>
      </c>
      <c r="G28" s="24" t="s">
        <v>1003</v>
      </c>
      <c r="H28" s="23" t="str">
        <f>INDEX(Minimum_Documents!$B:$B,MATCH($G28,Minimum_Documents!$A:$A,0))</f>
        <v>Resident Billing Register / Rent Roll (by resident, payer and charge code)</v>
      </c>
      <c r="J28" s="25">
        <f t="array" ref="J28">IFERROR(HYPERLINK("#KPI_Master!A"&amp;MATCH(SMALL(IF(KPI_Element_Map!$E$2:$E$287=$A28,KPI_Element_Map!$A$2:$A$287),COLUMNS($J28:J28)),KPI_Master!$A:$A,0)&amp;":P"&amp;MATCH(SMALL(IF(KPI_Element_Map!$E$2:$E$287=$A28,KPI_Element_Map!$A$2:$A$287),COLUMNS($J28:J28)),KPI_Master!$A:$A,0),SMALL(IF(KPI_Element_Map!$E$2:$E$287=$A28,KPI_Element_Map!$A$2:$A$287),COLUMNS($J28:J28))),"")</f>
        <v>13</v>
      </c>
      <c r="K28" s="25">
        <f t="array" ref="K28">IFERROR(HYPERLINK("#KPI_Master!A"&amp;MATCH(SMALL(IF(KPI_Element_Map!$E$2:$E$287=$A28,KPI_Element_Map!$A$2:$A$287),COLUMNS($J28:K28)),KPI_Master!$A:$A,0)&amp;":P"&amp;MATCH(SMALL(IF(KPI_Element_Map!$E$2:$E$287=$A28,KPI_Element_Map!$A$2:$A$287),COLUMNS($J28:K28)),KPI_Master!$A:$A,0),SMALL(IF(KPI_Element_Map!$E$2:$E$287=$A28,KPI_Element_Map!$A$2:$A$287),COLUMNS($J28:K28))),"")</f>
        <v>15</v>
      </c>
      <c r="L28" s="25">
        <f t="array" ref="L28">IFERROR(HYPERLINK("#KPI_Master!A"&amp;MATCH(SMALL(IF(KPI_Element_Map!$E$2:$E$287=$A28,KPI_Element_Map!$A$2:$A$287),COLUMNS($J28:L28)),KPI_Master!$A:$A,0)&amp;":P"&amp;MATCH(SMALL(IF(KPI_Element_Map!$E$2:$E$287=$A28,KPI_Element_Map!$A$2:$A$287),COLUMNS($J28:L28)),KPI_Master!$A:$A,0),SMALL(IF(KPI_Element_Map!$E$2:$E$287=$A28,KPI_Element_Map!$A$2:$A$287),COLUMNS($J28:L28))),"")</f>
        <v>23</v>
      </c>
      <c r="M28" s="25">
        <f t="array" ref="M28">IFERROR(HYPERLINK("#KPI_Master!A"&amp;MATCH(SMALL(IF(KPI_Element_Map!$E$2:$E$287=$A28,KPI_Element_Map!$A$2:$A$287),COLUMNS($J28:M28)),KPI_Master!$A:$A,0)&amp;":P"&amp;MATCH(SMALL(IF(KPI_Element_Map!$E$2:$E$287=$A28,KPI_Element_Map!$A$2:$A$287),COLUMNS($J28:M28)),KPI_Master!$A:$A,0),SMALL(IF(KPI_Element_Map!$E$2:$E$287=$A28,KPI_Element_Map!$A$2:$A$287),COLUMNS($J28:M28))),"")</f>
        <v>41</v>
      </c>
      <c r="N28" s="25">
        <f t="array" ref="N28">IFERROR(HYPERLINK("#KPI_Master!A"&amp;MATCH(SMALL(IF(KPI_Element_Map!$E$2:$E$287=$A28,KPI_Element_Map!$A$2:$A$287),COLUMNS($J28:N28)),KPI_Master!$A:$A,0)&amp;":P"&amp;MATCH(SMALL(IF(KPI_Element_Map!$E$2:$E$287=$A28,KPI_Element_Map!$A$2:$A$287),COLUMNS($J28:N28)),KPI_Master!$A:$A,0),SMALL(IF(KPI_Element_Map!$E$2:$E$287=$A28,KPI_Element_Map!$A$2:$A$287),COLUMNS($J28:N28))),"")</f>
        <v>165</v>
      </c>
      <c r="O28" s="25" t="str">
        <f t="array" ref="O28">IFERROR(HYPERLINK("#KPI_Master!A"&amp;MATCH(SMALL(IF(KPI_Element_Map!$E$2:$E$287=$A28,KPI_Element_Map!$A$2:$A$287),COLUMNS($J28:O28)),KPI_Master!$A:$A,0)&amp;":P"&amp;MATCH(SMALL(IF(KPI_Element_Map!$E$2:$E$287=$A28,KPI_Element_Map!$A$2:$A$287),COLUMNS($J28:O28)),KPI_Master!$A:$A,0),SMALL(IF(KPI_Element_Map!$E$2:$E$287=$A28,KPI_Element_Map!$A$2:$A$287),COLUMNS($J28:O28))),"")</f>
        <v/>
      </c>
      <c r="P28" s="25" t="str">
        <f t="array" ref="P28">IFERROR(HYPERLINK("#KPI_Master!A"&amp;MATCH(SMALL(IF(KPI_Element_Map!$E$2:$E$287=$A28,KPI_Element_Map!$A$2:$A$287),COLUMNS($J28:P28)),KPI_Master!$A:$A,0)&amp;":P"&amp;MATCH(SMALL(IF(KPI_Element_Map!$E$2:$E$287=$A28,KPI_Element_Map!$A$2:$A$287),COLUMNS($J28:P28)),KPI_Master!$A:$A,0),SMALL(IF(KPI_Element_Map!$E$2:$E$287=$A28,KPI_Element_Map!$A$2:$A$287),COLUMNS($J28:P28))),"")</f>
        <v/>
      </c>
      <c r="Q28" s="25" t="str">
        <f t="array" ref="Q28">IFERROR(HYPERLINK("#KPI_Master!A"&amp;MATCH(SMALL(IF(KPI_Element_Map!$E$2:$E$287=$A28,KPI_Element_Map!$A$2:$A$287),COLUMNS($J28:Q28)),KPI_Master!$A:$A,0)&amp;":P"&amp;MATCH(SMALL(IF(KPI_Element_Map!$E$2:$E$287=$A28,KPI_Element_Map!$A$2:$A$287),COLUMNS($J28:Q28)),KPI_Master!$A:$A,0),SMALL(IF(KPI_Element_Map!$E$2:$E$287=$A28,KPI_Element_Map!$A$2:$A$287),COLUMNS($J28:Q28))),"")</f>
        <v/>
      </c>
      <c r="R28" s="25" t="str">
        <f t="array" ref="R28">IFERROR(HYPERLINK("#KPI_Master!A"&amp;MATCH(SMALL(IF(KPI_Element_Map!$E$2:$E$287=$A28,KPI_Element_Map!$A$2:$A$287),COLUMNS($J28:R28)),KPI_Master!$A:$A,0)&amp;":P"&amp;MATCH(SMALL(IF(KPI_Element_Map!$E$2:$E$287=$A28,KPI_Element_Map!$A$2:$A$287),COLUMNS($J28:R28)),KPI_Master!$A:$A,0),SMALL(IF(KPI_Element_Map!$E$2:$E$287=$A28,KPI_Element_Map!$A$2:$A$287),COLUMNS($J28:R28))),"")</f>
        <v/>
      </c>
      <c r="S28" s="25" t="str">
        <f t="array" ref="S28">IFERROR(HYPERLINK("#KPI_Master!A"&amp;MATCH(SMALL(IF(KPI_Element_Map!$E$2:$E$287=$A28,KPI_Element_Map!$A$2:$A$287),COLUMNS($J28:S28)),KPI_Master!$A:$A,0)&amp;":P"&amp;MATCH(SMALL(IF(KPI_Element_Map!$E$2:$E$287=$A28,KPI_Element_Map!$A$2:$A$287),COLUMNS($J28:S28)),KPI_Master!$A:$A,0),SMALL(IF(KPI_Element_Map!$E$2:$E$287=$A28,KPI_Element_Map!$A$2:$A$287),COLUMNS($J28:S28))),"")</f>
        <v/>
      </c>
      <c r="T28" s="25" t="str">
        <f t="array" ref="T28">IFERROR(HYPERLINK("#KPI_Master!A"&amp;MATCH(SMALL(IF(KPI_Element_Map!$E$2:$E$287=$A28,KPI_Element_Map!$A$2:$A$287),COLUMNS($J28:T28)),KPI_Master!$A:$A,0)&amp;":P"&amp;MATCH(SMALL(IF(KPI_Element_Map!$E$2:$E$287=$A28,KPI_Element_Map!$A$2:$A$287),COLUMNS($J28:T28)),KPI_Master!$A:$A,0),SMALL(IF(KPI_Element_Map!$E$2:$E$287=$A28,KPI_Element_Map!$A$2:$A$287),COLUMNS($J28:T28))),"")</f>
        <v/>
      </c>
      <c r="U28" s="25" t="str">
        <f t="array" ref="U28">IFERROR(HYPERLINK("#KPI_Master!A"&amp;MATCH(SMALL(IF(KPI_Element_Map!$E$2:$E$287=$A28,KPI_Element_Map!$A$2:$A$287),COLUMNS($J28:U28)),KPI_Master!$A:$A,0)&amp;":P"&amp;MATCH(SMALL(IF(KPI_Element_Map!$E$2:$E$287=$A28,KPI_Element_Map!$A$2:$A$287),COLUMNS($J28:U28)),KPI_Master!$A:$A,0),SMALL(IF(KPI_Element_Map!$E$2:$E$287=$A28,KPI_Element_Map!$A$2:$A$287),COLUMNS($J28:U28))),"")</f>
        <v/>
      </c>
      <c r="V28" s="25" t="str">
        <f t="array" ref="V28">IFERROR(HYPERLINK("#KPI_Master!A"&amp;MATCH(SMALL(IF(KPI_Element_Map!$E$2:$E$287=$A28,KPI_Element_Map!$A$2:$A$287),COLUMNS($J28:V28)),KPI_Master!$A:$A,0)&amp;":P"&amp;MATCH(SMALL(IF(KPI_Element_Map!$E$2:$E$287=$A28,KPI_Element_Map!$A$2:$A$287),COLUMNS($J28:V28)),KPI_Master!$A:$A,0),SMALL(IF(KPI_Element_Map!$E$2:$E$287=$A28,KPI_Element_Map!$A$2:$A$287),COLUMNS($J28:V28))),"")</f>
        <v/>
      </c>
      <c r="W28" s="25" t="str">
        <f t="array" ref="W28">IFERROR(HYPERLINK("#KPI_Master!A"&amp;MATCH(SMALL(IF(KPI_Element_Map!$E$2:$E$287=$A28,KPI_Element_Map!$A$2:$A$287),COLUMNS($J28:W28)),KPI_Master!$A:$A,0)&amp;":P"&amp;MATCH(SMALL(IF(KPI_Element_Map!$E$2:$E$287=$A28,KPI_Element_Map!$A$2:$A$287),COLUMNS($J28:W28)),KPI_Master!$A:$A,0),SMALL(IF(KPI_Element_Map!$E$2:$E$287=$A28,KPI_Element_Map!$A$2:$A$287),COLUMNS($J28:W28))),"")</f>
        <v/>
      </c>
      <c r="X28" s="25" t="str">
        <f t="array" ref="X28">IFERROR(HYPERLINK("#KPI_Master!A"&amp;MATCH(SMALL(IF(KPI_Element_Map!$E$2:$E$287=$A28,KPI_Element_Map!$A$2:$A$287),COLUMNS($J28:X28)),KPI_Master!$A:$A,0)&amp;":P"&amp;MATCH(SMALL(IF(KPI_Element_Map!$E$2:$E$287=$A28,KPI_Element_Map!$A$2:$A$287),COLUMNS($J28:X28)),KPI_Master!$A:$A,0),SMALL(IF(KPI_Element_Map!$E$2:$E$287=$A28,KPI_Element_Map!$A$2:$A$287),COLUMNS($J28:X28))),"")</f>
        <v/>
      </c>
      <c r="Y28" s="25" t="str">
        <f t="array" ref="Y28">IFERROR(HYPERLINK("#KPI_Master!A"&amp;MATCH(SMALL(IF(KPI_Element_Map!$E$2:$E$287=$A28,KPI_Element_Map!$A$2:$A$287),COLUMNS($J28:Y28)),KPI_Master!$A:$A,0)&amp;":P"&amp;MATCH(SMALL(IF(KPI_Element_Map!$E$2:$E$287=$A28,KPI_Element_Map!$A$2:$A$287),COLUMNS($J28:Y28)),KPI_Master!$A:$A,0),SMALL(IF(KPI_Element_Map!$E$2:$E$287=$A28,KPI_Element_Map!$A$2:$A$287),COLUMNS($J28:Y28))),"")</f>
        <v/>
      </c>
      <c r="Z28" s="25" t="str">
        <f t="array" ref="Z28">IFERROR(HYPERLINK("#KPI_Master!A"&amp;MATCH(SMALL(IF(KPI_Element_Map!$E$2:$E$287=$A28,KPI_Element_Map!$A$2:$A$287),COLUMNS($J28:Z28)),KPI_Master!$A:$A,0)&amp;":P"&amp;MATCH(SMALL(IF(KPI_Element_Map!$E$2:$E$287=$A28,KPI_Element_Map!$A$2:$A$287),COLUMNS($J28:Z28)),KPI_Master!$A:$A,0),SMALL(IF(KPI_Element_Map!$E$2:$E$287=$A28,KPI_Element_Map!$A$2:$A$287),COLUMNS($J28:Z28))),"")</f>
        <v/>
      </c>
      <c r="AA28" s="25" t="str">
        <f t="array" ref="AA28">IFERROR(HYPERLINK("#KPI_Master!A"&amp;MATCH(SMALL(IF(KPI_Element_Map!$E$2:$E$287=$A28,KPI_Element_Map!$A$2:$A$287),COLUMNS($J28:AA28)),KPI_Master!$A:$A,0)&amp;":P"&amp;MATCH(SMALL(IF(KPI_Element_Map!$E$2:$E$287=$A28,KPI_Element_Map!$A$2:$A$287),COLUMNS($J28:AA28)),KPI_Master!$A:$A,0),SMALL(IF(KPI_Element_Map!$E$2:$E$287=$A28,KPI_Element_Map!$A$2:$A$287),COLUMNS($J28:AA28))),"")</f>
        <v/>
      </c>
      <c r="AB28" s="25" t="str">
        <f t="array" ref="AB28">IFERROR(HYPERLINK("#KPI_Master!A"&amp;MATCH(SMALL(IF(KPI_Element_Map!$E$2:$E$287=$A28,KPI_Element_Map!$A$2:$A$287),COLUMNS($J28:AB28)),KPI_Master!$A:$A,0)&amp;":P"&amp;MATCH(SMALL(IF(KPI_Element_Map!$E$2:$E$287=$A28,KPI_Element_Map!$A$2:$A$287),COLUMNS($J28:AB28)),KPI_Master!$A:$A,0),SMALL(IF(KPI_Element_Map!$E$2:$E$287=$A28,KPI_Element_Map!$A$2:$A$287),COLUMNS($J28:AB28))),"")</f>
        <v/>
      </c>
      <c r="AC28" s="25" t="str">
        <f t="array" ref="AC28">IFERROR(HYPERLINK("#KPI_Master!A"&amp;MATCH(SMALL(IF(KPI_Element_Map!$E$2:$E$287=$A28,KPI_Element_Map!$A$2:$A$287),COLUMNS($J28:AC28)),KPI_Master!$A:$A,0)&amp;":P"&amp;MATCH(SMALL(IF(KPI_Element_Map!$E$2:$E$287=$A28,KPI_Element_Map!$A$2:$A$287),COLUMNS($J28:AC28)),KPI_Master!$A:$A,0),SMALL(IF(KPI_Element_Map!$E$2:$E$287=$A28,KPI_Element_Map!$A$2:$A$287),COLUMNS($J28:AC28))),"")</f>
        <v/>
      </c>
      <c r="AD28" s="25" t="str">
        <f t="array" ref="AD28">IFERROR(HYPERLINK("#KPI_Master!A"&amp;MATCH(SMALL(IF(KPI_Element_Map!$E$2:$E$287=$A28,KPI_Element_Map!$A$2:$A$287),COLUMNS($J28:AD28)),KPI_Master!$A:$A,0)&amp;":P"&amp;MATCH(SMALL(IF(KPI_Element_Map!$E$2:$E$287=$A28,KPI_Element_Map!$A$2:$A$287),COLUMNS($J28:AD28)),KPI_Master!$A:$A,0),SMALL(IF(KPI_Element_Map!$E$2:$E$287=$A28,KPI_Element_Map!$A$2:$A$287),COLUMNS($J28:AD28))),"")</f>
        <v/>
      </c>
      <c r="AE28" s="25" t="str">
        <f t="array" ref="AE28">IFERROR(HYPERLINK("#KPI_Master!A"&amp;MATCH(SMALL(IF(KPI_Element_Map!$E$2:$E$287=$A28,KPI_Element_Map!$A$2:$A$287),COLUMNS($J28:AE28)),KPI_Master!$A:$A,0)&amp;":P"&amp;MATCH(SMALL(IF(KPI_Element_Map!$E$2:$E$287=$A28,KPI_Element_Map!$A$2:$A$287),COLUMNS($J28:AE28)),KPI_Master!$A:$A,0),SMALL(IF(KPI_Element_Map!$E$2:$E$287=$A28,KPI_Element_Map!$A$2:$A$287),COLUMNS($J28:AE28))),"")</f>
        <v/>
      </c>
      <c r="AF28" s="25" t="str">
        <f t="array" ref="AF28">IFERROR(HYPERLINK("#KPI_Master!A"&amp;MATCH(SMALL(IF(KPI_Element_Map!$E$2:$E$287=$A28,KPI_Element_Map!$A$2:$A$287),COLUMNS($J28:AF28)),KPI_Master!$A:$A,0)&amp;":P"&amp;MATCH(SMALL(IF(KPI_Element_Map!$E$2:$E$287=$A28,KPI_Element_Map!$A$2:$A$287),COLUMNS($J28:AF28)),KPI_Master!$A:$A,0),SMALL(IF(KPI_Element_Map!$E$2:$E$287=$A28,KPI_Element_Map!$A$2:$A$287),COLUMNS($J28:AF28))),"")</f>
        <v/>
      </c>
      <c r="AG28" s="25" t="str">
        <f t="array" ref="AG28">IFERROR(HYPERLINK("#KPI_Master!A"&amp;MATCH(SMALL(IF(KPI_Element_Map!$E$2:$E$287=$A28,KPI_Element_Map!$A$2:$A$287),COLUMNS($J28:AG28)),KPI_Master!$A:$A,0)&amp;":P"&amp;MATCH(SMALL(IF(KPI_Element_Map!$E$2:$E$287=$A28,KPI_Element_Map!$A$2:$A$287),COLUMNS($J28:AG28)),KPI_Master!$A:$A,0),SMALL(IF(KPI_Element_Map!$E$2:$E$287=$A28,KPI_Element_Map!$A$2:$A$287),COLUMNS($J28:AG28))),"")</f>
        <v/>
      </c>
      <c r="AH28" s="25" t="str">
        <f t="array" ref="AH28">IFERROR(HYPERLINK("#KPI_Master!A"&amp;MATCH(SMALL(IF(KPI_Element_Map!$E$2:$E$287=$A28,KPI_Element_Map!$A$2:$A$287),COLUMNS($J28:AH28)),KPI_Master!$A:$A,0)&amp;":P"&amp;MATCH(SMALL(IF(KPI_Element_Map!$E$2:$E$287=$A28,KPI_Element_Map!$A$2:$A$287),COLUMNS($J28:AH28)),KPI_Master!$A:$A,0),SMALL(IF(KPI_Element_Map!$E$2:$E$287=$A28,KPI_Element_Map!$A$2:$A$287),COLUMNS($J28:AH28))),"")</f>
        <v/>
      </c>
    </row>
    <row r="29" spans="1:34">
      <c r="A29" s="21" t="s">
        <v>1004</v>
      </c>
      <c r="B29" s="22" t="s">
        <v>1005</v>
      </c>
      <c r="C29" s="23" t="s">
        <v>1006</v>
      </c>
      <c r="D29" s="23" t="str">
        <f t="array" ref="D29">_xlfn.TEXTJOIN(", ",TRUE(),IF(KPI_Element_Map!$E$2:$E$287=$A29,KPI_Element_Map!$A$2:$A$287,""))</f>
        <v>15, 16</v>
      </c>
      <c r="E29" s="21">
        <f>COUNTIF(KPI_Element_Map!$E$2:$E$287,$A29)</f>
        <v>2</v>
      </c>
      <c r="F29" s="21">
        <f>COUNTIFS(KPI_Element_Map!$E$2:$E$287,$A29,KPI_Element_Map!$D$2:$D$287,"1 - Core")</f>
        <v>1</v>
      </c>
      <c r="G29" s="24" t="s">
        <v>1007</v>
      </c>
      <c r="H29" s="23" t="str">
        <f>INDEX(Minimum_Documents!$B:$B,MATCH($G29,Minimum_Documents!$A:$A,0))</f>
        <v>AR Aging Report</v>
      </c>
      <c r="J29" s="25">
        <f t="array" ref="J29">IFERROR(HYPERLINK("#KPI_Master!A"&amp;MATCH(SMALL(IF(KPI_Element_Map!$E$2:$E$287=$A29,KPI_Element_Map!$A$2:$A$287),COLUMNS($J29:J29)),KPI_Master!$A:$A,0)&amp;":P"&amp;MATCH(SMALL(IF(KPI_Element_Map!$E$2:$E$287=$A29,KPI_Element_Map!$A$2:$A$287),COLUMNS($J29:J29)),KPI_Master!$A:$A,0),SMALL(IF(KPI_Element_Map!$E$2:$E$287=$A29,KPI_Element_Map!$A$2:$A$287),COLUMNS($J29:J29))),"")</f>
        <v>15</v>
      </c>
      <c r="K29" s="25">
        <f t="array" ref="K29">IFERROR(HYPERLINK("#KPI_Master!A"&amp;MATCH(SMALL(IF(KPI_Element_Map!$E$2:$E$287=$A29,KPI_Element_Map!$A$2:$A$287),COLUMNS($J29:K29)),KPI_Master!$A:$A,0)&amp;":P"&amp;MATCH(SMALL(IF(KPI_Element_Map!$E$2:$E$287=$A29,KPI_Element_Map!$A$2:$A$287),COLUMNS($J29:K29)),KPI_Master!$A:$A,0),SMALL(IF(KPI_Element_Map!$E$2:$E$287=$A29,KPI_Element_Map!$A$2:$A$287),COLUMNS($J29:K29))),"")</f>
        <v>16</v>
      </c>
      <c r="L29" s="25" t="str">
        <f t="array" ref="L29">IFERROR(HYPERLINK("#KPI_Master!A"&amp;MATCH(SMALL(IF(KPI_Element_Map!$E$2:$E$287=$A29,KPI_Element_Map!$A$2:$A$287),COLUMNS($J29:L29)),KPI_Master!$A:$A,0)&amp;":P"&amp;MATCH(SMALL(IF(KPI_Element_Map!$E$2:$E$287=$A29,KPI_Element_Map!$A$2:$A$287),COLUMNS($J29:L29)),KPI_Master!$A:$A,0),SMALL(IF(KPI_Element_Map!$E$2:$E$287=$A29,KPI_Element_Map!$A$2:$A$287),COLUMNS($J29:L29))),"")</f>
        <v/>
      </c>
      <c r="M29" s="25" t="str">
        <f t="array" ref="M29">IFERROR(HYPERLINK("#KPI_Master!A"&amp;MATCH(SMALL(IF(KPI_Element_Map!$E$2:$E$287=$A29,KPI_Element_Map!$A$2:$A$287),COLUMNS($J29:M29)),KPI_Master!$A:$A,0)&amp;":P"&amp;MATCH(SMALL(IF(KPI_Element_Map!$E$2:$E$287=$A29,KPI_Element_Map!$A$2:$A$287),COLUMNS($J29:M29)),KPI_Master!$A:$A,0),SMALL(IF(KPI_Element_Map!$E$2:$E$287=$A29,KPI_Element_Map!$A$2:$A$287),COLUMNS($J29:M29))),"")</f>
        <v/>
      </c>
      <c r="N29" s="25" t="str">
        <f t="array" ref="N29">IFERROR(HYPERLINK("#KPI_Master!A"&amp;MATCH(SMALL(IF(KPI_Element_Map!$E$2:$E$287=$A29,KPI_Element_Map!$A$2:$A$287),COLUMNS($J29:N29)),KPI_Master!$A:$A,0)&amp;":P"&amp;MATCH(SMALL(IF(KPI_Element_Map!$E$2:$E$287=$A29,KPI_Element_Map!$A$2:$A$287),COLUMNS($J29:N29)),KPI_Master!$A:$A,0),SMALL(IF(KPI_Element_Map!$E$2:$E$287=$A29,KPI_Element_Map!$A$2:$A$287),COLUMNS($J29:N29))),"")</f>
        <v/>
      </c>
      <c r="O29" s="25" t="str">
        <f t="array" ref="O29">IFERROR(HYPERLINK("#KPI_Master!A"&amp;MATCH(SMALL(IF(KPI_Element_Map!$E$2:$E$287=$A29,KPI_Element_Map!$A$2:$A$287),COLUMNS($J29:O29)),KPI_Master!$A:$A,0)&amp;":P"&amp;MATCH(SMALL(IF(KPI_Element_Map!$E$2:$E$287=$A29,KPI_Element_Map!$A$2:$A$287),COLUMNS($J29:O29)),KPI_Master!$A:$A,0),SMALL(IF(KPI_Element_Map!$E$2:$E$287=$A29,KPI_Element_Map!$A$2:$A$287),COLUMNS($J29:O29))),"")</f>
        <v/>
      </c>
      <c r="P29" s="25" t="str">
        <f t="array" ref="P29">IFERROR(HYPERLINK("#KPI_Master!A"&amp;MATCH(SMALL(IF(KPI_Element_Map!$E$2:$E$287=$A29,KPI_Element_Map!$A$2:$A$287),COLUMNS($J29:P29)),KPI_Master!$A:$A,0)&amp;":P"&amp;MATCH(SMALL(IF(KPI_Element_Map!$E$2:$E$287=$A29,KPI_Element_Map!$A$2:$A$287),COLUMNS($J29:P29)),KPI_Master!$A:$A,0),SMALL(IF(KPI_Element_Map!$E$2:$E$287=$A29,KPI_Element_Map!$A$2:$A$287),COLUMNS($J29:P29))),"")</f>
        <v/>
      </c>
      <c r="Q29" s="25" t="str">
        <f t="array" ref="Q29">IFERROR(HYPERLINK("#KPI_Master!A"&amp;MATCH(SMALL(IF(KPI_Element_Map!$E$2:$E$287=$A29,KPI_Element_Map!$A$2:$A$287),COLUMNS($J29:Q29)),KPI_Master!$A:$A,0)&amp;":P"&amp;MATCH(SMALL(IF(KPI_Element_Map!$E$2:$E$287=$A29,KPI_Element_Map!$A$2:$A$287),COLUMNS($J29:Q29)),KPI_Master!$A:$A,0),SMALL(IF(KPI_Element_Map!$E$2:$E$287=$A29,KPI_Element_Map!$A$2:$A$287),COLUMNS($J29:Q29))),"")</f>
        <v/>
      </c>
      <c r="R29" s="25" t="str">
        <f t="array" ref="R29">IFERROR(HYPERLINK("#KPI_Master!A"&amp;MATCH(SMALL(IF(KPI_Element_Map!$E$2:$E$287=$A29,KPI_Element_Map!$A$2:$A$287),COLUMNS($J29:R29)),KPI_Master!$A:$A,0)&amp;":P"&amp;MATCH(SMALL(IF(KPI_Element_Map!$E$2:$E$287=$A29,KPI_Element_Map!$A$2:$A$287),COLUMNS($J29:R29)),KPI_Master!$A:$A,0),SMALL(IF(KPI_Element_Map!$E$2:$E$287=$A29,KPI_Element_Map!$A$2:$A$287),COLUMNS($J29:R29))),"")</f>
        <v/>
      </c>
      <c r="S29" s="25" t="str">
        <f t="array" ref="S29">IFERROR(HYPERLINK("#KPI_Master!A"&amp;MATCH(SMALL(IF(KPI_Element_Map!$E$2:$E$287=$A29,KPI_Element_Map!$A$2:$A$287),COLUMNS($J29:S29)),KPI_Master!$A:$A,0)&amp;":P"&amp;MATCH(SMALL(IF(KPI_Element_Map!$E$2:$E$287=$A29,KPI_Element_Map!$A$2:$A$287),COLUMNS($J29:S29)),KPI_Master!$A:$A,0),SMALL(IF(KPI_Element_Map!$E$2:$E$287=$A29,KPI_Element_Map!$A$2:$A$287),COLUMNS($J29:S29))),"")</f>
        <v/>
      </c>
      <c r="T29" s="25" t="str">
        <f t="array" ref="T29">IFERROR(HYPERLINK("#KPI_Master!A"&amp;MATCH(SMALL(IF(KPI_Element_Map!$E$2:$E$287=$A29,KPI_Element_Map!$A$2:$A$287),COLUMNS($J29:T29)),KPI_Master!$A:$A,0)&amp;":P"&amp;MATCH(SMALL(IF(KPI_Element_Map!$E$2:$E$287=$A29,KPI_Element_Map!$A$2:$A$287),COLUMNS($J29:T29)),KPI_Master!$A:$A,0),SMALL(IF(KPI_Element_Map!$E$2:$E$287=$A29,KPI_Element_Map!$A$2:$A$287),COLUMNS($J29:T29))),"")</f>
        <v/>
      </c>
      <c r="U29" s="25" t="str">
        <f t="array" ref="U29">IFERROR(HYPERLINK("#KPI_Master!A"&amp;MATCH(SMALL(IF(KPI_Element_Map!$E$2:$E$287=$A29,KPI_Element_Map!$A$2:$A$287),COLUMNS($J29:U29)),KPI_Master!$A:$A,0)&amp;":P"&amp;MATCH(SMALL(IF(KPI_Element_Map!$E$2:$E$287=$A29,KPI_Element_Map!$A$2:$A$287),COLUMNS($J29:U29)),KPI_Master!$A:$A,0),SMALL(IF(KPI_Element_Map!$E$2:$E$287=$A29,KPI_Element_Map!$A$2:$A$287),COLUMNS($J29:U29))),"")</f>
        <v/>
      </c>
      <c r="V29" s="25" t="str">
        <f t="array" ref="V29">IFERROR(HYPERLINK("#KPI_Master!A"&amp;MATCH(SMALL(IF(KPI_Element_Map!$E$2:$E$287=$A29,KPI_Element_Map!$A$2:$A$287),COLUMNS($J29:V29)),KPI_Master!$A:$A,0)&amp;":P"&amp;MATCH(SMALL(IF(KPI_Element_Map!$E$2:$E$287=$A29,KPI_Element_Map!$A$2:$A$287),COLUMNS($J29:V29)),KPI_Master!$A:$A,0),SMALL(IF(KPI_Element_Map!$E$2:$E$287=$A29,KPI_Element_Map!$A$2:$A$287),COLUMNS($J29:V29))),"")</f>
        <v/>
      </c>
      <c r="W29" s="25" t="str">
        <f t="array" ref="W29">IFERROR(HYPERLINK("#KPI_Master!A"&amp;MATCH(SMALL(IF(KPI_Element_Map!$E$2:$E$287=$A29,KPI_Element_Map!$A$2:$A$287),COLUMNS($J29:W29)),KPI_Master!$A:$A,0)&amp;":P"&amp;MATCH(SMALL(IF(KPI_Element_Map!$E$2:$E$287=$A29,KPI_Element_Map!$A$2:$A$287),COLUMNS($J29:W29)),KPI_Master!$A:$A,0),SMALL(IF(KPI_Element_Map!$E$2:$E$287=$A29,KPI_Element_Map!$A$2:$A$287),COLUMNS($J29:W29))),"")</f>
        <v/>
      </c>
      <c r="X29" s="25" t="str">
        <f t="array" ref="X29">IFERROR(HYPERLINK("#KPI_Master!A"&amp;MATCH(SMALL(IF(KPI_Element_Map!$E$2:$E$287=$A29,KPI_Element_Map!$A$2:$A$287),COLUMNS($J29:X29)),KPI_Master!$A:$A,0)&amp;":P"&amp;MATCH(SMALL(IF(KPI_Element_Map!$E$2:$E$287=$A29,KPI_Element_Map!$A$2:$A$287),COLUMNS($J29:X29)),KPI_Master!$A:$A,0),SMALL(IF(KPI_Element_Map!$E$2:$E$287=$A29,KPI_Element_Map!$A$2:$A$287),COLUMNS($J29:X29))),"")</f>
        <v/>
      </c>
      <c r="Y29" s="25" t="str">
        <f t="array" ref="Y29">IFERROR(HYPERLINK("#KPI_Master!A"&amp;MATCH(SMALL(IF(KPI_Element_Map!$E$2:$E$287=$A29,KPI_Element_Map!$A$2:$A$287),COLUMNS($J29:Y29)),KPI_Master!$A:$A,0)&amp;":P"&amp;MATCH(SMALL(IF(KPI_Element_Map!$E$2:$E$287=$A29,KPI_Element_Map!$A$2:$A$287),COLUMNS($J29:Y29)),KPI_Master!$A:$A,0),SMALL(IF(KPI_Element_Map!$E$2:$E$287=$A29,KPI_Element_Map!$A$2:$A$287),COLUMNS($J29:Y29))),"")</f>
        <v/>
      </c>
      <c r="Z29" s="25" t="str">
        <f t="array" ref="Z29">IFERROR(HYPERLINK("#KPI_Master!A"&amp;MATCH(SMALL(IF(KPI_Element_Map!$E$2:$E$287=$A29,KPI_Element_Map!$A$2:$A$287),COLUMNS($J29:Z29)),KPI_Master!$A:$A,0)&amp;":P"&amp;MATCH(SMALL(IF(KPI_Element_Map!$E$2:$E$287=$A29,KPI_Element_Map!$A$2:$A$287),COLUMNS($J29:Z29)),KPI_Master!$A:$A,0),SMALL(IF(KPI_Element_Map!$E$2:$E$287=$A29,KPI_Element_Map!$A$2:$A$287),COLUMNS($J29:Z29))),"")</f>
        <v/>
      </c>
      <c r="AA29" s="25" t="str">
        <f t="array" ref="AA29">IFERROR(HYPERLINK("#KPI_Master!A"&amp;MATCH(SMALL(IF(KPI_Element_Map!$E$2:$E$287=$A29,KPI_Element_Map!$A$2:$A$287),COLUMNS($J29:AA29)),KPI_Master!$A:$A,0)&amp;":P"&amp;MATCH(SMALL(IF(KPI_Element_Map!$E$2:$E$287=$A29,KPI_Element_Map!$A$2:$A$287),COLUMNS($J29:AA29)),KPI_Master!$A:$A,0),SMALL(IF(KPI_Element_Map!$E$2:$E$287=$A29,KPI_Element_Map!$A$2:$A$287),COLUMNS($J29:AA29))),"")</f>
        <v/>
      </c>
      <c r="AB29" s="25" t="str">
        <f t="array" ref="AB29">IFERROR(HYPERLINK("#KPI_Master!A"&amp;MATCH(SMALL(IF(KPI_Element_Map!$E$2:$E$287=$A29,KPI_Element_Map!$A$2:$A$287),COLUMNS($J29:AB29)),KPI_Master!$A:$A,0)&amp;":P"&amp;MATCH(SMALL(IF(KPI_Element_Map!$E$2:$E$287=$A29,KPI_Element_Map!$A$2:$A$287),COLUMNS($J29:AB29)),KPI_Master!$A:$A,0),SMALL(IF(KPI_Element_Map!$E$2:$E$287=$A29,KPI_Element_Map!$A$2:$A$287),COLUMNS($J29:AB29))),"")</f>
        <v/>
      </c>
      <c r="AC29" s="25" t="str">
        <f t="array" ref="AC29">IFERROR(HYPERLINK("#KPI_Master!A"&amp;MATCH(SMALL(IF(KPI_Element_Map!$E$2:$E$287=$A29,KPI_Element_Map!$A$2:$A$287),COLUMNS($J29:AC29)),KPI_Master!$A:$A,0)&amp;":P"&amp;MATCH(SMALL(IF(KPI_Element_Map!$E$2:$E$287=$A29,KPI_Element_Map!$A$2:$A$287),COLUMNS($J29:AC29)),KPI_Master!$A:$A,0),SMALL(IF(KPI_Element_Map!$E$2:$E$287=$A29,KPI_Element_Map!$A$2:$A$287),COLUMNS($J29:AC29))),"")</f>
        <v/>
      </c>
      <c r="AD29" s="25" t="str">
        <f t="array" ref="AD29">IFERROR(HYPERLINK("#KPI_Master!A"&amp;MATCH(SMALL(IF(KPI_Element_Map!$E$2:$E$287=$A29,KPI_Element_Map!$A$2:$A$287),COLUMNS($J29:AD29)),KPI_Master!$A:$A,0)&amp;":P"&amp;MATCH(SMALL(IF(KPI_Element_Map!$E$2:$E$287=$A29,KPI_Element_Map!$A$2:$A$287),COLUMNS($J29:AD29)),KPI_Master!$A:$A,0),SMALL(IF(KPI_Element_Map!$E$2:$E$287=$A29,KPI_Element_Map!$A$2:$A$287),COLUMNS($J29:AD29))),"")</f>
        <v/>
      </c>
      <c r="AE29" s="25" t="str">
        <f t="array" ref="AE29">IFERROR(HYPERLINK("#KPI_Master!A"&amp;MATCH(SMALL(IF(KPI_Element_Map!$E$2:$E$287=$A29,KPI_Element_Map!$A$2:$A$287),COLUMNS($J29:AE29)),KPI_Master!$A:$A,0)&amp;":P"&amp;MATCH(SMALL(IF(KPI_Element_Map!$E$2:$E$287=$A29,KPI_Element_Map!$A$2:$A$287),COLUMNS($J29:AE29)),KPI_Master!$A:$A,0),SMALL(IF(KPI_Element_Map!$E$2:$E$287=$A29,KPI_Element_Map!$A$2:$A$287),COLUMNS($J29:AE29))),"")</f>
        <v/>
      </c>
      <c r="AF29" s="25" t="str">
        <f t="array" ref="AF29">IFERROR(HYPERLINK("#KPI_Master!A"&amp;MATCH(SMALL(IF(KPI_Element_Map!$E$2:$E$287=$A29,KPI_Element_Map!$A$2:$A$287),COLUMNS($J29:AF29)),KPI_Master!$A:$A,0)&amp;":P"&amp;MATCH(SMALL(IF(KPI_Element_Map!$E$2:$E$287=$A29,KPI_Element_Map!$A$2:$A$287),COLUMNS($J29:AF29)),KPI_Master!$A:$A,0),SMALL(IF(KPI_Element_Map!$E$2:$E$287=$A29,KPI_Element_Map!$A$2:$A$287),COLUMNS($J29:AF29))),"")</f>
        <v/>
      </c>
      <c r="AG29" s="25" t="str">
        <f t="array" ref="AG29">IFERROR(HYPERLINK("#KPI_Master!A"&amp;MATCH(SMALL(IF(KPI_Element_Map!$E$2:$E$287=$A29,KPI_Element_Map!$A$2:$A$287),COLUMNS($J29:AG29)),KPI_Master!$A:$A,0)&amp;":P"&amp;MATCH(SMALL(IF(KPI_Element_Map!$E$2:$E$287=$A29,KPI_Element_Map!$A$2:$A$287),COLUMNS($J29:AG29)),KPI_Master!$A:$A,0),SMALL(IF(KPI_Element_Map!$E$2:$E$287=$A29,KPI_Element_Map!$A$2:$A$287),COLUMNS($J29:AG29))),"")</f>
        <v/>
      </c>
      <c r="AH29" s="25" t="str">
        <f t="array" ref="AH29">IFERROR(HYPERLINK("#KPI_Master!A"&amp;MATCH(SMALL(IF(KPI_Element_Map!$E$2:$E$287=$A29,KPI_Element_Map!$A$2:$A$287),COLUMNS($J29:AH29)),KPI_Master!$A:$A,0)&amp;":P"&amp;MATCH(SMALL(IF(KPI_Element_Map!$E$2:$E$287=$A29,KPI_Element_Map!$A$2:$A$287),COLUMNS($J29:AH29)),KPI_Master!$A:$A,0),SMALL(IF(KPI_Element_Map!$E$2:$E$287=$A29,KPI_Element_Map!$A$2:$A$287),COLUMNS($J29:AH29))),"")</f>
        <v/>
      </c>
    </row>
    <row r="30" spans="1:34" ht="28.5" customHeight="1">
      <c r="A30" s="21" t="s">
        <v>1008</v>
      </c>
      <c r="B30" s="22" t="s">
        <v>1009</v>
      </c>
      <c r="C30" s="23" t="s">
        <v>1010</v>
      </c>
      <c r="D30" s="23" t="str">
        <f t="array" ref="D30">_xlfn.TEXTJOIN(", ",TRUE(),IF(KPI_Element_Map!$E$2:$E$287=$A30,KPI_Element_Map!$A$2:$A$287,""))</f>
        <v>11, 43, 49, 52, 56, 57, 58, 95</v>
      </c>
      <c r="E30" s="21">
        <f>COUNTIF(KPI_Element_Map!$E$2:$E$287,$A30)</f>
        <v>8</v>
      </c>
      <c r="F30" s="21">
        <f>COUNTIFS(KPI_Element_Map!$E$2:$E$287,$A30,KPI_Element_Map!$D$2:$D$287,"1 - Core")</f>
        <v>2</v>
      </c>
      <c r="G30" s="24" t="s">
        <v>1011</v>
      </c>
      <c r="H30" s="23" t="str">
        <f>INDEX(Minimum_Documents!$B:$B,MATCH($G30,Minimum_Documents!$A:$A,0))</f>
        <v>Payroll Register (hours and wages by employee, job class and department)</v>
      </c>
      <c r="J30" s="25">
        <f t="array" ref="J30">IFERROR(HYPERLINK("#KPI_Master!A"&amp;MATCH(SMALL(IF(KPI_Element_Map!$E$2:$E$287=$A30,KPI_Element_Map!$A$2:$A$287),COLUMNS($J30:J30)),KPI_Master!$A:$A,0)&amp;":P"&amp;MATCH(SMALL(IF(KPI_Element_Map!$E$2:$E$287=$A30,KPI_Element_Map!$A$2:$A$287),COLUMNS($J30:J30)),KPI_Master!$A:$A,0),SMALL(IF(KPI_Element_Map!$E$2:$E$287=$A30,KPI_Element_Map!$A$2:$A$287),COLUMNS($J30:J30))),"")</f>
        <v>11</v>
      </c>
      <c r="K30" s="25">
        <f t="array" ref="K30">IFERROR(HYPERLINK("#KPI_Master!A"&amp;MATCH(SMALL(IF(KPI_Element_Map!$E$2:$E$287=$A30,KPI_Element_Map!$A$2:$A$287),COLUMNS($J30:K30)),KPI_Master!$A:$A,0)&amp;":P"&amp;MATCH(SMALL(IF(KPI_Element_Map!$E$2:$E$287=$A30,KPI_Element_Map!$A$2:$A$287),COLUMNS($J30:K30)),KPI_Master!$A:$A,0),SMALL(IF(KPI_Element_Map!$E$2:$E$287=$A30,KPI_Element_Map!$A$2:$A$287),COLUMNS($J30:K30))),"")</f>
        <v>43</v>
      </c>
      <c r="L30" s="25">
        <f t="array" ref="L30">IFERROR(HYPERLINK("#KPI_Master!A"&amp;MATCH(SMALL(IF(KPI_Element_Map!$E$2:$E$287=$A30,KPI_Element_Map!$A$2:$A$287),COLUMNS($J30:L30)),KPI_Master!$A:$A,0)&amp;":P"&amp;MATCH(SMALL(IF(KPI_Element_Map!$E$2:$E$287=$A30,KPI_Element_Map!$A$2:$A$287),COLUMNS($J30:L30)),KPI_Master!$A:$A,0),SMALL(IF(KPI_Element_Map!$E$2:$E$287=$A30,KPI_Element_Map!$A$2:$A$287),COLUMNS($J30:L30))),"")</f>
        <v>49</v>
      </c>
      <c r="M30" s="25">
        <f t="array" ref="M30">IFERROR(HYPERLINK("#KPI_Master!A"&amp;MATCH(SMALL(IF(KPI_Element_Map!$E$2:$E$287=$A30,KPI_Element_Map!$A$2:$A$287),COLUMNS($J30:M30)),KPI_Master!$A:$A,0)&amp;":P"&amp;MATCH(SMALL(IF(KPI_Element_Map!$E$2:$E$287=$A30,KPI_Element_Map!$A$2:$A$287),COLUMNS($J30:M30)),KPI_Master!$A:$A,0),SMALL(IF(KPI_Element_Map!$E$2:$E$287=$A30,KPI_Element_Map!$A$2:$A$287),COLUMNS($J30:M30))),"")</f>
        <v>52</v>
      </c>
      <c r="N30" s="25">
        <f t="array" ref="N30">IFERROR(HYPERLINK("#KPI_Master!A"&amp;MATCH(SMALL(IF(KPI_Element_Map!$E$2:$E$287=$A30,KPI_Element_Map!$A$2:$A$287),COLUMNS($J30:N30)),KPI_Master!$A:$A,0)&amp;":P"&amp;MATCH(SMALL(IF(KPI_Element_Map!$E$2:$E$287=$A30,KPI_Element_Map!$A$2:$A$287),COLUMNS($J30:N30)),KPI_Master!$A:$A,0),SMALL(IF(KPI_Element_Map!$E$2:$E$287=$A30,KPI_Element_Map!$A$2:$A$287),COLUMNS($J30:N30))),"")</f>
        <v>56</v>
      </c>
      <c r="O30" s="25">
        <f t="array" ref="O30">IFERROR(HYPERLINK("#KPI_Master!A"&amp;MATCH(SMALL(IF(KPI_Element_Map!$E$2:$E$287=$A30,KPI_Element_Map!$A$2:$A$287),COLUMNS($J30:O30)),KPI_Master!$A:$A,0)&amp;":P"&amp;MATCH(SMALL(IF(KPI_Element_Map!$E$2:$E$287=$A30,KPI_Element_Map!$A$2:$A$287),COLUMNS($J30:O30)),KPI_Master!$A:$A,0),SMALL(IF(KPI_Element_Map!$E$2:$E$287=$A30,KPI_Element_Map!$A$2:$A$287),COLUMNS($J30:O30))),"")</f>
        <v>57</v>
      </c>
      <c r="P30" s="25">
        <f t="array" ref="P30">IFERROR(HYPERLINK("#KPI_Master!A"&amp;MATCH(SMALL(IF(KPI_Element_Map!$E$2:$E$287=$A30,KPI_Element_Map!$A$2:$A$287),COLUMNS($J30:P30)),KPI_Master!$A:$A,0)&amp;":P"&amp;MATCH(SMALL(IF(KPI_Element_Map!$E$2:$E$287=$A30,KPI_Element_Map!$A$2:$A$287),COLUMNS($J30:P30)),KPI_Master!$A:$A,0),SMALL(IF(KPI_Element_Map!$E$2:$E$287=$A30,KPI_Element_Map!$A$2:$A$287),COLUMNS($J30:P30))),"")</f>
        <v>58</v>
      </c>
      <c r="Q30" s="25">
        <f t="array" ref="Q30">IFERROR(HYPERLINK("#KPI_Master!A"&amp;MATCH(SMALL(IF(KPI_Element_Map!$E$2:$E$287=$A30,KPI_Element_Map!$A$2:$A$287),COLUMNS($J30:Q30)),KPI_Master!$A:$A,0)&amp;":P"&amp;MATCH(SMALL(IF(KPI_Element_Map!$E$2:$E$287=$A30,KPI_Element_Map!$A$2:$A$287),COLUMNS($J30:Q30)),KPI_Master!$A:$A,0),SMALL(IF(KPI_Element_Map!$E$2:$E$287=$A30,KPI_Element_Map!$A$2:$A$287),COLUMNS($J30:Q30))),"")</f>
        <v>95</v>
      </c>
      <c r="R30" s="25" t="str">
        <f t="array" ref="R30">IFERROR(HYPERLINK("#KPI_Master!A"&amp;MATCH(SMALL(IF(KPI_Element_Map!$E$2:$E$287=$A30,KPI_Element_Map!$A$2:$A$287),COLUMNS($J30:R30)),KPI_Master!$A:$A,0)&amp;":P"&amp;MATCH(SMALL(IF(KPI_Element_Map!$E$2:$E$287=$A30,KPI_Element_Map!$A$2:$A$287),COLUMNS($J30:R30)),KPI_Master!$A:$A,0),SMALL(IF(KPI_Element_Map!$E$2:$E$287=$A30,KPI_Element_Map!$A$2:$A$287),COLUMNS($J30:R30))),"")</f>
        <v/>
      </c>
      <c r="S30" s="25" t="str">
        <f t="array" ref="S30">IFERROR(HYPERLINK("#KPI_Master!A"&amp;MATCH(SMALL(IF(KPI_Element_Map!$E$2:$E$287=$A30,KPI_Element_Map!$A$2:$A$287),COLUMNS($J30:S30)),KPI_Master!$A:$A,0)&amp;":P"&amp;MATCH(SMALL(IF(KPI_Element_Map!$E$2:$E$287=$A30,KPI_Element_Map!$A$2:$A$287),COLUMNS($J30:S30)),KPI_Master!$A:$A,0),SMALL(IF(KPI_Element_Map!$E$2:$E$287=$A30,KPI_Element_Map!$A$2:$A$287),COLUMNS($J30:S30))),"")</f>
        <v/>
      </c>
      <c r="T30" s="25" t="str">
        <f t="array" ref="T30">IFERROR(HYPERLINK("#KPI_Master!A"&amp;MATCH(SMALL(IF(KPI_Element_Map!$E$2:$E$287=$A30,KPI_Element_Map!$A$2:$A$287),COLUMNS($J30:T30)),KPI_Master!$A:$A,0)&amp;":P"&amp;MATCH(SMALL(IF(KPI_Element_Map!$E$2:$E$287=$A30,KPI_Element_Map!$A$2:$A$287),COLUMNS($J30:T30)),KPI_Master!$A:$A,0),SMALL(IF(KPI_Element_Map!$E$2:$E$287=$A30,KPI_Element_Map!$A$2:$A$287),COLUMNS($J30:T30))),"")</f>
        <v/>
      </c>
      <c r="U30" s="25" t="str">
        <f t="array" ref="U30">IFERROR(HYPERLINK("#KPI_Master!A"&amp;MATCH(SMALL(IF(KPI_Element_Map!$E$2:$E$287=$A30,KPI_Element_Map!$A$2:$A$287),COLUMNS($J30:U30)),KPI_Master!$A:$A,0)&amp;":P"&amp;MATCH(SMALL(IF(KPI_Element_Map!$E$2:$E$287=$A30,KPI_Element_Map!$A$2:$A$287),COLUMNS($J30:U30)),KPI_Master!$A:$A,0),SMALL(IF(KPI_Element_Map!$E$2:$E$287=$A30,KPI_Element_Map!$A$2:$A$287),COLUMNS($J30:U30))),"")</f>
        <v/>
      </c>
      <c r="V30" s="25" t="str">
        <f t="array" ref="V30">IFERROR(HYPERLINK("#KPI_Master!A"&amp;MATCH(SMALL(IF(KPI_Element_Map!$E$2:$E$287=$A30,KPI_Element_Map!$A$2:$A$287),COLUMNS($J30:V30)),KPI_Master!$A:$A,0)&amp;":P"&amp;MATCH(SMALL(IF(KPI_Element_Map!$E$2:$E$287=$A30,KPI_Element_Map!$A$2:$A$287),COLUMNS($J30:V30)),KPI_Master!$A:$A,0),SMALL(IF(KPI_Element_Map!$E$2:$E$287=$A30,KPI_Element_Map!$A$2:$A$287),COLUMNS($J30:V30))),"")</f>
        <v/>
      </c>
      <c r="W30" s="25" t="str">
        <f t="array" ref="W30">IFERROR(HYPERLINK("#KPI_Master!A"&amp;MATCH(SMALL(IF(KPI_Element_Map!$E$2:$E$287=$A30,KPI_Element_Map!$A$2:$A$287),COLUMNS($J30:W30)),KPI_Master!$A:$A,0)&amp;":P"&amp;MATCH(SMALL(IF(KPI_Element_Map!$E$2:$E$287=$A30,KPI_Element_Map!$A$2:$A$287),COLUMNS($J30:W30)),KPI_Master!$A:$A,0),SMALL(IF(KPI_Element_Map!$E$2:$E$287=$A30,KPI_Element_Map!$A$2:$A$287),COLUMNS($J30:W30))),"")</f>
        <v/>
      </c>
      <c r="X30" s="25" t="str">
        <f t="array" ref="X30">IFERROR(HYPERLINK("#KPI_Master!A"&amp;MATCH(SMALL(IF(KPI_Element_Map!$E$2:$E$287=$A30,KPI_Element_Map!$A$2:$A$287),COLUMNS($J30:X30)),KPI_Master!$A:$A,0)&amp;":P"&amp;MATCH(SMALL(IF(KPI_Element_Map!$E$2:$E$287=$A30,KPI_Element_Map!$A$2:$A$287),COLUMNS($J30:X30)),KPI_Master!$A:$A,0),SMALL(IF(KPI_Element_Map!$E$2:$E$287=$A30,KPI_Element_Map!$A$2:$A$287),COLUMNS($J30:X30))),"")</f>
        <v/>
      </c>
      <c r="Y30" s="25" t="str">
        <f t="array" ref="Y30">IFERROR(HYPERLINK("#KPI_Master!A"&amp;MATCH(SMALL(IF(KPI_Element_Map!$E$2:$E$287=$A30,KPI_Element_Map!$A$2:$A$287),COLUMNS($J30:Y30)),KPI_Master!$A:$A,0)&amp;":P"&amp;MATCH(SMALL(IF(KPI_Element_Map!$E$2:$E$287=$A30,KPI_Element_Map!$A$2:$A$287),COLUMNS($J30:Y30)),KPI_Master!$A:$A,0),SMALL(IF(KPI_Element_Map!$E$2:$E$287=$A30,KPI_Element_Map!$A$2:$A$287),COLUMNS($J30:Y30))),"")</f>
        <v/>
      </c>
      <c r="Z30" s="25" t="str">
        <f t="array" ref="Z30">IFERROR(HYPERLINK("#KPI_Master!A"&amp;MATCH(SMALL(IF(KPI_Element_Map!$E$2:$E$287=$A30,KPI_Element_Map!$A$2:$A$287),COLUMNS($J30:Z30)),KPI_Master!$A:$A,0)&amp;":P"&amp;MATCH(SMALL(IF(KPI_Element_Map!$E$2:$E$287=$A30,KPI_Element_Map!$A$2:$A$287),COLUMNS($J30:Z30)),KPI_Master!$A:$A,0),SMALL(IF(KPI_Element_Map!$E$2:$E$287=$A30,KPI_Element_Map!$A$2:$A$287),COLUMNS($J30:Z30))),"")</f>
        <v/>
      </c>
      <c r="AA30" s="25" t="str">
        <f t="array" ref="AA30">IFERROR(HYPERLINK("#KPI_Master!A"&amp;MATCH(SMALL(IF(KPI_Element_Map!$E$2:$E$287=$A30,KPI_Element_Map!$A$2:$A$287),COLUMNS($J30:AA30)),KPI_Master!$A:$A,0)&amp;":P"&amp;MATCH(SMALL(IF(KPI_Element_Map!$E$2:$E$287=$A30,KPI_Element_Map!$A$2:$A$287),COLUMNS($J30:AA30)),KPI_Master!$A:$A,0),SMALL(IF(KPI_Element_Map!$E$2:$E$287=$A30,KPI_Element_Map!$A$2:$A$287),COLUMNS($J30:AA30))),"")</f>
        <v/>
      </c>
      <c r="AB30" s="25" t="str">
        <f t="array" ref="AB30">IFERROR(HYPERLINK("#KPI_Master!A"&amp;MATCH(SMALL(IF(KPI_Element_Map!$E$2:$E$287=$A30,KPI_Element_Map!$A$2:$A$287),COLUMNS($J30:AB30)),KPI_Master!$A:$A,0)&amp;":P"&amp;MATCH(SMALL(IF(KPI_Element_Map!$E$2:$E$287=$A30,KPI_Element_Map!$A$2:$A$287),COLUMNS($J30:AB30)),KPI_Master!$A:$A,0),SMALL(IF(KPI_Element_Map!$E$2:$E$287=$A30,KPI_Element_Map!$A$2:$A$287),COLUMNS($J30:AB30))),"")</f>
        <v/>
      </c>
      <c r="AC30" s="25" t="str">
        <f t="array" ref="AC30">IFERROR(HYPERLINK("#KPI_Master!A"&amp;MATCH(SMALL(IF(KPI_Element_Map!$E$2:$E$287=$A30,KPI_Element_Map!$A$2:$A$287),COLUMNS($J30:AC30)),KPI_Master!$A:$A,0)&amp;":P"&amp;MATCH(SMALL(IF(KPI_Element_Map!$E$2:$E$287=$A30,KPI_Element_Map!$A$2:$A$287),COLUMNS($J30:AC30)),KPI_Master!$A:$A,0),SMALL(IF(KPI_Element_Map!$E$2:$E$287=$A30,KPI_Element_Map!$A$2:$A$287),COLUMNS($J30:AC30))),"")</f>
        <v/>
      </c>
      <c r="AD30" s="25" t="str">
        <f t="array" ref="AD30">IFERROR(HYPERLINK("#KPI_Master!A"&amp;MATCH(SMALL(IF(KPI_Element_Map!$E$2:$E$287=$A30,KPI_Element_Map!$A$2:$A$287),COLUMNS($J30:AD30)),KPI_Master!$A:$A,0)&amp;":P"&amp;MATCH(SMALL(IF(KPI_Element_Map!$E$2:$E$287=$A30,KPI_Element_Map!$A$2:$A$287),COLUMNS($J30:AD30)),KPI_Master!$A:$A,0),SMALL(IF(KPI_Element_Map!$E$2:$E$287=$A30,KPI_Element_Map!$A$2:$A$287),COLUMNS($J30:AD30))),"")</f>
        <v/>
      </c>
      <c r="AE30" s="25" t="str">
        <f t="array" ref="AE30">IFERROR(HYPERLINK("#KPI_Master!A"&amp;MATCH(SMALL(IF(KPI_Element_Map!$E$2:$E$287=$A30,KPI_Element_Map!$A$2:$A$287),COLUMNS($J30:AE30)),KPI_Master!$A:$A,0)&amp;":P"&amp;MATCH(SMALL(IF(KPI_Element_Map!$E$2:$E$287=$A30,KPI_Element_Map!$A$2:$A$287),COLUMNS($J30:AE30)),KPI_Master!$A:$A,0),SMALL(IF(KPI_Element_Map!$E$2:$E$287=$A30,KPI_Element_Map!$A$2:$A$287),COLUMNS($J30:AE30))),"")</f>
        <v/>
      </c>
      <c r="AF30" s="25" t="str">
        <f t="array" ref="AF30">IFERROR(HYPERLINK("#KPI_Master!A"&amp;MATCH(SMALL(IF(KPI_Element_Map!$E$2:$E$287=$A30,KPI_Element_Map!$A$2:$A$287),COLUMNS($J30:AF30)),KPI_Master!$A:$A,0)&amp;":P"&amp;MATCH(SMALL(IF(KPI_Element_Map!$E$2:$E$287=$A30,KPI_Element_Map!$A$2:$A$287),COLUMNS($J30:AF30)),KPI_Master!$A:$A,0),SMALL(IF(KPI_Element_Map!$E$2:$E$287=$A30,KPI_Element_Map!$A$2:$A$287),COLUMNS($J30:AF30))),"")</f>
        <v/>
      </c>
      <c r="AG30" s="25" t="str">
        <f t="array" ref="AG30">IFERROR(HYPERLINK("#KPI_Master!A"&amp;MATCH(SMALL(IF(KPI_Element_Map!$E$2:$E$287=$A30,KPI_Element_Map!$A$2:$A$287),COLUMNS($J30:AG30)),KPI_Master!$A:$A,0)&amp;":P"&amp;MATCH(SMALL(IF(KPI_Element_Map!$E$2:$E$287=$A30,KPI_Element_Map!$A$2:$A$287),COLUMNS($J30:AG30)),KPI_Master!$A:$A,0),SMALL(IF(KPI_Element_Map!$E$2:$E$287=$A30,KPI_Element_Map!$A$2:$A$287),COLUMNS($J30:AG30))),"")</f>
        <v/>
      </c>
      <c r="AH30" s="25" t="str">
        <f t="array" ref="AH30">IFERROR(HYPERLINK("#KPI_Master!A"&amp;MATCH(SMALL(IF(KPI_Element_Map!$E$2:$E$287=$A30,KPI_Element_Map!$A$2:$A$287),COLUMNS($J30:AH30)),KPI_Master!$A:$A,0)&amp;":P"&amp;MATCH(SMALL(IF(KPI_Element_Map!$E$2:$E$287=$A30,KPI_Element_Map!$A$2:$A$287),COLUMNS($J30:AH30)),KPI_Master!$A:$A,0),SMALL(IF(KPI_Element_Map!$E$2:$E$287=$A30,KPI_Element_Map!$A$2:$A$287),COLUMNS($J30:AH30))),"")</f>
        <v/>
      </c>
    </row>
    <row r="31" spans="1:34" ht="28.5" customHeight="1">
      <c r="A31" s="21" t="s">
        <v>1012</v>
      </c>
      <c r="B31" s="22" t="s">
        <v>1013</v>
      </c>
      <c r="C31" s="23" t="s">
        <v>1014</v>
      </c>
      <c r="D31" s="23" t="str">
        <f t="array" ref="D31">_xlfn.TEXTJOIN(", ",TRUE(),IF(KPI_Element_Map!$E$2:$E$287=$A31,KPI_Element_Map!$A$2:$A$287,""))</f>
        <v>2, 3, 34, 56, 57, 58, 59, 60, 61, 68, 69, 70, 71, 113, 164</v>
      </c>
      <c r="E31" s="21">
        <f>COUNTIF(KPI_Element_Map!$E$2:$E$287,$A31)</f>
        <v>15</v>
      </c>
      <c r="F31" s="21">
        <f>COUNTIFS(KPI_Element_Map!$E$2:$E$287,$A31,KPI_Element_Map!$D$2:$D$287,"1 - Core")</f>
        <v>0</v>
      </c>
      <c r="G31" s="24" t="s">
        <v>1011</v>
      </c>
      <c r="H31" s="23" t="str">
        <f>INDEX(Minimum_Documents!$B:$B,MATCH($G31,Minimum_Documents!$A:$A,0))</f>
        <v>Payroll Register (hours and wages by employee, job class and department)</v>
      </c>
      <c r="J31" s="25">
        <f t="array" ref="J31">IFERROR(HYPERLINK("#KPI_Master!A"&amp;MATCH(SMALL(IF(KPI_Element_Map!$E$2:$E$287=$A31,KPI_Element_Map!$A$2:$A$287),COLUMNS($J31:J31)),KPI_Master!$A:$A,0)&amp;":P"&amp;MATCH(SMALL(IF(KPI_Element_Map!$E$2:$E$287=$A31,KPI_Element_Map!$A$2:$A$287),COLUMNS($J31:J31)),KPI_Master!$A:$A,0),SMALL(IF(KPI_Element_Map!$E$2:$E$287=$A31,KPI_Element_Map!$A$2:$A$287),COLUMNS($J31:J31))),"")</f>
        <v>2</v>
      </c>
      <c r="K31" s="25">
        <f t="array" ref="K31">IFERROR(HYPERLINK("#KPI_Master!A"&amp;MATCH(SMALL(IF(KPI_Element_Map!$E$2:$E$287=$A31,KPI_Element_Map!$A$2:$A$287),COLUMNS($J31:K31)),KPI_Master!$A:$A,0)&amp;":P"&amp;MATCH(SMALL(IF(KPI_Element_Map!$E$2:$E$287=$A31,KPI_Element_Map!$A$2:$A$287),COLUMNS($J31:K31)),KPI_Master!$A:$A,0),SMALL(IF(KPI_Element_Map!$E$2:$E$287=$A31,KPI_Element_Map!$A$2:$A$287),COLUMNS($J31:K31))),"")</f>
        <v>3</v>
      </c>
      <c r="L31" s="25">
        <f t="array" ref="L31">IFERROR(HYPERLINK("#KPI_Master!A"&amp;MATCH(SMALL(IF(KPI_Element_Map!$E$2:$E$287=$A31,KPI_Element_Map!$A$2:$A$287),COLUMNS($J31:L31)),KPI_Master!$A:$A,0)&amp;":P"&amp;MATCH(SMALL(IF(KPI_Element_Map!$E$2:$E$287=$A31,KPI_Element_Map!$A$2:$A$287),COLUMNS($J31:L31)),KPI_Master!$A:$A,0),SMALL(IF(KPI_Element_Map!$E$2:$E$287=$A31,KPI_Element_Map!$A$2:$A$287),COLUMNS($J31:L31))),"")</f>
        <v>34</v>
      </c>
      <c r="M31" s="25">
        <f t="array" ref="M31">IFERROR(HYPERLINK("#KPI_Master!A"&amp;MATCH(SMALL(IF(KPI_Element_Map!$E$2:$E$287=$A31,KPI_Element_Map!$A$2:$A$287),COLUMNS($J31:M31)),KPI_Master!$A:$A,0)&amp;":P"&amp;MATCH(SMALL(IF(KPI_Element_Map!$E$2:$E$287=$A31,KPI_Element_Map!$A$2:$A$287),COLUMNS($J31:M31)),KPI_Master!$A:$A,0),SMALL(IF(KPI_Element_Map!$E$2:$E$287=$A31,KPI_Element_Map!$A$2:$A$287),COLUMNS($J31:M31))),"")</f>
        <v>56</v>
      </c>
      <c r="N31" s="25">
        <f t="array" ref="N31">IFERROR(HYPERLINK("#KPI_Master!A"&amp;MATCH(SMALL(IF(KPI_Element_Map!$E$2:$E$287=$A31,KPI_Element_Map!$A$2:$A$287),COLUMNS($J31:N31)),KPI_Master!$A:$A,0)&amp;":P"&amp;MATCH(SMALL(IF(KPI_Element_Map!$E$2:$E$287=$A31,KPI_Element_Map!$A$2:$A$287),COLUMNS($J31:N31)),KPI_Master!$A:$A,0),SMALL(IF(KPI_Element_Map!$E$2:$E$287=$A31,KPI_Element_Map!$A$2:$A$287),COLUMNS($J31:N31))),"")</f>
        <v>57</v>
      </c>
      <c r="O31" s="25">
        <f t="array" ref="O31">IFERROR(HYPERLINK("#KPI_Master!A"&amp;MATCH(SMALL(IF(KPI_Element_Map!$E$2:$E$287=$A31,KPI_Element_Map!$A$2:$A$287),COLUMNS($J31:O31)),KPI_Master!$A:$A,0)&amp;":P"&amp;MATCH(SMALL(IF(KPI_Element_Map!$E$2:$E$287=$A31,KPI_Element_Map!$A$2:$A$287),COLUMNS($J31:O31)),KPI_Master!$A:$A,0),SMALL(IF(KPI_Element_Map!$E$2:$E$287=$A31,KPI_Element_Map!$A$2:$A$287),COLUMNS($J31:O31))),"")</f>
        <v>58</v>
      </c>
      <c r="P31" s="25">
        <f t="array" ref="P31">IFERROR(HYPERLINK("#KPI_Master!A"&amp;MATCH(SMALL(IF(KPI_Element_Map!$E$2:$E$287=$A31,KPI_Element_Map!$A$2:$A$287),COLUMNS($J31:P31)),KPI_Master!$A:$A,0)&amp;":P"&amp;MATCH(SMALL(IF(KPI_Element_Map!$E$2:$E$287=$A31,KPI_Element_Map!$A$2:$A$287),COLUMNS($J31:P31)),KPI_Master!$A:$A,0),SMALL(IF(KPI_Element_Map!$E$2:$E$287=$A31,KPI_Element_Map!$A$2:$A$287),COLUMNS($J31:P31))),"")</f>
        <v>59</v>
      </c>
      <c r="Q31" s="25">
        <f t="array" ref="Q31">IFERROR(HYPERLINK("#KPI_Master!A"&amp;MATCH(SMALL(IF(KPI_Element_Map!$E$2:$E$287=$A31,KPI_Element_Map!$A$2:$A$287),COLUMNS($J31:Q31)),KPI_Master!$A:$A,0)&amp;":P"&amp;MATCH(SMALL(IF(KPI_Element_Map!$E$2:$E$287=$A31,KPI_Element_Map!$A$2:$A$287),COLUMNS($J31:Q31)),KPI_Master!$A:$A,0),SMALL(IF(KPI_Element_Map!$E$2:$E$287=$A31,KPI_Element_Map!$A$2:$A$287),COLUMNS($J31:Q31))),"")</f>
        <v>60</v>
      </c>
      <c r="R31" s="25">
        <f t="array" ref="R31">IFERROR(HYPERLINK("#KPI_Master!A"&amp;MATCH(SMALL(IF(KPI_Element_Map!$E$2:$E$287=$A31,KPI_Element_Map!$A$2:$A$287),COLUMNS($J31:R31)),KPI_Master!$A:$A,0)&amp;":P"&amp;MATCH(SMALL(IF(KPI_Element_Map!$E$2:$E$287=$A31,KPI_Element_Map!$A$2:$A$287),COLUMNS($J31:R31)),KPI_Master!$A:$A,0),SMALL(IF(KPI_Element_Map!$E$2:$E$287=$A31,KPI_Element_Map!$A$2:$A$287),COLUMNS($J31:R31))),"")</f>
        <v>61</v>
      </c>
      <c r="S31" s="25">
        <f t="array" ref="S31">IFERROR(HYPERLINK("#KPI_Master!A"&amp;MATCH(SMALL(IF(KPI_Element_Map!$E$2:$E$287=$A31,KPI_Element_Map!$A$2:$A$287),COLUMNS($J31:S31)),KPI_Master!$A:$A,0)&amp;":P"&amp;MATCH(SMALL(IF(KPI_Element_Map!$E$2:$E$287=$A31,KPI_Element_Map!$A$2:$A$287),COLUMNS($J31:S31)),KPI_Master!$A:$A,0),SMALL(IF(KPI_Element_Map!$E$2:$E$287=$A31,KPI_Element_Map!$A$2:$A$287),COLUMNS($J31:S31))),"")</f>
        <v>68</v>
      </c>
      <c r="T31" s="25">
        <f t="array" ref="T31">IFERROR(HYPERLINK("#KPI_Master!A"&amp;MATCH(SMALL(IF(KPI_Element_Map!$E$2:$E$287=$A31,KPI_Element_Map!$A$2:$A$287),COLUMNS($J31:T31)),KPI_Master!$A:$A,0)&amp;":P"&amp;MATCH(SMALL(IF(KPI_Element_Map!$E$2:$E$287=$A31,KPI_Element_Map!$A$2:$A$287),COLUMNS($J31:T31)),KPI_Master!$A:$A,0),SMALL(IF(KPI_Element_Map!$E$2:$E$287=$A31,KPI_Element_Map!$A$2:$A$287),COLUMNS($J31:T31))),"")</f>
        <v>69</v>
      </c>
      <c r="U31" s="25">
        <f t="array" ref="U31">IFERROR(HYPERLINK("#KPI_Master!A"&amp;MATCH(SMALL(IF(KPI_Element_Map!$E$2:$E$287=$A31,KPI_Element_Map!$A$2:$A$287),COLUMNS($J31:U31)),KPI_Master!$A:$A,0)&amp;":P"&amp;MATCH(SMALL(IF(KPI_Element_Map!$E$2:$E$287=$A31,KPI_Element_Map!$A$2:$A$287),COLUMNS($J31:U31)),KPI_Master!$A:$A,0),SMALL(IF(KPI_Element_Map!$E$2:$E$287=$A31,KPI_Element_Map!$A$2:$A$287),COLUMNS($J31:U31))),"")</f>
        <v>70</v>
      </c>
      <c r="V31" s="25">
        <f t="array" ref="V31">IFERROR(HYPERLINK("#KPI_Master!A"&amp;MATCH(SMALL(IF(KPI_Element_Map!$E$2:$E$287=$A31,KPI_Element_Map!$A$2:$A$287),COLUMNS($J31:V31)),KPI_Master!$A:$A,0)&amp;":P"&amp;MATCH(SMALL(IF(KPI_Element_Map!$E$2:$E$287=$A31,KPI_Element_Map!$A$2:$A$287),COLUMNS($J31:V31)),KPI_Master!$A:$A,0),SMALL(IF(KPI_Element_Map!$E$2:$E$287=$A31,KPI_Element_Map!$A$2:$A$287),COLUMNS($J31:V31))),"")</f>
        <v>71</v>
      </c>
      <c r="W31" s="25">
        <f t="array" ref="W31">IFERROR(HYPERLINK("#KPI_Master!A"&amp;MATCH(SMALL(IF(KPI_Element_Map!$E$2:$E$287=$A31,KPI_Element_Map!$A$2:$A$287),COLUMNS($J31:W31)),KPI_Master!$A:$A,0)&amp;":P"&amp;MATCH(SMALL(IF(KPI_Element_Map!$E$2:$E$287=$A31,KPI_Element_Map!$A$2:$A$287),COLUMNS($J31:W31)),KPI_Master!$A:$A,0),SMALL(IF(KPI_Element_Map!$E$2:$E$287=$A31,KPI_Element_Map!$A$2:$A$287),COLUMNS($J31:W31))),"")</f>
        <v>113</v>
      </c>
      <c r="X31" s="25">
        <f t="array" ref="X31">IFERROR(HYPERLINK("#KPI_Master!A"&amp;MATCH(SMALL(IF(KPI_Element_Map!$E$2:$E$287=$A31,KPI_Element_Map!$A$2:$A$287),COLUMNS($J31:X31)),KPI_Master!$A:$A,0)&amp;":P"&amp;MATCH(SMALL(IF(KPI_Element_Map!$E$2:$E$287=$A31,KPI_Element_Map!$A$2:$A$287),COLUMNS($J31:X31)),KPI_Master!$A:$A,0),SMALL(IF(KPI_Element_Map!$E$2:$E$287=$A31,KPI_Element_Map!$A$2:$A$287),COLUMNS($J31:X31))),"")</f>
        <v>164</v>
      </c>
      <c r="Y31" s="25" t="str">
        <f t="array" ref="Y31">IFERROR(HYPERLINK("#KPI_Master!A"&amp;MATCH(SMALL(IF(KPI_Element_Map!$E$2:$E$287=$A31,KPI_Element_Map!$A$2:$A$287),COLUMNS($J31:Y31)),KPI_Master!$A:$A,0)&amp;":P"&amp;MATCH(SMALL(IF(KPI_Element_Map!$E$2:$E$287=$A31,KPI_Element_Map!$A$2:$A$287),COLUMNS($J31:Y31)),KPI_Master!$A:$A,0),SMALL(IF(KPI_Element_Map!$E$2:$E$287=$A31,KPI_Element_Map!$A$2:$A$287),COLUMNS($J31:Y31))),"")</f>
        <v/>
      </c>
      <c r="Z31" s="25" t="str">
        <f t="array" ref="Z31">IFERROR(HYPERLINK("#KPI_Master!A"&amp;MATCH(SMALL(IF(KPI_Element_Map!$E$2:$E$287=$A31,KPI_Element_Map!$A$2:$A$287),COLUMNS($J31:Z31)),KPI_Master!$A:$A,0)&amp;":P"&amp;MATCH(SMALL(IF(KPI_Element_Map!$E$2:$E$287=$A31,KPI_Element_Map!$A$2:$A$287),COLUMNS($J31:Z31)),KPI_Master!$A:$A,0),SMALL(IF(KPI_Element_Map!$E$2:$E$287=$A31,KPI_Element_Map!$A$2:$A$287),COLUMNS($J31:Z31))),"")</f>
        <v/>
      </c>
      <c r="AA31" s="25" t="str">
        <f t="array" ref="AA31">IFERROR(HYPERLINK("#KPI_Master!A"&amp;MATCH(SMALL(IF(KPI_Element_Map!$E$2:$E$287=$A31,KPI_Element_Map!$A$2:$A$287),COLUMNS($J31:AA31)),KPI_Master!$A:$A,0)&amp;":P"&amp;MATCH(SMALL(IF(KPI_Element_Map!$E$2:$E$287=$A31,KPI_Element_Map!$A$2:$A$287),COLUMNS($J31:AA31)),KPI_Master!$A:$A,0),SMALL(IF(KPI_Element_Map!$E$2:$E$287=$A31,KPI_Element_Map!$A$2:$A$287),COLUMNS($J31:AA31))),"")</f>
        <v/>
      </c>
      <c r="AB31" s="25" t="str">
        <f t="array" ref="AB31">IFERROR(HYPERLINK("#KPI_Master!A"&amp;MATCH(SMALL(IF(KPI_Element_Map!$E$2:$E$287=$A31,KPI_Element_Map!$A$2:$A$287),COLUMNS($J31:AB31)),KPI_Master!$A:$A,0)&amp;":P"&amp;MATCH(SMALL(IF(KPI_Element_Map!$E$2:$E$287=$A31,KPI_Element_Map!$A$2:$A$287),COLUMNS($J31:AB31)),KPI_Master!$A:$A,0),SMALL(IF(KPI_Element_Map!$E$2:$E$287=$A31,KPI_Element_Map!$A$2:$A$287),COLUMNS($J31:AB31))),"")</f>
        <v/>
      </c>
      <c r="AC31" s="25" t="str">
        <f t="array" ref="AC31">IFERROR(HYPERLINK("#KPI_Master!A"&amp;MATCH(SMALL(IF(KPI_Element_Map!$E$2:$E$287=$A31,KPI_Element_Map!$A$2:$A$287),COLUMNS($J31:AC31)),KPI_Master!$A:$A,0)&amp;":P"&amp;MATCH(SMALL(IF(KPI_Element_Map!$E$2:$E$287=$A31,KPI_Element_Map!$A$2:$A$287),COLUMNS($J31:AC31)),KPI_Master!$A:$A,0),SMALL(IF(KPI_Element_Map!$E$2:$E$287=$A31,KPI_Element_Map!$A$2:$A$287),COLUMNS($J31:AC31))),"")</f>
        <v/>
      </c>
      <c r="AD31" s="25" t="str">
        <f t="array" ref="AD31">IFERROR(HYPERLINK("#KPI_Master!A"&amp;MATCH(SMALL(IF(KPI_Element_Map!$E$2:$E$287=$A31,KPI_Element_Map!$A$2:$A$287),COLUMNS($J31:AD31)),KPI_Master!$A:$A,0)&amp;":P"&amp;MATCH(SMALL(IF(KPI_Element_Map!$E$2:$E$287=$A31,KPI_Element_Map!$A$2:$A$287),COLUMNS($J31:AD31)),KPI_Master!$A:$A,0),SMALL(IF(KPI_Element_Map!$E$2:$E$287=$A31,KPI_Element_Map!$A$2:$A$287),COLUMNS($J31:AD31))),"")</f>
        <v/>
      </c>
      <c r="AE31" s="25" t="str">
        <f t="array" ref="AE31">IFERROR(HYPERLINK("#KPI_Master!A"&amp;MATCH(SMALL(IF(KPI_Element_Map!$E$2:$E$287=$A31,KPI_Element_Map!$A$2:$A$287),COLUMNS($J31:AE31)),KPI_Master!$A:$A,0)&amp;":P"&amp;MATCH(SMALL(IF(KPI_Element_Map!$E$2:$E$287=$A31,KPI_Element_Map!$A$2:$A$287),COLUMNS($J31:AE31)),KPI_Master!$A:$A,0),SMALL(IF(KPI_Element_Map!$E$2:$E$287=$A31,KPI_Element_Map!$A$2:$A$287),COLUMNS($J31:AE31))),"")</f>
        <v/>
      </c>
      <c r="AF31" s="25" t="str">
        <f t="array" ref="AF31">IFERROR(HYPERLINK("#KPI_Master!A"&amp;MATCH(SMALL(IF(KPI_Element_Map!$E$2:$E$287=$A31,KPI_Element_Map!$A$2:$A$287),COLUMNS($J31:AF31)),KPI_Master!$A:$A,0)&amp;":P"&amp;MATCH(SMALL(IF(KPI_Element_Map!$E$2:$E$287=$A31,KPI_Element_Map!$A$2:$A$287),COLUMNS($J31:AF31)),KPI_Master!$A:$A,0),SMALL(IF(KPI_Element_Map!$E$2:$E$287=$A31,KPI_Element_Map!$A$2:$A$287),COLUMNS($J31:AF31))),"")</f>
        <v/>
      </c>
      <c r="AG31" s="25" t="str">
        <f t="array" ref="AG31">IFERROR(HYPERLINK("#KPI_Master!A"&amp;MATCH(SMALL(IF(KPI_Element_Map!$E$2:$E$287=$A31,KPI_Element_Map!$A$2:$A$287),COLUMNS($J31:AG31)),KPI_Master!$A:$A,0)&amp;":P"&amp;MATCH(SMALL(IF(KPI_Element_Map!$E$2:$E$287=$A31,KPI_Element_Map!$A$2:$A$287),COLUMNS($J31:AG31)),KPI_Master!$A:$A,0),SMALL(IF(KPI_Element_Map!$E$2:$E$287=$A31,KPI_Element_Map!$A$2:$A$287),COLUMNS($J31:AG31))),"")</f>
        <v/>
      </c>
      <c r="AH31" s="25" t="str">
        <f t="array" ref="AH31">IFERROR(HYPERLINK("#KPI_Master!A"&amp;MATCH(SMALL(IF(KPI_Element_Map!$E$2:$E$287=$A31,KPI_Element_Map!$A$2:$A$287),COLUMNS($J31:AH31)),KPI_Master!$A:$A,0)&amp;":P"&amp;MATCH(SMALL(IF(KPI_Element_Map!$E$2:$E$287=$A31,KPI_Element_Map!$A$2:$A$287),COLUMNS($J31:AH31)),KPI_Master!$A:$A,0),SMALL(IF(KPI_Element_Map!$E$2:$E$287=$A31,KPI_Element_Map!$A$2:$A$287),COLUMNS($J31:AH31))),"")</f>
        <v/>
      </c>
    </row>
    <row r="32" spans="1:34" ht="28.5" customHeight="1">
      <c r="A32" s="21" t="s">
        <v>1015</v>
      </c>
      <c r="B32" s="22" t="s">
        <v>1016</v>
      </c>
      <c r="C32" s="23" t="s">
        <v>1017</v>
      </c>
      <c r="D32" s="23" t="str">
        <f t="array" ref="D32">_xlfn.TEXTJOIN(", ",TRUE(),IF(KPI_Element_Map!$E$2:$E$287=$A32,KPI_Element_Map!$A$2:$A$287,""))</f>
        <v>42, 59, 60, 61, 63, 64, 67, 68, 69, 70, 71, 72, 119</v>
      </c>
      <c r="E32" s="21">
        <f>COUNTIF(KPI_Element_Map!$E$2:$E$287,$A32)</f>
        <v>13</v>
      </c>
      <c r="F32" s="21">
        <f>COUNTIFS(KPI_Element_Map!$E$2:$E$287,$A32,KPI_Element_Map!$D$2:$D$287,"1 - Core")</f>
        <v>0</v>
      </c>
      <c r="G32" s="24" t="s">
        <v>1011</v>
      </c>
      <c r="H32" s="23" t="str">
        <f>INDEX(Minimum_Documents!$B:$B,MATCH($G32,Minimum_Documents!$A:$A,0))</f>
        <v>Payroll Register (hours and wages by employee, job class and department)</v>
      </c>
      <c r="J32" s="25">
        <f t="array" ref="J32">IFERROR(HYPERLINK("#KPI_Master!A"&amp;MATCH(SMALL(IF(KPI_Element_Map!$E$2:$E$287=$A32,KPI_Element_Map!$A$2:$A$287),COLUMNS($J32:J32)),KPI_Master!$A:$A,0)&amp;":P"&amp;MATCH(SMALL(IF(KPI_Element_Map!$E$2:$E$287=$A32,KPI_Element_Map!$A$2:$A$287),COLUMNS($J32:J32)),KPI_Master!$A:$A,0),SMALL(IF(KPI_Element_Map!$E$2:$E$287=$A32,KPI_Element_Map!$A$2:$A$287),COLUMNS($J32:J32))),"")</f>
        <v>42</v>
      </c>
      <c r="K32" s="25">
        <f t="array" ref="K32">IFERROR(HYPERLINK("#KPI_Master!A"&amp;MATCH(SMALL(IF(KPI_Element_Map!$E$2:$E$287=$A32,KPI_Element_Map!$A$2:$A$287),COLUMNS($J32:K32)),KPI_Master!$A:$A,0)&amp;":P"&amp;MATCH(SMALL(IF(KPI_Element_Map!$E$2:$E$287=$A32,KPI_Element_Map!$A$2:$A$287),COLUMNS($J32:K32)),KPI_Master!$A:$A,0),SMALL(IF(KPI_Element_Map!$E$2:$E$287=$A32,KPI_Element_Map!$A$2:$A$287),COLUMNS($J32:K32))),"")</f>
        <v>59</v>
      </c>
      <c r="L32" s="25">
        <f t="array" ref="L32">IFERROR(HYPERLINK("#KPI_Master!A"&amp;MATCH(SMALL(IF(KPI_Element_Map!$E$2:$E$287=$A32,KPI_Element_Map!$A$2:$A$287),COLUMNS($J32:L32)),KPI_Master!$A:$A,0)&amp;":P"&amp;MATCH(SMALL(IF(KPI_Element_Map!$E$2:$E$287=$A32,KPI_Element_Map!$A$2:$A$287),COLUMNS($J32:L32)),KPI_Master!$A:$A,0),SMALL(IF(KPI_Element_Map!$E$2:$E$287=$A32,KPI_Element_Map!$A$2:$A$287),COLUMNS($J32:L32))),"")</f>
        <v>60</v>
      </c>
      <c r="M32" s="25">
        <f t="array" ref="M32">IFERROR(HYPERLINK("#KPI_Master!A"&amp;MATCH(SMALL(IF(KPI_Element_Map!$E$2:$E$287=$A32,KPI_Element_Map!$A$2:$A$287),COLUMNS($J32:M32)),KPI_Master!$A:$A,0)&amp;":P"&amp;MATCH(SMALL(IF(KPI_Element_Map!$E$2:$E$287=$A32,KPI_Element_Map!$A$2:$A$287),COLUMNS($J32:M32)),KPI_Master!$A:$A,0),SMALL(IF(KPI_Element_Map!$E$2:$E$287=$A32,KPI_Element_Map!$A$2:$A$287),COLUMNS($J32:M32))),"")</f>
        <v>61</v>
      </c>
      <c r="N32" s="25">
        <f t="array" ref="N32">IFERROR(HYPERLINK("#KPI_Master!A"&amp;MATCH(SMALL(IF(KPI_Element_Map!$E$2:$E$287=$A32,KPI_Element_Map!$A$2:$A$287),COLUMNS($J32:N32)),KPI_Master!$A:$A,0)&amp;":P"&amp;MATCH(SMALL(IF(KPI_Element_Map!$E$2:$E$287=$A32,KPI_Element_Map!$A$2:$A$287),COLUMNS($J32:N32)),KPI_Master!$A:$A,0),SMALL(IF(KPI_Element_Map!$E$2:$E$287=$A32,KPI_Element_Map!$A$2:$A$287),COLUMNS($J32:N32))),"")</f>
        <v>63</v>
      </c>
      <c r="O32" s="25">
        <f t="array" ref="O32">IFERROR(HYPERLINK("#KPI_Master!A"&amp;MATCH(SMALL(IF(KPI_Element_Map!$E$2:$E$287=$A32,KPI_Element_Map!$A$2:$A$287),COLUMNS($J32:O32)),KPI_Master!$A:$A,0)&amp;":P"&amp;MATCH(SMALL(IF(KPI_Element_Map!$E$2:$E$287=$A32,KPI_Element_Map!$A$2:$A$287),COLUMNS($J32:O32)),KPI_Master!$A:$A,0),SMALL(IF(KPI_Element_Map!$E$2:$E$287=$A32,KPI_Element_Map!$A$2:$A$287),COLUMNS($J32:O32))),"")</f>
        <v>64</v>
      </c>
      <c r="P32" s="25">
        <f t="array" ref="P32">IFERROR(HYPERLINK("#KPI_Master!A"&amp;MATCH(SMALL(IF(KPI_Element_Map!$E$2:$E$287=$A32,KPI_Element_Map!$A$2:$A$287),COLUMNS($J32:P32)),KPI_Master!$A:$A,0)&amp;":P"&amp;MATCH(SMALL(IF(KPI_Element_Map!$E$2:$E$287=$A32,KPI_Element_Map!$A$2:$A$287),COLUMNS($J32:P32)),KPI_Master!$A:$A,0),SMALL(IF(KPI_Element_Map!$E$2:$E$287=$A32,KPI_Element_Map!$A$2:$A$287),COLUMNS($J32:P32))),"")</f>
        <v>67</v>
      </c>
      <c r="Q32" s="25">
        <f t="array" ref="Q32">IFERROR(HYPERLINK("#KPI_Master!A"&amp;MATCH(SMALL(IF(KPI_Element_Map!$E$2:$E$287=$A32,KPI_Element_Map!$A$2:$A$287),COLUMNS($J32:Q32)),KPI_Master!$A:$A,0)&amp;":P"&amp;MATCH(SMALL(IF(KPI_Element_Map!$E$2:$E$287=$A32,KPI_Element_Map!$A$2:$A$287),COLUMNS($J32:Q32)),KPI_Master!$A:$A,0),SMALL(IF(KPI_Element_Map!$E$2:$E$287=$A32,KPI_Element_Map!$A$2:$A$287),COLUMNS($J32:Q32))),"")</f>
        <v>68</v>
      </c>
      <c r="R32" s="25">
        <f t="array" ref="R32">IFERROR(HYPERLINK("#KPI_Master!A"&amp;MATCH(SMALL(IF(KPI_Element_Map!$E$2:$E$287=$A32,KPI_Element_Map!$A$2:$A$287),COLUMNS($J32:R32)),KPI_Master!$A:$A,0)&amp;":P"&amp;MATCH(SMALL(IF(KPI_Element_Map!$E$2:$E$287=$A32,KPI_Element_Map!$A$2:$A$287),COLUMNS($J32:R32)),KPI_Master!$A:$A,0),SMALL(IF(KPI_Element_Map!$E$2:$E$287=$A32,KPI_Element_Map!$A$2:$A$287),COLUMNS($J32:R32))),"")</f>
        <v>69</v>
      </c>
      <c r="S32" s="25">
        <f t="array" ref="S32">IFERROR(HYPERLINK("#KPI_Master!A"&amp;MATCH(SMALL(IF(KPI_Element_Map!$E$2:$E$287=$A32,KPI_Element_Map!$A$2:$A$287),COLUMNS($J32:S32)),KPI_Master!$A:$A,0)&amp;":P"&amp;MATCH(SMALL(IF(KPI_Element_Map!$E$2:$E$287=$A32,KPI_Element_Map!$A$2:$A$287),COLUMNS($J32:S32)),KPI_Master!$A:$A,0),SMALL(IF(KPI_Element_Map!$E$2:$E$287=$A32,KPI_Element_Map!$A$2:$A$287),COLUMNS($J32:S32))),"")</f>
        <v>70</v>
      </c>
      <c r="T32" s="25">
        <f t="array" ref="T32">IFERROR(HYPERLINK("#KPI_Master!A"&amp;MATCH(SMALL(IF(KPI_Element_Map!$E$2:$E$287=$A32,KPI_Element_Map!$A$2:$A$287),COLUMNS($J32:T32)),KPI_Master!$A:$A,0)&amp;":P"&amp;MATCH(SMALL(IF(KPI_Element_Map!$E$2:$E$287=$A32,KPI_Element_Map!$A$2:$A$287),COLUMNS($J32:T32)),KPI_Master!$A:$A,0),SMALL(IF(KPI_Element_Map!$E$2:$E$287=$A32,KPI_Element_Map!$A$2:$A$287),COLUMNS($J32:T32))),"")</f>
        <v>71</v>
      </c>
      <c r="U32" s="25">
        <f t="array" ref="U32">IFERROR(HYPERLINK("#KPI_Master!A"&amp;MATCH(SMALL(IF(KPI_Element_Map!$E$2:$E$287=$A32,KPI_Element_Map!$A$2:$A$287),COLUMNS($J32:U32)),KPI_Master!$A:$A,0)&amp;":P"&amp;MATCH(SMALL(IF(KPI_Element_Map!$E$2:$E$287=$A32,KPI_Element_Map!$A$2:$A$287),COLUMNS($J32:U32)),KPI_Master!$A:$A,0),SMALL(IF(KPI_Element_Map!$E$2:$E$287=$A32,KPI_Element_Map!$A$2:$A$287),COLUMNS($J32:U32))),"")</f>
        <v>72</v>
      </c>
      <c r="V32" s="25">
        <f t="array" ref="V32">IFERROR(HYPERLINK("#KPI_Master!A"&amp;MATCH(SMALL(IF(KPI_Element_Map!$E$2:$E$287=$A32,KPI_Element_Map!$A$2:$A$287),COLUMNS($J32:V32)),KPI_Master!$A:$A,0)&amp;":P"&amp;MATCH(SMALL(IF(KPI_Element_Map!$E$2:$E$287=$A32,KPI_Element_Map!$A$2:$A$287),COLUMNS($J32:V32)),KPI_Master!$A:$A,0),SMALL(IF(KPI_Element_Map!$E$2:$E$287=$A32,KPI_Element_Map!$A$2:$A$287),COLUMNS($J32:V32))),"")</f>
        <v>119</v>
      </c>
      <c r="W32" s="25" t="str">
        <f t="array" ref="W32">IFERROR(HYPERLINK("#KPI_Master!A"&amp;MATCH(SMALL(IF(KPI_Element_Map!$E$2:$E$287=$A32,KPI_Element_Map!$A$2:$A$287),COLUMNS($J32:W32)),KPI_Master!$A:$A,0)&amp;":P"&amp;MATCH(SMALL(IF(KPI_Element_Map!$E$2:$E$287=$A32,KPI_Element_Map!$A$2:$A$287),COLUMNS($J32:W32)),KPI_Master!$A:$A,0),SMALL(IF(KPI_Element_Map!$E$2:$E$287=$A32,KPI_Element_Map!$A$2:$A$287),COLUMNS($J32:W32))),"")</f>
        <v/>
      </c>
      <c r="X32" s="25" t="str">
        <f t="array" ref="X32">IFERROR(HYPERLINK("#KPI_Master!A"&amp;MATCH(SMALL(IF(KPI_Element_Map!$E$2:$E$287=$A32,KPI_Element_Map!$A$2:$A$287),COLUMNS($J32:X32)),KPI_Master!$A:$A,0)&amp;":P"&amp;MATCH(SMALL(IF(KPI_Element_Map!$E$2:$E$287=$A32,KPI_Element_Map!$A$2:$A$287),COLUMNS($J32:X32)),KPI_Master!$A:$A,0),SMALL(IF(KPI_Element_Map!$E$2:$E$287=$A32,KPI_Element_Map!$A$2:$A$287),COLUMNS($J32:X32))),"")</f>
        <v/>
      </c>
      <c r="Y32" s="25" t="str">
        <f t="array" ref="Y32">IFERROR(HYPERLINK("#KPI_Master!A"&amp;MATCH(SMALL(IF(KPI_Element_Map!$E$2:$E$287=$A32,KPI_Element_Map!$A$2:$A$287),COLUMNS($J32:Y32)),KPI_Master!$A:$A,0)&amp;":P"&amp;MATCH(SMALL(IF(KPI_Element_Map!$E$2:$E$287=$A32,KPI_Element_Map!$A$2:$A$287),COLUMNS($J32:Y32)),KPI_Master!$A:$A,0),SMALL(IF(KPI_Element_Map!$E$2:$E$287=$A32,KPI_Element_Map!$A$2:$A$287),COLUMNS($J32:Y32))),"")</f>
        <v/>
      </c>
      <c r="Z32" s="25" t="str">
        <f t="array" ref="Z32">IFERROR(HYPERLINK("#KPI_Master!A"&amp;MATCH(SMALL(IF(KPI_Element_Map!$E$2:$E$287=$A32,KPI_Element_Map!$A$2:$A$287),COLUMNS($J32:Z32)),KPI_Master!$A:$A,0)&amp;":P"&amp;MATCH(SMALL(IF(KPI_Element_Map!$E$2:$E$287=$A32,KPI_Element_Map!$A$2:$A$287),COLUMNS($J32:Z32)),KPI_Master!$A:$A,0),SMALL(IF(KPI_Element_Map!$E$2:$E$287=$A32,KPI_Element_Map!$A$2:$A$287),COLUMNS($J32:Z32))),"")</f>
        <v/>
      </c>
      <c r="AA32" s="25" t="str">
        <f t="array" ref="AA32">IFERROR(HYPERLINK("#KPI_Master!A"&amp;MATCH(SMALL(IF(KPI_Element_Map!$E$2:$E$287=$A32,KPI_Element_Map!$A$2:$A$287),COLUMNS($J32:AA32)),KPI_Master!$A:$A,0)&amp;":P"&amp;MATCH(SMALL(IF(KPI_Element_Map!$E$2:$E$287=$A32,KPI_Element_Map!$A$2:$A$287),COLUMNS($J32:AA32)),KPI_Master!$A:$A,0),SMALL(IF(KPI_Element_Map!$E$2:$E$287=$A32,KPI_Element_Map!$A$2:$A$287),COLUMNS($J32:AA32))),"")</f>
        <v/>
      </c>
      <c r="AB32" s="25" t="str">
        <f t="array" ref="AB32">IFERROR(HYPERLINK("#KPI_Master!A"&amp;MATCH(SMALL(IF(KPI_Element_Map!$E$2:$E$287=$A32,KPI_Element_Map!$A$2:$A$287),COLUMNS($J32:AB32)),KPI_Master!$A:$A,0)&amp;":P"&amp;MATCH(SMALL(IF(KPI_Element_Map!$E$2:$E$287=$A32,KPI_Element_Map!$A$2:$A$287),COLUMNS($J32:AB32)),KPI_Master!$A:$A,0),SMALL(IF(KPI_Element_Map!$E$2:$E$287=$A32,KPI_Element_Map!$A$2:$A$287),COLUMNS($J32:AB32))),"")</f>
        <v/>
      </c>
      <c r="AC32" s="25" t="str">
        <f t="array" ref="AC32">IFERROR(HYPERLINK("#KPI_Master!A"&amp;MATCH(SMALL(IF(KPI_Element_Map!$E$2:$E$287=$A32,KPI_Element_Map!$A$2:$A$287),COLUMNS($J32:AC32)),KPI_Master!$A:$A,0)&amp;":P"&amp;MATCH(SMALL(IF(KPI_Element_Map!$E$2:$E$287=$A32,KPI_Element_Map!$A$2:$A$287),COLUMNS($J32:AC32)),KPI_Master!$A:$A,0),SMALL(IF(KPI_Element_Map!$E$2:$E$287=$A32,KPI_Element_Map!$A$2:$A$287),COLUMNS($J32:AC32))),"")</f>
        <v/>
      </c>
      <c r="AD32" s="25" t="str">
        <f t="array" ref="AD32">IFERROR(HYPERLINK("#KPI_Master!A"&amp;MATCH(SMALL(IF(KPI_Element_Map!$E$2:$E$287=$A32,KPI_Element_Map!$A$2:$A$287),COLUMNS($J32:AD32)),KPI_Master!$A:$A,0)&amp;":P"&amp;MATCH(SMALL(IF(KPI_Element_Map!$E$2:$E$287=$A32,KPI_Element_Map!$A$2:$A$287),COLUMNS($J32:AD32)),KPI_Master!$A:$A,0),SMALL(IF(KPI_Element_Map!$E$2:$E$287=$A32,KPI_Element_Map!$A$2:$A$287),COLUMNS($J32:AD32))),"")</f>
        <v/>
      </c>
      <c r="AE32" s="25" t="str">
        <f t="array" ref="AE32">IFERROR(HYPERLINK("#KPI_Master!A"&amp;MATCH(SMALL(IF(KPI_Element_Map!$E$2:$E$287=$A32,KPI_Element_Map!$A$2:$A$287),COLUMNS($J32:AE32)),KPI_Master!$A:$A,0)&amp;":P"&amp;MATCH(SMALL(IF(KPI_Element_Map!$E$2:$E$287=$A32,KPI_Element_Map!$A$2:$A$287),COLUMNS($J32:AE32)),KPI_Master!$A:$A,0),SMALL(IF(KPI_Element_Map!$E$2:$E$287=$A32,KPI_Element_Map!$A$2:$A$287),COLUMNS($J32:AE32))),"")</f>
        <v/>
      </c>
      <c r="AF32" s="25" t="str">
        <f t="array" ref="AF32">IFERROR(HYPERLINK("#KPI_Master!A"&amp;MATCH(SMALL(IF(KPI_Element_Map!$E$2:$E$287=$A32,KPI_Element_Map!$A$2:$A$287),COLUMNS($J32:AF32)),KPI_Master!$A:$A,0)&amp;":P"&amp;MATCH(SMALL(IF(KPI_Element_Map!$E$2:$E$287=$A32,KPI_Element_Map!$A$2:$A$287),COLUMNS($J32:AF32)),KPI_Master!$A:$A,0),SMALL(IF(KPI_Element_Map!$E$2:$E$287=$A32,KPI_Element_Map!$A$2:$A$287),COLUMNS($J32:AF32))),"")</f>
        <v/>
      </c>
      <c r="AG32" s="25" t="str">
        <f t="array" ref="AG32">IFERROR(HYPERLINK("#KPI_Master!A"&amp;MATCH(SMALL(IF(KPI_Element_Map!$E$2:$E$287=$A32,KPI_Element_Map!$A$2:$A$287),COLUMNS($J32:AG32)),KPI_Master!$A:$A,0)&amp;":P"&amp;MATCH(SMALL(IF(KPI_Element_Map!$E$2:$E$287=$A32,KPI_Element_Map!$A$2:$A$287),COLUMNS($J32:AG32)),KPI_Master!$A:$A,0),SMALL(IF(KPI_Element_Map!$E$2:$E$287=$A32,KPI_Element_Map!$A$2:$A$287),COLUMNS($J32:AG32))),"")</f>
        <v/>
      </c>
      <c r="AH32" s="25" t="str">
        <f t="array" ref="AH32">IFERROR(HYPERLINK("#KPI_Master!A"&amp;MATCH(SMALL(IF(KPI_Element_Map!$E$2:$E$287=$A32,KPI_Element_Map!$A$2:$A$287),COLUMNS($J32:AH32)),KPI_Master!$A:$A,0)&amp;":P"&amp;MATCH(SMALL(IF(KPI_Element_Map!$E$2:$E$287=$A32,KPI_Element_Map!$A$2:$A$287),COLUMNS($J32:AH32)),KPI_Master!$A:$A,0),SMALL(IF(KPI_Element_Map!$E$2:$E$287=$A32,KPI_Element_Map!$A$2:$A$287),COLUMNS($J32:AH32))),"")</f>
        <v/>
      </c>
    </row>
    <row r="33" spans="1:34" ht="28.5" customHeight="1">
      <c r="A33" s="21" t="s">
        <v>1018</v>
      </c>
      <c r="B33" s="22" t="s">
        <v>1019</v>
      </c>
      <c r="C33" s="23" t="s">
        <v>1020</v>
      </c>
      <c r="D33" s="23" t="str">
        <f t="array" ref="D33">_xlfn.TEXTJOIN(", ",TRUE(),IF(KPI_Element_Map!$E$2:$E$287=$A33,KPI_Element_Map!$A$2:$A$287,""))</f>
        <v>51, 98, 110, 142</v>
      </c>
      <c r="E33" s="21">
        <f>COUNTIF(KPI_Element_Map!$E$2:$E$287,$A33)</f>
        <v>4</v>
      </c>
      <c r="F33" s="21">
        <f>COUNTIFS(KPI_Element_Map!$E$2:$E$287,$A33,KPI_Element_Map!$D$2:$D$287,"1 - Core")</f>
        <v>0</v>
      </c>
      <c r="G33" s="24" t="s">
        <v>1021</v>
      </c>
      <c r="H33" s="23" t="str">
        <f>INDEX(Minimum_Documents!$B:$B,MATCH($G33,Minimum_Documents!$A:$A,0))</f>
        <v>Time &amp; Attendance / Scheduling Report (scheduled vs worked, by day and shift)</v>
      </c>
      <c r="J33" s="25">
        <f t="array" ref="J33">IFERROR(HYPERLINK("#KPI_Master!A"&amp;MATCH(SMALL(IF(KPI_Element_Map!$E$2:$E$287=$A33,KPI_Element_Map!$A$2:$A$287),COLUMNS($J33:J33)),KPI_Master!$A:$A,0)&amp;":P"&amp;MATCH(SMALL(IF(KPI_Element_Map!$E$2:$E$287=$A33,KPI_Element_Map!$A$2:$A$287),COLUMNS($J33:J33)),KPI_Master!$A:$A,0),SMALL(IF(KPI_Element_Map!$E$2:$E$287=$A33,KPI_Element_Map!$A$2:$A$287),COLUMNS($J33:J33))),"")</f>
        <v>51</v>
      </c>
      <c r="K33" s="25">
        <f t="array" ref="K33">IFERROR(HYPERLINK("#KPI_Master!A"&amp;MATCH(SMALL(IF(KPI_Element_Map!$E$2:$E$287=$A33,KPI_Element_Map!$A$2:$A$287),COLUMNS($J33:K33)),KPI_Master!$A:$A,0)&amp;":P"&amp;MATCH(SMALL(IF(KPI_Element_Map!$E$2:$E$287=$A33,KPI_Element_Map!$A$2:$A$287),COLUMNS($J33:K33)),KPI_Master!$A:$A,0),SMALL(IF(KPI_Element_Map!$E$2:$E$287=$A33,KPI_Element_Map!$A$2:$A$287),COLUMNS($J33:K33))),"")</f>
        <v>98</v>
      </c>
      <c r="L33" s="25">
        <f t="array" ref="L33">IFERROR(HYPERLINK("#KPI_Master!A"&amp;MATCH(SMALL(IF(KPI_Element_Map!$E$2:$E$287=$A33,KPI_Element_Map!$A$2:$A$287),COLUMNS($J33:L33)),KPI_Master!$A:$A,0)&amp;":P"&amp;MATCH(SMALL(IF(KPI_Element_Map!$E$2:$E$287=$A33,KPI_Element_Map!$A$2:$A$287),COLUMNS($J33:L33)),KPI_Master!$A:$A,0),SMALL(IF(KPI_Element_Map!$E$2:$E$287=$A33,KPI_Element_Map!$A$2:$A$287),COLUMNS($J33:L33))),"")</f>
        <v>110</v>
      </c>
      <c r="M33" s="25">
        <f t="array" ref="M33">IFERROR(HYPERLINK("#KPI_Master!A"&amp;MATCH(SMALL(IF(KPI_Element_Map!$E$2:$E$287=$A33,KPI_Element_Map!$A$2:$A$287),COLUMNS($J33:M33)),KPI_Master!$A:$A,0)&amp;":P"&amp;MATCH(SMALL(IF(KPI_Element_Map!$E$2:$E$287=$A33,KPI_Element_Map!$A$2:$A$287),COLUMNS($J33:M33)),KPI_Master!$A:$A,0),SMALL(IF(KPI_Element_Map!$E$2:$E$287=$A33,KPI_Element_Map!$A$2:$A$287),COLUMNS($J33:M33))),"")</f>
        <v>142</v>
      </c>
      <c r="N33" s="25" t="str">
        <f t="array" ref="N33">IFERROR(HYPERLINK("#KPI_Master!A"&amp;MATCH(SMALL(IF(KPI_Element_Map!$E$2:$E$287=$A33,KPI_Element_Map!$A$2:$A$287),COLUMNS($J33:N33)),KPI_Master!$A:$A,0)&amp;":P"&amp;MATCH(SMALL(IF(KPI_Element_Map!$E$2:$E$287=$A33,KPI_Element_Map!$A$2:$A$287),COLUMNS($J33:N33)),KPI_Master!$A:$A,0),SMALL(IF(KPI_Element_Map!$E$2:$E$287=$A33,KPI_Element_Map!$A$2:$A$287),COLUMNS($J33:N33))),"")</f>
        <v/>
      </c>
      <c r="O33" s="25" t="str">
        <f t="array" ref="O33">IFERROR(HYPERLINK("#KPI_Master!A"&amp;MATCH(SMALL(IF(KPI_Element_Map!$E$2:$E$287=$A33,KPI_Element_Map!$A$2:$A$287),COLUMNS($J33:O33)),KPI_Master!$A:$A,0)&amp;":P"&amp;MATCH(SMALL(IF(KPI_Element_Map!$E$2:$E$287=$A33,KPI_Element_Map!$A$2:$A$287),COLUMNS($J33:O33)),KPI_Master!$A:$A,0),SMALL(IF(KPI_Element_Map!$E$2:$E$287=$A33,KPI_Element_Map!$A$2:$A$287),COLUMNS($J33:O33))),"")</f>
        <v/>
      </c>
      <c r="P33" s="25" t="str">
        <f t="array" ref="P33">IFERROR(HYPERLINK("#KPI_Master!A"&amp;MATCH(SMALL(IF(KPI_Element_Map!$E$2:$E$287=$A33,KPI_Element_Map!$A$2:$A$287),COLUMNS($J33:P33)),KPI_Master!$A:$A,0)&amp;":P"&amp;MATCH(SMALL(IF(KPI_Element_Map!$E$2:$E$287=$A33,KPI_Element_Map!$A$2:$A$287),COLUMNS($J33:P33)),KPI_Master!$A:$A,0),SMALL(IF(KPI_Element_Map!$E$2:$E$287=$A33,KPI_Element_Map!$A$2:$A$287),COLUMNS($J33:P33))),"")</f>
        <v/>
      </c>
      <c r="Q33" s="25" t="str">
        <f t="array" ref="Q33">IFERROR(HYPERLINK("#KPI_Master!A"&amp;MATCH(SMALL(IF(KPI_Element_Map!$E$2:$E$287=$A33,KPI_Element_Map!$A$2:$A$287),COLUMNS($J33:Q33)),KPI_Master!$A:$A,0)&amp;":P"&amp;MATCH(SMALL(IF(KPI_Element_Map!$E$2:$E$287=$A33,KPI_Element_Map!$A$2:$A$287),COLUMNS($J33:Q33)),KPI_Master!$A:$A,0),SMALL(IF(KPI_Element_Map!$E$2:$E$287=$A33,KPI_Element_Map!$A$2:$A$287),COLUMNS($J33:Q33))),"")</f>
        <v/>
      </c>
      <c r="R33" s="25" t="str">
        <f t="array" ref="R33">IFERROR(HYPERLINK("#KPI_Master!A"&amp;MATCH(SMALL(IF(KPI_Element_Map!$E$2:$E$287=$A33,KPI_Element_Map!$A$2:$A$287),COLUMNS($J33:R33)),KPI_Master!$A:$A,0)&amp;":P"&amp;MATCH(SMALL(IF(KPI_Element_Map!$E$2:$E$287=$A33,KPI_Element_Map!$A$2:$A$287),COLUMNS($J33:R33)),KPI_Master!$A:$A,0),SMALL(IF(KPI_Element_Map!$E$2:$E$287=$A33,KPI_Element_Map!$A$2:$A$287),COLUMNS($J33:R33))),"")</f>
        <v/>
      </c>
      <c r="S33" s="25" t="str">
        <f t="array" ref="S33">IFERROR(HYPERLINK("#KPI_Master!A"&amp;MATCH(SMALL(IF(KPI_Element_Map!$E$2:$E$287=$A33,KPI_Element_Map!$A$2:$A$287),COLUMNS($J33:S33)),KPI_Master!$A:$A,0)&amp;":P"&amp;MATCH(SMALL(IF(KPI_Element_Map!$E$2:$E$287=$A33,KPI_Element_Map!$A$2:$A$287),COLUMNS($J33:S33)),KPI_Master!$A:$A,0),SMALL(IF(KPI_Element_Map!$E$2:$E$287=$A33,KPI_Element_Map!$A$2:$A$287),COLUMNS($J33:S33))),"")</f>
        <v/>
      </c>
      <c r="T33" s="25" t="str">
        <f t="array" ref="T33">IFERROR(HYPERLINK("#KPI_Master!A"&amp;MATCH(SMALL(IF(KPI_Element_Map!$E$2:$E$287=$A33,KPI_Element_Map!$A$2:$A$287),COLUMNS($J33:T33)),KPI_Master!$A:$A,0)&amp;":P"&amp;MATCH(SMALL(IF(KPI_Element_Map!$E$2:$E$287=$A33,KPI_Element_Map!$A$2:$A$287),COLUMNS($J33:T33)),KPI_Master!$A:$A,0),SMALL(IF(KPI_Element_Map!$E$2:$E$287=$A33,KPI_Element_Map!$A$2:$A$287),COLUMNS($J33:T33))),"")</f>
        <v/>
      </c>
      <c r="U33" s="25" t="str">
        <f t="array" ref="U33">IFERROR(HYPERLINK("#KPI_Master!A"&amp;MATCH(SMALL(IF(KPI_Element_Map!$E$2:$E$287=$A33,KPI_Element_Map!$A$2:$A$287),COLUMNS($J33:U33)),KPI_Master!$A:$A,0)&amp;":P"&amp;MATCH(SMALL(IF(KPI_Element_Map!$E$2:$E$287=$A33,KPI_Element_Map!$A$2:$A$287),COLUMNS($J33:U33)),KPI_Master!$A:$A,0),SMALL(IF(KPI_Element_Map!$E$2:$E$287=$A33,KPI_Element_Map!$A$2:$A$287),COLUMNS($J33:U33))),"")</f>
        <v/>
      </c>
      <c r="V33" s="25" t="str">
        <f t="array" ref="V33">IFERROR(HYPERLINK("#KPI_Master!A"&amp;MATCH(SMALL(IF(KPI_Element_Map!$E$2:$E$287=$A33,KPI_Element_Map!$A$2:$A$287),COLUMNS($J33:V33)),KPI_Master!$A:$A,0)&amp;":P"&amp;MATCH(SMALL(IF(KPI_Element_Map!$E$2:$E$287=$A33,KPI_Element_Map!$A$2:$A$287),COLUMNS($J33:V33)),KPI_Master!$A:$A,0),SMALL(IF(KPI_Element_Map!$E$2:$E$287=$A33,KPI_Element_Map!$A$2:$A$287),COLUMNS($J33:V33))),"")</f>
        <v/>
      </c>
      <c r="W33" s="25" t="str">
        <f t="array" ref="W33">IFERROR(HYPERLINK("#KPI_Master!A"&amp;MATCH(SMALL(IF(KPI_Element_Map!$E$2:$E$287=$A33,KPI_Element_Map!$A$2:$A$287),COLUMNS($J33:W33)),KPI_Master!$A:$A,0)&amp;":P"&amp;MATCH(SMALL(IF(KPI_Element_Map!$E$2:$E$287=$A33,KPI_Element_Map!$A$2:$A$287),COLUMNS($J33:W33)),KPI_Master!$A:$A,0),SMALL(IF(KPI_Element_Map!$E$2:$E$287=$A33,KPI_Element_Map!$A$2:$A$287),COLUMNS($J33:W33))),"")</f>
        <v/>
      </c>
      <c r="X33" s="25" t="str">
        <f t="array" ref="X33">IFERROR(HYPERLINK("#KPI_Master!A"&amp;MATCH(SMALL(IF(KPI_Element_Map!$E$2:$E$287=$A33,KPI_Element_Map!$A$2:$A$287),COLUMNS($J33:X33)),KPI_Master!$A:$A,0)&amp;":P"&amp;MATCH(SMALL(IF(KPI_Element_Map!$E$2:$E$287=$A33,KPI_Element_Map!$A$2:$A$287),COLUMNS($J33:X33)),KPI_Master!$A:$A,0),SMALL(IF(KPI_Element_Map!$E$2:$E$287=$A33,KPI_Element_Map!$A$2:$A$287),COLUMNS($J33:X33))),"")</f>
        <v/>
      </c>
      <c r="Y33" s="25" t="str">
        <f t="array" ref="Y33">IFERROR(HYPERLINK("#KPI_Master!A"&amp;MATCH(SMALL(IF(KPI_Element_Map!$E$2:$E$287=$A33,KPI_Element_Map!$A$2:$A$287),COLUMNS($J33:Y33)),KPI_Master!$A:$A,0)&amp;":P"&amp;MATCH(SMALL(IF(KPI_Element_Map!$E$2:$E$287=$A33,KPI_Element_Map!$A$2:$A$287),COLUMNS($J33:Y33)),KPI_Master!$A:$A,0),SMALL(IF(KPI_Element_Map!$E$2:$E$287=$A33,KPI_Element_Map!$A$2:$A$287),COLUMNS($J33:Y33))),"")</f>
        <v/>
      </c>
      <c r="Z33" s="25" t="str">
        <f t="array" ref="Z33">IFERROR(HYPERLINK("#KPI_Master!A"&amp;MATCH(SMALL(IF(KPI_Element_Map!$E$2:$E$287=$A33,KPI_Element_Map!$A$2:$A$287),COLUMNS($J33:Z33)),KPI_Master!$A:$A,0)&amp;":P"&amp;MATCH(SMALL(IF(KPI_Element_Map!$E$2:$E$287=$A33,KPI_Element_Map!$A$2:$A$287),COLUMNS($J33:Z33)),KPI_Master!$A:$A,0),SMALL(IF(KPI_Element_Map!$E$2:$E$287=$A33,KPI_Element_Map!$A$2:$A$287),COLUMNS($J33:Z33))),"")</f>
        <v/>
      </c>
      <c r="AA33" s="25" t="str">
        <f t="array" ref="AA33">IFERROR(HYPERLINK("#KPI_Master!A"&amp;MATCH(SMALL(IF(KPI_Element_Map!$E$2:$E$287=$A33,KPI_Element_Map!$A$2:$A$287),COLUMNS($J33:AA33)),KPI_Master!$A:$A,0)&amp;":P"&amp;MATCH(SMALL(IF(KPI_Element_Map!$E$2:$E$287=$A33,KPI_Element_Map!$A$2:$A$287),COLUMNS($J33:AA33)),KPI_Master!$A:$A,0),SMALL(IF(KPI_Element_Map!$E$2:$E$287=$A33,KPI_Element_Map!$A$2:$A$287),COLUMNS($J33:AA33))),"")</f>
        <v/>
      </c>
      <c r="AB33" s="25" t="str">
        <f t="array" ref="AB33">IFERROR(HYPERLINK("#KPI_Master!A"&amp;MATCH(SMALL(IF(KPI_Element_Map!$E$2:$E$287=$A33,KPI_Element_Map!$A$2:$A$287),COLUMNS($J33:AB33)),KPI_Master!$A:$A,0)&amp;":P"&amp;MATCH(SMALL(IF(KPI_Element_Map!$E$2:$E$287=$A33,KPI_Element_Map!$A$2:$A$287),COLUMNS($J33:AB33)),KPI_Master!$A:$A,0),SMALL(IF(KPI_Element_Map!$E$2:$E$287=$A33,KPI_Element_Map!$A$2:$A$287),COLUMNS($J33:AB33))),"")</f>
        <v/>
      </c>
      <c r="AC33" s="25" t="str">
        <f t="array" ref="AC33">IFERROR(HYPERLINK("#KPI_Master!A"&amp;MATCH(SMALL(IF(KPI_Element_Map!$E$2:$E$287=$A33,KPI_Element_Map!$A$2:$A$287),COLUMNS($J33:AC33)),KPI_Master!$A:$A,0)&amp;":P"&amp;MATCH(SMALL(IF(KPI_Element_Map!$E$2:$E$287=$A33,KPI_Element_Map!$A$2:$A$287),COLUMNS($J33:AC33)),KPI_Master!$A:$A,0),SMALL(IF(KPI_Element_Map!$E$2:$E$287=$A33,KPI_Element_Map!$A$2:$A$287),COLUMNS($J33:AC33))),"")</f>
        <v/>
      </c>
      <c r="AD33" s="25" t="str">
        <f t="array" ref="AD33">IFERROR(HYPERLINK("#KPI_Master!A"&amp;MATCH(SMALL(IF(KPI_Element_Map!$E$2:$E$287=$A33,KPI_Element_Map!$A$2:$A$287),COLUMNS($J33:AD33)),KPI_Master!$A:$A,0)&amp;":P"&amp;MATCH(SMALL(IF(KPI_Element_Map!$E$2:$E$287=$A33,KPI_Element_Map!$A$2:$A$287),COLUMNS($J33:AD33)),KPI_Master!$A:$A,0),SMALL(IF(KPI_Element_Map!$E$2:$E$287=$A33,KPI_Element_Map!$A$2:$A$287),COLUMNS($J33:AD33))),"")</f>
        <v/>
      </c>
      <c r="AE33" s="25" t="str">
        <f t="array" ref="AE33">IFERROR(HYPERLINK("#KPI_Master!A"&amp;MATCH(SMALL(IF(KPI_Element_Map!$E$2:$E$287=$A33,KPI_Element_Map!$A$2:$A$287),COLUMNS($J33:AE33)),KPI_Master!$A:$A,0)&amp;":P"&amp;MATCH(SMALL(IF(KPI_Element_Map!$E$2:$E$287=$A33,KPI_Element_Map!$A$2:$A$287),COLUMNS($J33:AE33)),KPI_Master!$A:$A,0),SMALL(IF(KPI_Element_Map!$E$2:$E$287=$A33,KPI_Element_Map!$A$2:$A$287),COLUMNS($J33:AE33))),"")</f>
        <v/>
      </c>
      <c r="AF33" s="25" t="str">
        <f t="array" ref="AF33">IFERROR(HYPERLINK("#KPI_Master!A"&amp;MATCH(SMALL(IF(KPI_Element_Map!$E$2:$E$287=$A33,KPI_Element_Map!$A$2:$A$287),COLUMNS($J33:AF33)),KPI_Master!$A:$A,0)&amp;":P"&amp;MATCH(SMALL(IF(KPI_Element_Map!$E$2:$E$287=$A33,KPI_Element_Map!$A$2:$A$287),COLUMNS($J33:AF33)),KPI_Master!$A:$A,0),SMALL(IF(KPI_Element_Map!$E$2:$E$287=$A33,KPI_Element_Map!$A$2:$A$287),COLUMNS($J33:AF33))),"")</f>
        <v/>
      </c>
      <c r="AG33" s="25" t="str">
        <f t="array" ref="AG33">IFERROR(HYPERLINK("#KPI_Master!A"&amp;MATCH(SMALL(IF(KPI_Element_Map!$E$2:$E$287=$A33,KPI_Element_Map!$A$2:$A$287),COLUMNS($J33:AG33)),KPI_Master!$A:$A,0)&amp;":P"&amp;MATCH(SMALL(IF(KPI_Element_Map!$E$2:$E$287=$A33,KPI_Element_Map!$A$2:$A$287),COLUMNS($J33:AG33)),KPI_Master!$A:$A,0),SMALL(IF(KPI_Element_Map!$E$2:$E$287=$A33,KPI_Element_Map!$A$2:$A$287),COLUMNS($J33:AG33))),"")</f>
        <v/>
      </c>
      <c r="AH33" s="25" t="str">
        <f t="array" ref="AH33">IFERROR(HYPERLINK("#KPI_Master!A"&amp;MATCH(SMALL(IF(KPI_Element_Map!$E$2:$E$287=$A33,KPI_Element_Map!$A$2:$A$287),COLUMNS($J33:AH33)),KPI_Master!$A:$A,0)&amp;":P"&amp;MATCH(SMALL(IF(KPI_Element_Map!$E$2:$E$287=$A33,KPI_Element_Map!$A$2:$A$287),COLUMNS($J33:AH33)),KPI_Master!$A:$A,0),SMALL(IF(KPI_Element_Map!$E$2:$E$287=$A33,KPI_Element_Map!$A$2:$A$287),COLUMNS($J33:AH33))),"")</f>
        <v/>
      </c>
    </row>
    <row r="34" spans="1:34" ht="28.5" customHeight="1">
      <c r="A34" s="21" t="s">
        <v>1022</v>
      </c>
      <c r="B34" s="22" t="s">
        <v>1023</v>
      </c>
      <c r="C34" s="23" t="s">
        <v>1024</v>
      </c>
      <c r="D34" s="23" t="str">
        <f t="array" ref="D34">_xlfn.TEXTJOIN(", ",TRUE(),IF(KPI_Element_Map!$E$2:$E$287=$A34,KPI_Element_Map!$A$2:$A$287,""))</f>
        <v>44, 45, 53, 64, 65</v>
      </c>
      <c r="E34" s="21">
        <f>COUNTIF(KPI_Element_Map!$E$2:$E$287,$A34)</f>
        <v>5</v>
      </c>
      <c r="F34" s="21">
        <f>COUNTIFS(KPI_Element_Map!$E$2:$E$287,$A34,KPI_Element_Map!$D$2:$D$287,"1 - Core")</f>
        <v>1</v>
      </c>
      <c r="G34" s="24" t="s">
        <v>1025</v>
      </c>
      <c r="H34" s="23" t="str">
        <f>INDEX(Minimum_Documents!$B:$B,MATCH($G34,Minimum_Documents!$A:$A,0))</f>
        <v>HRIS Employee Roster &amp; Movement Report (headcount, hires, separations)</v>
      </c>
      <c r="J34" s="25">
        <f t="array" ref="J34">IFERROR(HYPERLINK("#KPI_Master!A"&amp;MATCH(SMALL(IF(KPI_Element_Map!$E$2:$E$287=$A34,KPI_Element_Map!$A$2:$A$287),COLUMNS($J34:J34)),KPI_Master!$A:$A,0)&amp;":P"&amp;MATCH(SMALL(IF(KPI_Element_Map!$E$2:$E$287=$A34,KPI_Element_Map!$A$2:$A$287),COLUMNS($J34:J34)),KPI_Master!$A:$A,0),SMALL(IF(KPI_Element_Map!$E$2:$E$287=$A34,KPI_Element_Map!$A$2:$A$287),COLUMNS($J34:J34))),"")</f>
        <v>44</v>
      </c>
      <c r="K34" s="25">
        <f t="array" ref="K34">IFERROR(HYPERLINK("#KPI_Master!A"&amp;MATCH(SMALL(IF(KPI_Element_Map!$E$2:$E$287=$A34,KPI_Element_Map!$A$2:$A$287),COLUMNS($J34:K34)),KPI_Master!$A:$A,0)&amp;":P"&amp;MATCH(SMALL(IF(KPI_Element_Map!$E$2:$E$287=$A34,KPI_Element_Map!$A$2:$A$287),COLUMNS($J34:K34)),KPI_Master!$A:$A,0),SMALL(IF(KPI_Element_Map!$E$2:$E$287=$A34,KPI_Element_Map!$A$2:$A$287),COLUMNS($J34:K34))),"")</f>
        <v>45</v>
      </c>
      <c r="L34" s="25">
        <f t="array" ref="L34">IFERROR(HYPERLINK("#KPI_Master!A"&amp;MATCH(SMALL(IF(KPI_Element_Map!$E$2:$E$287=$A34,KPI_Element_Map!$A$2:$A$287),COLUMNS($J34:L34)),KPI_Master!$A:$A,0)&amp;":P"&amp;MATCH(SMALL(IF(KPI_Element_Map!$E$2:$E$287=$A34,KPI_Element_Map!$A$2:$A$287),COLUMNS($J34:L34)),KPI_Master!$A:$A,0),SMALL(IF(KPI_Element_Map!$E$2:$E$287=$A34,KPI_Element_Map!$A$2:$A$287),COLUMNS($J34:L34))),"")</f>
        <v>53</v>
      </c>
      <c r="M34" s="25">
        <f t="array" ref="M34">IFERROR(HYPERLINK("#KPI_Master!A"&amp;MATCH(SMALL(IF(KPI_Element_Map!$E$2:$E$287=$A34,KPI_Element_Map!$A$2:$A$287),COLUMNS($J34:M34)),KPI_Master!$A:$A,0)&amp;":P"&amp;MATCH(SMALL(IF(KPI_Element_Map!$E$2:$E$287=$A34,KPI_Element_Map!$A$2:$A$287),COLUMNS($J34:M34)),KPI_Master!$A:$A,0),SMALL(IF(KPI_Element_Map!$E$2:$E$287=$A34,KPI_Element_Map!$A$2:$A$287),COLUMNS($J34:M34))),"")</f>
        <v>64</v>
      </c>
      <c r="N34" s="25">
        <f t="array" ref="N34">IFERROR(HYPERLINK("#KPI_Master!A"&amp;MATCH(SMALL(IF(KPI_Element_Map!$E$2:$E$287=$A34,KPI_Element_Map!$A$2:$A$287),COLUMNS($J34:N34)),KPI_Master!$A:$A,0)&amp;":P"&amp;MATCH(SMALL(IF(KPI_Element_Map!$E$2:$E$287=$A34,KPI_Element_Map!$A$2:$A$287),COLUMNS($J34:N34)),KPI_Master!$A:$A,0),SMALL(IF(KPI_Element_Map!$E$2:$E$287=$A34,KPI_Element_Map!$A$2:$A$287),COLUMNS($J34:N34))),"")</f>
        <v>65</v>
      </c>
      <c r="O34" s="25" t="str">
        <f t="array" ref="O34">IFERROR(HYPERLINK("#KPI_Master!A"&amp;MATCH(SMALL(IF(KPI_Element_Map!$E$2:$E$287=$A34,KPI_Element_Map!$A$2:$A$287),COLUMNS($J34:O34)),KPI_Master!$A:$A,0)&amp;":P"&amp;MATCH(SMALL(IF(KPI_Element_Map!$E$2:$E$287=$A34,KPI_Element_Map!$A$2:$A$287),COLUMNS($J34:O34)),KPI_Master!$A:$A,0),SMALL(IF(KPI_Element_Map!$E$2:$E$287=$A34,KPI_Element_Map!$A$2:$A$287),COLUMNS($J34:O34))),"")</f>
        <v/>
      </c>
      <c r="P34" s="25" t="str">
        <f t="array" ref="P34">IFERROR(HYPERLINK("#KPI_Master!A"&amp;MATCH(SMALL(IF(KPI_Element_Map!$E$2:$E$287=$A34,KPI_Element_Map!$A$2:$A$287),COLUMNS($J34:P34)),KPI_Master!$A:$A,0)&amp;":P"&amp;MATCH(SMALL(IF(KPI_Element_Map!$E$2:$E$287=$A34,KPI_Element_Map!$A$2:$A$287),COLUMNS($J34:P34)),KPI_Master!$A:$A,0),SMALL(IF(KPI_Element_Map!$E$2:$E$287=$A34,KPI_Element_Map!$A$2:$A$287),COLUMNS($J34:P34))),"")</f>
        <v/>
      </c>
      <c r="Q34" s="25" t="str">
        <f t="array" ref="Q34">IFERROR(HYPERLINK("#KPI_Master!A"&amp;MATCH(SMALL(IF(KPI_Element_Map!$E$2:$E$287=$A34,KPI_Element_Map!$A$2:$A$287),COLUMNS($J34:Q34)),KPI_Master!$A:$A,0)&amp;":P"&amp;MATCH(SMALL(IF(KPI_Element_Map!$E$2:$E$287=$A34,KPI_Element_Map!$A$2:$A$287),COLUMNS($J34:Q34)),KPI_Master!$A:$A,0),SMALL(IF(KPI_Element_Map!$E$2:$E$287=$A34,KPI_Element_Map!$A$2:$A$287),COLUMNS($J34:Q34))),"")</f>
        <v/>
      </c>
      <c r="R34" s="25" t="str">
        <f t="array" ref="R34">IFERROR(HYPERLINK("#KPI_Master!A"&amp;MATCH(SMALL(IF(KPI_Element_Map!$E$2:$E$287=$A34,KPI_Element_Map!$A$2:$A$287),COLUMNS($J34:R34)),KPI_Master!$A:$A,0)&amp;":P"&amp;MATCH(SMALL(IF(KPI_Element_Map!$E$2:$E$287=$A34,KPI_Element_Map!$A$2:$A$287),COLUMNS($J34:R34)),KPI_Master!$A:$A,0),SMALL(IF(KPI_Element_Map!$E$2:$E$287=$A34,KPI_Element_Map!$A$2:$A$287),COLUMNS($J34:R34))),"")</f>
        <v/>
      </c>
      <c r="S34" s="25" t="str">
        <f t="array" ref="S34">IFERROR(HYPERLINK("#KPI_Master!A"&amp;MATCH(SMALL(IF(KPI_Element_Map!$E$2:$E$287=$A34,KPI_Element_Map!$A$2:$A$287),COLUMNS($J34:S34)),KPI_Master!$A:$A,0)&amp;":P"&amp;MATCH(SMALL(IF(KPI_Element_Map!$E$2:$E$287=$A34,KPI_Element_Map!$A$2:$A$287),COLUMNS($J34:S34)),KPI_Master!$A:$A,0),SMALL(IF(KPI_Element_Map!$E$2:$E$287=$A34,KPI_Element_Map!$A$2:$A$287),COLUMNS($J34:S34))),"")</f>
        <v/>
      </c>
      <c r="T34" s="25" t="str">
        <f t="array" ref="T34">IFERROR(HYPERLINK("#KPI_Master!A"&amp;MATCH(SMALL(IF(KPI_Element_Map!$E$2:$E$287=$A34,KPI_Element_Map!$A$2:$A$287),COLUMNS($J34:T34)),KPI_Master!$A:$A,0)&amp;":P"&amp;MATCH(SMALL(IF(KPI_Element_Map!$E$2:$E$287=$A34,KPI_Element_Map!$A$2:$A$287),COLUMNS($J34:T34)),KPI_Master!$A:$A,0),SMALL(IF(KPI_Element_Map!$E$2:$E$287=$A34,KPI_Element_Map!$A$2:$A$287),COLUMNS($J34:T34))),"")</f>
        <v/>
      </c>
      <c r="U34" s="25" t="str">
        <f t="array" ref="U34">IFERROR(HYPERLINK("#KPI_Master!A"&amp;MATCH(SMALL(IF(KPI_Element_Map!$E$2:$E$287=$A34,KPI_Element_Map!$A$2:$A$287),COLUMNS($J34:U34)),KPI_Master!$A:$A,0)&amp;":P"&amp;MATCH(SMALL(IF(KPI_Element_Map!$E$2:$E$287=$A34,KPI_Element_Map!$A$2:$A$287),COLUMNS($J34:U34)),KPI_Master!$A:$A,0),SMALL(IF(KPI_Element_Map!$E$2:$E$287=$A34,KPI_Element_Map!$A$2:$A$287),COLUMNS($J34:U34))),"")</f>
        <v/>
      </c>
      <c r="V34" s="25" t="str">
        <f t="array" ref="V34">IFERROR(HYPERLINK("#KPI_Master!A"&amp;MATCH(SMALL(IF(KPI_Element_Map!$E$2:$E$287=$A34,KPI_Element_Map!$A$2:$A$287),COLUMNS($J34:V34)),KPI_Master!$A:$A,0)&amp;":P"&amp;MATCH(SMALL(IF(KPI_Element_Map!$E$2:$E$287=$A34,KPI_Element_Map!$A$2:$A$287),COLUMNS($J34:V34)),KPI_Master!$A:$A,0),SMALL(IF(KPI_Element_Map!$E$2:$E$287=$A34,KPI_Element_Map!$A$2:$A$287),COLUMNS($J34:V34))),"")</f>
        <v/>
      </c>
      <c r="W34" s="25" t="str">
        <f t="array" ref="W34">IFERROR(HYPERLINK("#KPI_Master!A"&amp;MATCH(SMALL(IF(KPI_Element_Map!$E$2:$E$287=$A34,KPI_Element_Map!$A$2:$A$287),COLUMNS($J34:W34)),KPI_Master!$A:$A,0)&amp;":P"&amp;MATCH(SMALL(IF(KPI_Element_Map!$E$2:$E$287=$A34,KPI_Element_Map!$A$2:$A$287),COLUMNS($J34:W34)),KPI_Master!$A:$A,0),SMALL(IF(KPI_Element_Map!$E$2:$E$287=$A34,KPI_Element_Map!$A$2:$A$287),COLUMNS($J34:W34))),"")</f>
        <v/>
      </c>
      <c r="X34" s="25" t="str">
        <f t="array" ref="X34">IFERROR(HYPERLINK("#KPI_Master!A"&amp;MATCH(SMALL(IF(KPI_Element_Map!$E$2:$E$287=$A34,KPI_Element_Map!$A$2:$A$287),COLUMNS($J34:X34)),KPI_Master!$A:$A,0)&amp;":P"&amp;MATCH(SMALL(IF(KPI_Element_Map!$E$2:$E$287=$A34,KPI_Element_Map!$A$2:$A$287),COLUMNS($J34:X34)),KPI_Master!$A:$A,0),SMALL(IF(KPI_Element_Map!$E$2:$E$287=$A34,KPI_Element_Map!$A$2:$A$287),COLUMNS($J34:X34))),"")</f>
        <v/>
      </c>
      <c r="Y34" s="25" t="str">
        <f t="array" ref="Y34">IFERROR(HYPERLINK("#KPI_Master!A"&amp;MATCH(SMALL(IF(KPI_Element_Map!$E$2:$E$287=$A34,KPI_Element_Map!$A$2:$A$287),COLUMNS($J34:Y34)),KPI_Master!$A:$A,0)&amp;":P"&amp;MATCH(SMALL(IF(KPI_Element_Map!$E$2:$E$287=$A34,KPI_Element_Map!$A$2:$A$287),COLUMNS($J34:Y34)),KPI_Master!$A:$A,0),SMALL(IF(KPI_Element_Map!$E$2:$E$287=$A34,KPI_Element_Map!$A$2:$A$287),COLUMNS($J34:Y34))),"")</f>
        <v/>
      </c>
      <c r="Z34" s="25" t="str">
        <f t="array" ref="Z34">IFERROR(HYPERLINK("#KPI_Master!A"&amp;MATCH(SMALL(IF(KPI_Element_Map!$E$2:$E$287=$A34,KPI_Element_Map!$A$2:$A$287),COLUMNS($J34:Z34)),KPI_Master!$A:$A,0)&amp;":P"&amp;MATCH(SMALL(IF(KPI_Element_Map!$E$2:$E$287=$A34,KPI_Element_Map!$A$2:$A$287),COLUMNS($J34:Z34)),KPI_Master!$A:$A,0),SMALL(IF(KPI_Element_Map!$E$2:$E$287=$A34,KPI_Element_Map!$A$2:$A$287),COLUMNS($J34:Z34))),"")</f>
        <v/>
      </c>
      <c r="AA34" s="25" t="str">
        <f t="array" ref="AA34">IFERROR(HYPERLINK("#KPI_Master!A"&amp;MATCH(SMALL(IF(KPI_Element_Map!$E$2:$E$287=$A34,KPI_Element_Map!$A$2:$A$287),COLUMNS($J34:AA34)),KPI_Master!$A:$A,0)&amp;":P"&amp;MATCH(SMALL(IF(KPI_Element_Map!$E$2:$E$287=$A34,KPI_Element_Map!$A$2:$A$287),COLUMNS($J34:AA34)),KPI_Master!$A:$A,0),SMALL(IF(KPI_Element_Map!$E$2:$E$287=$A34,KPI_Element_Map!$A$2:$A$287),COLUMNS($J34:AA34))),"")</f>
        <v/>
      </c>
      <c r="AB34" s="25" t="str">
        <f t="array" ref="AB34">IFERROR(HYPERLINK("#KPI_Master!A"&amp;MATCH(SMALL(IF(KPI_Element_Map!$E$2:$E$287=$A34,KPI_Element_Map!$A$2:$A$287),COLUMNS($J34:AB34)),KPI_Master!$A:$A,0)&amp;":P"&amp;MATCH(SMALL(IF(KPI_Element_Map!$E$2:$E$287=$A34,KPI_Element_Map!$A$2:$A$287),COLUMNS($J34:AB34)),KPI_Master!$A:$A,0),SMALL(IF(KPI_Element_Map!$E$2:$E$287=$A34,KPI_Element_Map!$A$2:$A$287),COLUMNS($J34:AB34))),"")</f>
        <v/>
      </c>
      <c r="AC34" s="25" t="str">
        <f t="array" ref="AC34">IFERROR(HYPERLINK("#KPI_Master!A"&amp;MATCH(SMALL(IF(KPI_Element_Map!$E$2:$E$287=$A34,KPI_Element_Map!$A$2:$A$287),COLUMNS($J34:AC34)),KPI_Master!$A:$A,0)&amp;":P"&amp;MATCH(SMALL(IF(KPI_Element_Map!$E$2:$E$287=$A34,KPI_Element_Map!$A$2:$A$287),COLUMNS($J34:AC34)),KPI_Master!$A:$A,0),SMALL(IF(KPI_Element_Map!$E$2:$E$287=$A34,KPI_Element_Map!$A$2:$A$287),COLUMNS($J34:AC34))),"")</f>
        <v/>
      </c>
      <c r="AD34" s="25" t="str">
        <f t="array" ref="AD34">IFERROR(HYPERLINK("#KPI_Master!A"&amp;MATCH(SMALL(IF(KPI_Element_Map!$E$2:$E$287=$A34,KPI_Element_Map!$A$2:$A$287),COLUMNS($J34:AD34)),KPI_Master!$A:$A,0)&amp;":P"&amp;MATCH(SMALL(IF(KPI_Element_Map!$E$2:$E$287=$A34,KPI_Element_Map!$A$2:$A$287),COLUMNS($J34:AD34)),KPI_Master!$A:$A,0),SMALL(IF(KPI_Element_Map!$E$2:$E$287=$A34,KPI_Element_Map!$A$2:$A$287),COLUMNS($J34:AD34))),"")</f>
        <v/>
      </c>
      <c r="AE34" s="25" t="str">
        <f t="array" ref="AE34">IFERROR(HYPERLINK("#KPI_Master!A"&amp;MATCH(SMALL(IF(KPI_Element_Map!$E$2:$E$287=$A34,KPI_Element_Map!$A$2:$A$287),COLUMNS($J34:AE34)),KPI_Master!$A:$A,0)&amp;":P"&amp;MATCH(SMALL(IF(KPI_Element_Map!$E$2:$E$287=$A34,KPI_Element_Map!$A$2:$A$287),COLUMNS($J34:AE34)),KPI_Master!$A:$A,0),SMALL(IF(KPI_Element_Map!$E$2:$E$287=$A34,KPI_Element_Map!$A$2:$A$287),COLUMNS($J34:AE34))),"")</f>
        <v/>
      </c>
      <c r="AF34" s="25" t="str">
        <f t="array" ref="AF34">IFERROR(HYPERLINK("#KPI_Master!A"&amp;MATCH(SMALL(IF(KPI_Element_Map!$E$2:$E$287=$A34,KPI_Element_Map!$A$2:$A$287),COLUMNS($J34:AF34)),KPI_Master!$A:$A,0)&amp;":P"&amp;MATCH(SMALL(IF(KPI_Element_Map!$E$2:$E$287=$A34,KPI_Element_Map!$A$2:$A$287),COLUMNS($J34:AF34)),KPI_Master!$A:$A,0),SMALL(IF(KPI_Element_Map!$E$2:$E$287=$A34,KPI_Element_Map!$A$2:$A$287),COLUMNS($J34:AF34))),"")</f>
        <v/>
      </c>
      <c r="AG34" s="25" t="str">
        <f t="array" ref="AG34">IFERROR(HYPERLINK("#KPI_Master!A"&amp;MATCH(SMALL(IF(KPI_Element_Map!$E$2:$E$287=$A34,KPI_Element_Map!$A$2:$A$287),COLUMNS($J34:AG34)),KPI_Master!$A:$A,0)&amp;":P"&amp;MATCH(SMALL(IF(KPI_Element_Map!$E$2:$E$287=$A34,KPI_Element_Map!$A$2:$A$287),COLUMNS($J34:AG34)),KPI_Master!$A:$A,0),SMALL(IF(KPI_Element_Map!$E$2:$E$287=$A34,KPI_Element_Map!$A$2:$A$287),COLUMNS($J34:AG34))),"")</f>
        <v/>
      </c>
      <c r="AH34" s="25" t="str">
        <f t="array" ref="AH34">IFERROR(HYPERLINK("#KPI_Master!A"&amp;MATCH(SMALL(IF(KPI_Element_Map!$E$2:$E$287=$A34,KPI_Element_Map!$A$2:$A$287),COLUMNS($J34:AH34)),KPI_Master!$A:$A,0)&amp;":P"&amp;MATCH(SMALL(IF(KPI_Element_Map!$E$2:$E$287=$A34,KPI_Element_Map!$A$2:$A$287),COLUMNS($J34:AH34)),KPI_Master!$A:$A,0),SMALL(IF(KPI_Element_Map!$E$2:$E$287=$A34,KPI_Element_Map!$A$2:$A$287),COLUMNS($J34:AH34))),"")</f>
        <v/>
      </c>
    </row>
    <row r="35" spans="1:34" ht="28.5" customHeight="1">
      <c r="A35" s="21" t="s">
        <v>1026</v>
      </c>
      <c r="B35" s="22" t="s">
        <v>1027</v>
      </c>
      <c r="C35" s="23" t="s">
        <v>1028</v>
      </c>
      <c r="D35" s="23" t="str">
        <f t="array" ref="D35">_xlfn.TEXTJOIN(", ",TRUE(),IF(KPI_Element_Map!$E$2:$E$287=$A35,KPI_Element_Map!$A$2:$A$287,""))</f>
        <v>44, 45, 46, 55, 65</v>
      </c>
      <c r="E35" s="21">
        <f>COUNTIF(KPI_Element_Map!$E$2:$E$287,$A35)</f>
        <v>5</v>
      </c>
      <c r="F35" s="21">
        <f>COUNTIFS(KPI_Element_Map!$E$2:$E$287,$A35,KPI_Element_Map!$D$2:$D$287,"1 - Core")</f>
        <v>2</v>
      </c>
      <c r="G35" s="24" t="s">
        <v>1025</v>
      </c>
      <c r="H35" s="23" t="str">
        <f>INDEX(Minimum_Documents!$B:$B,MATCH($G35,Minimum_Documents!$A:$A,0))</f>
        <v>HRIS Employee Roster &amp; Movement Report (headcount, hires, separations)</v>
      </c>
      <c r="J35" s="25">
        <f t="array" ref="J35">IFERROR(HYPERLINK("#KPI_Master!A"&amp;MATCH(SMALL(IF(KPI_Element_Map!$E$2:$E$287=$A35,KPI_Element_Map!$A$2:$A$287),COLUMNS($J35:J35)),KPI_Master!$A:$A,0)&amp;":P"&amp;MATCH(SMALL(IF(KPI_Element_Map!$E$2:$E$287=$A35,KPI_Element_Map!$A$2:$A$287),COLUMNS($J35:J35)),KPI_Master!$A:$A,0),SMALL(IF(KPI_Element_Map!$E$2:$E$287=$A35,KPI_Element_Map!$A$2:$A$287),COLUMNS($J35:J35))),"")</f>
        <v>44</v>
      </c>
      <c r="K35" s="25">
        <f t="array" ref="K35">IFERROR(HYPERLINK("#KPI_Master!A"&amp;MATCH(SMALL(IF(KPI_Element_Map!$E$2:$E$287=$A35,KPI_Element_Map!$A$2:$A$287),COLUMNS($J35:K35)),KPI_Master!$A:$A,0)&amp;":P"&amp;MATCH(SMALL(IF(KPI_Element_Map!$E$2:$E$287=$A35,KPI_Element_Map!$A$2:$A$287),COLUMNS($J35:K35)),KPI_Master!$A:$A,0),SMALL(IF(KPI_Element_Map!$E$2:$E$287=$A35,KPI_Element_Map!$A$2:$A$287),COLUMNS($J35:K35))),"")</f>
        <v>45</v>
      </c>
      <c r="L35" s="25">
        <f t="array" ref="L35">IFERROR(HYPERLINK("#KPI_Master!A"&amp;MATCH(SMALL(IF(KPI_Element_Map!$E$2:$E$287=$A35,KPI_Element_Map!$A$2:$A$287),COLUMNS($J35:L35)),KPI_Master!$A:$A,0)&amp;":P"&amp;MATCH(SMALL(IF(KPI_Element_Map!$E$2:$E$287=$A35,KPI_Element_Map!$A$2:$A$287),COLUMNS($J35:L35)),KPI_Master!$A:$A,0),SMALL(IF(KPI_Element_Map!$E$2:$E$287=$A35,KPI_Element_Map!$A$2:$A$287),COLUMNS($J35:L35))),"")</f>
        <v>46</v>
      </c>
      <c r="M35" s="25">
        <f t="array" ref="M35">IFERROR(HYPERLINK("#KPI_Master!A"&amp;MATCH(SMALL(IF(KPI_Element_Map!$E$2:$E$287=$A35,KPI_Element_Map!$A$2:$A$287),COLUMNS($J35:M35)),KPI_Master!$A:$A,0)&amp;":P"&amp;MATCH(SMALL(IF(KPI_Element_Map!$E$2:$E$287=$A35,KPI_Element_Map!$A$2:$A$287),COLUMNS($J35:M35)),KPI_Master!$A:$A,0),SMALL(IF(KPI_Element_Map!$E$2:$E$287=$A35,KPI_Element_Map!$A$2:$A$287),COLUMNS($J35:M35))),"")</f>
        <v>55</v>
      </c>
      <c r="N35" s="25">
        <f t="array" ref="N35">IFERROR(HYPERLINK("#KPI_Master!A"&amp;MATCH(SMALL(IF(KPI_Element_Map!$E$2:$E$287=$A35,KPI_Element_Map!$A$2:$A$287),COLUMNS($J35:N35)),KPI_Master!$A:$A,0)&amp;":P"&amp;MATCH(SMALL(IF(KPI_Element_Map!$E$2:$E$287=$A35,KPI_Element_Map!$A$2:$A$287),COLUMNS($J35:N35)),KPI_Master!$A:$A,0),SMALL(IF(KPI_Element_Map!$E$2:$E$287=$A35,KPI_Element_Map!$A$2:$A$287),COLUMNS($J35:N35))),"")</f>
        <v>65</v>
      </c>
      <c r="O35" s="25" t="str">
        <f t="array" ref="O35">IFERROR(HYPERLINK("#KPI_Master!A"&amp;MATCH(SMALL(IF(KPI_Element_Map!$E$2:$E$287=$A35,KPI_Element_Map!$A$2:$A$287),COLUMNS($J35:O35)),KPI_Master!$A:$A,0)&amp;":P"&amp;MATCH(SMALL(IF(KPI_Element_Map!$E$2:$E$287=$A35,KPI_Element_Map!$A$2:$A$287),COLUMNS($J35:O35)),KPI_Master!$A:$A,0),SMALL(IF(KPI_Element_Map!$E$2:$E$287=$A35,KPI_Element_Map!$A$2:$A$287),COLUMNS($J35:O35))),"")</f>
        <v/>
      </c>
      <c r="P35" s="25" t="str">
        <f t="array" ref="P35">IFERROR(HYPERLINK("#KPI_Master!A"&amp;MATCH(SMALL(IF(KPI_Element_Map!$E$2:$E$287=$A35,KPI_Element_Map!$A$2:$A$287),COLUMNS($J35:P35)),KPI_Master!$A:$A,0)&amp;":P"&amp;MATCH(SMALL(IF(KPI_Element_Map!$E$2:$E$287=$A35,KPI_Element_Map!$A$2:$A$287),COLUMNS($J35:P35)),KPI_Master!$A:$A,0),SMALL(IF(KPI_Element_Map!$E$2:$E$287=$A35,KPI_Element_Map!$A$2:$A$287),COLUMNS($J35:P35))),"")</f>
        <v/>
      </c>
      <c r="Q35" s="25" t="str">
        <f t="array" ref="Q35">IFERROR(HYPERLINK("#KPI_Master!A"&amp;MATCH(SMALL(IF(KPI_Element_Map!$E$2:$E$287=$A35,KPI_Element_Map!$A$2:$A$287),COLUMNS($J35:Q35)),KPI_Master!$A:$A,0)&amp;":P"&amp;MATCH(SMALL(IF(KPI_Element_Map!$E$2:$E$287=$A35,KPI_Element_Map!$A$2:$A$287),COLUMNS($J35:Q35)),KPI_Master!$A:$A,0),SMALL(IF(KPI_Element_Map!$E$2:$E$287=$A35,KPI_Element_Map!$A$2:$A$287),COLUMNS($J35:Q35))),"")</f>
        <v/>
      </c>
      <c r="R35" s="25" t="str">
        <f t="array" ref="R35">IFERROR(HYPERLINK("#KPI_Master!A"&amp;MATCH(SMALL(IF(KPI_Element_Map!$E$2:$E$287=$A35,KPI_Element_Map!$A$2:$A$287),COLUMNS($J35:R35)),KPI_Master!$A:$A,0)&amp;":P"&amp;MATCH(SMALL(IF(KPI_Element_Map!$E$2:$E$287=$A35,KPI_Element_Map!$A$2:$A$287),COLUMNS($J35:R35)),KPI_Master!$A:$A,0),SMALL(IF(KPI_Element_Map!$E$2:$E$287=$A35,KPI_Element_Map!$A$2:$A$287),COLUMNS($J35:R35))),"")</f>
        <v/>
      </c>
      <c r="S35" s="25" t="str">
        <f t="array" ref="S35">IFERROR(HYPERLINK("#KPI_Master!A"&amp;MATCH(SMALL(IF(KPI_Element_Map!$E$2:$E$287=$A35,KPI_Element_Map!$A$2:$A$287),COLUMNS($J35:S35)),KPI_Master!$A:$A,0)&amp;":P"&amp;MATCH(SMALL(IF(KPI_Element_Map!$E$2:$E$287=$A35,KPI_Element_Map!$A$2:$A$287),COLUMNS($J35:S35)),KPI_Master!$A:$A,0),SMALL(IF(KPI_Element_Map!$E$2:$E$287=$A35,KPI_Element_Map!$A$2:$A$287),COLUMNS($J35:S35))),"")</f>
        <v/>
      </c>
      <c r="T35" s="25" t="str">
        <f t="array" ref="T35">IFERROR(HYPERLINK("#KPI_Master!A"&amp;MATCH(SMALL(IF(KPI_Element_Map!$E$2:$E$287=$A35,KPI_Element_Map!$A$2:$A$287),COLUMNS($J35:T35)),KPI_Master!$A:$A,0)&amp;":P"&amp;MATCH(SMALL(IF(KPI_Element_Map!$E$2:$E$287=$A35,KPI_Element_Map!$A$2:$A$287),COLUMNS($J35:T35)),KPI_Master!$A:$A,0),SMALL(IF(KPI_Element_Map!$E$2:$E$287=$A35,KPI_Element_Map!$A$2:$A$287),COLUMNS($J35:T35))),"")</f>
        <v/>
      </c>
      <c r="U35" s="25" t="str">
        <f t="array" ref="U35">IFERROR(HYPERLINK("#KPI_Master!A"&amp;MATCH(SMALL(IF(KPI_Element_Map!$E$2:$E$287=$A35,KPI_Element_Map!$A$2:$A$287),COLUMNS($J35:U35)),KPI_Master!$A:$A,0)&amp;":P"&amp;MATCH(SMALL(IF(KPI_Element_Map!$E$2:$E$287=$A35,KPI_Element_Map!$A$2:$A$287),COLUMNS($J35:U35)),KPI_Master!$A:$A,0),SMALL(IF(KPI_Element_Map!$E$2:$E$287=$A35,KPI_Element_Map!$A$2:$A$287),COLUMNS($J35:U35))),"")</f>
        <v/>
      </c>
      <c r="V35" s="25" t="str">
        <f t="array" ref="V35">IFERROR(HYPERLINK("#KPI_Master!A"&amp;MATCH(SMALL(IF(KPI_Element_Map!$E$2:$E$287=$A35,KPI_Element_Map!$A$2:$A$287),COLUMNS($J35:V35)),KPI_Master!$A:$A,0)&amp;":P"&amp;MATCH(SMALL(IF(KPI_Element_Map!$E$2:$E$287=$A35,KPI_Element_Map!$A$2:$A$287),COLUMNS($J35:V35)),KPI_Master!$A:$A,0),SMALL(IF(KPI_Element_Map!$E$2:$E$287=$A35,KPI_Element_Map!$A$2:$A$287),COLUMNS($J35:V35))),"")</f>
        <v/>
      </c>
      <c r="W35" s="25" t="str">
        <f t="array" ref="W35">IFERROR(HYPERLINK("#KPI_Master!A"&amp;MATCH(SMALL(IF(KPI_Element_Map!$E$2:$E$287=$A35,KPI_Element_Map!$A$2:$A$287),COLUMNS($J35:W35)),KPI_Master!$A:$A,0)&amp;":P"&amp;MATCH(SMALL(IF(KPI_Element_Map!$E$2:$E$287=$A35,KPI_Element_Map!$A$2:$A$287),COLUMNS($J35:W35)),KPI_Master!$A:$A,0),SMALL(IF(KPI_Element_Map!$E$2:$E$287=$A35,KPI_Element_Map!$A$2:$A$287),COLUMNS($J35:W35))),"")</f>
        <v/>
      </c>
      <c r="X35" s="25" t="str">
        <f t="array" ref="X35">IFERROR(HYPERLINK("#KPI_Master!A"&amp;MATCH(SMALL(IF(KPI_Element_Map!$E$2:$E$287=$A35,KPI_Element_Map!$A$2:$A$287),COLUMNS($J35:X35)),KPI_Master!$A:$A,0)&amp;":P"&amp;MATCH(SMALL(IF(KPI_Element_Map!$E$2:$E$287=$A35,KPI_Element_Map!$A$2:$A$287),COLUMNS($J35:X35)),KPI_Master!$A:$A,0),SMALL(IF(KPI_Element_Map!$E$2:$E$287=$A35,KPI_Element_Map!$A$2:$A$287),COLUMNS($J35:X35))),"")</f>
        <v/>
      </c>
      <c r="Y35" s="25" t="str">
        <f t="array" ref="Y35">IFERROR(HYPERLINK("#KPI_Master!A"&amp;MATCH(SMALL(IF(KPI_Element_Map!$E$2:$E$287=$A35,KPI_Element_Map!$A$2:$A$287),COLUMNS($J35:Y35)),KPI_Master!$A:$A,0)&amp;":P"&amp;MATCH(SMALL(IF(KPI_Element_Map!$E$2:$E$287=$A35,KPI_Element_Map!$A$2:$A$287),COLUMNS($J35:Y35)),KPI_Master!$A:$A,0),SMALL(IF(KPI_Element_Map!$E$2:$E$287=$A35,KPI_Element_Map!$A$2:$A$287),COLUMNS($J35:Y35))),"")</f>
        <v/>
      </c>
      <c r="Z35" s="25" t="str">
        <f t="array" ref="Z35">IFERROR(HYPERLINK("#KPI_Master!A"&amp;MATCH(SMALL(IF(KPI_Element_Map!$E$2:$E$287=$A35,KPI_Element_Map!$A$2:$A$287),COLUMNS($J35:Z35)),KPI_Master!$A:$A,0)&amp;":P"&amp;MATCH(SMALL(IF(KPI_Element_Map!$E$2:$E$287=$A35,KPI_Element_Map!$A$2:$A$287),COLUMNS($J35:Z35)),KPI_Master!$A:$A,0),SMALL(IF(KPI_Element_Map!$E$2:$E$287=$A35,KPI_Element_Map!$A$2:$A$287),COLUMNS($J35:Z35))),"")</f>
        <v/>
      </c>
      <c r="AA35" s="25" t="str">
        <f t="array" ref="AA35">IFERROR(HYPERLINK("#KPI_Master!A"&amp;MATCH(SMALL(IF(KPI_Element_Map!$E$2:$E$287=$A35,KPI_Element_Map!$A$2:$A$287),COLUMNS($J35:AA35)),KPI_Master!$A:$A,0)&amp;":P"&amp;MATCH(SMALL(IF(KPI_Element_Map!$E$2:$E$287=$A35,KPI_Element_Map!$A$2:$A$287),COLUMNS($J35:AA35)),KPI_Master!$A:$A,0),SMALL(IF(KPI_Element_Map!$E$2:$E$287=$A35,KPI_Element_Map!$A$2:$A$287),COLUMNS($J35:AA35))),"")</f>
        <v/>
      </c>
      <c r="AB35" s="25" t="str">
        <f t="array" ref="AB35">IFERROR(HYPERLINK("#KPI_Master!A"&amp;MATCH(SMALL(IF(KPI_Element_Map!$E$2:$E$287=$A35,KPI_Element_Map!$A$2:$A$287),COLUMNS($J35:AB35)),KPI_Master!$A:$A,0)&amp;":P"&amp;MATCH(SMALL(IF(KPI_Element_Map!$E$2:$E$287=$A35,KPI_Element_Map!$A$2:$A$287),COLUMNS($J35:AB35)),KPI_Master!$A:$A,0),SMALL(IF(KPI_Element_Map!$E$2:$E$287=$A35,KPI_Element_Map!$A$2:$A$287),COLUMNS($J35:AB35))),"")</f>
        <v/>
      </c>
      <c r="AC35" s="25" t="str">
        <f t="array" ref="AC35">IFERROR(HYPERLINK("#KPI_Master!A"&amp;MATCH(SMALL(IF(KPI_Element_Map!$E$2:$E$287=$A35,KPI_Element_Map!$A$2:$A$287),COLUMNS($J35:AC35)),KPI_Master!$A:$A,0)&amp;":P"&amp;MATCH(SMALL(IF(KPI_Element_Map!$E$2:$E$287=$A35,KPI_Element_Map!$A$2:$A$287),COLUMNS($J35:AC35)),KPI_Master!$A:$A,0),SMALL(IF(KPI_Element_Map!$E$2:$E$287=$A35,KPI_Element_Map!$A$2:$A$287),COLUMNS($J35:AC35))),"")</f>
        <v/>
      </c>
      <c r="AD35" s="25" t="str">
        <f t="array" ref="AD35">IFERROR(HYPERLINK("#KPI_Master!A"&amp;MATCH(SMALL(IF(KPI_Element_Map!$E$2:$E$287=$A35,KPI_Element_Map!$A$2:$A$287),COLUMNS($J35:AD35)),KPI_Master!$A:$A,0)&amp;":P"&amp;MATCH(SMALL(IF(KPI_Element_Map!$E$2:$E$287=$A35,KPI_Element_Map!$A$2:$A$287),COLUMNS($J35:AD35)),KPI_Master!$A:$A,0),SMALL(IF(KPI_Element_Map!$E$2:$E$287=$A35,KPI_Element_Map!$A$2:$A$287),COLUMNS($J35:AD35))),"")</f>
        <v/>
      </c>
      <c r="AE35" s="25" t="str">
        <f t="array" ref="AE35">IFERROR(HYPERLINK("#KPI_Master!A"&amp;MATCH(SMALL(IF(KPI_Element_Map!$E$2:$E$287=$A35,KPI_Element_Map!$A$2:$A$287),COLUMNS($J35:AE35)),KPI_Master!$A:$A,0)&amp;":P"&amp;MATCH(SMALL(IF(KPI_Element_Map!$E$2:$E$287=$A35,KPI_Element_Map!$A$2:$A$287),COLUMNS($J35:AE35)),KPI_Master!$A:$A,0),SMALL(IF(KPI_Element_Map!$E$2:$E$287=$A35,KPI_Element_Map!$A$2:$A$287),COLUMNS($J35:AE35))),"")</f>
        <v/>
      </c>
      <c r="AF35" s="25" t="str">
        <f t="array" ref="AF35">IFERROR(HYPERLINK("#KPI_Master!A"&amp;MATCH(SMALL(IF(KPI_Element_Map!$E$2:$E$287=$A35,KPI_Element_Map!$A$2:$A$287),COLUMNS($J35:AF35)),KPI_Master!$A:$A,0)&amp;":P"&amp;MATCH(SMALL(IF(KPI_Element_Map!$E$2:$E$287=$A35,KPI_Element_Map!$A$2:$A$287),COLUMNS($J35:AF35)),KPI_Master!$A:$A,0),SMALL(IF(KPI_Element_Map!$E$2:$E$287=$A35,KPI_Element_Map!$A$2:$A$287),COLUMNS($J35:AF35))),"")</f>
        <v/>
      </c>
      <c r="AG35" s="25" t="str">
        <f t="array" ref="AG35">IFERROR(HYPERLINK("#KPI_Master!A"&amp;MATCH(SMALL(IF(KPI_Element_Map!$E$2:$E$287=$A35,KPI_Element_Map!$A$2:$A$287),COLUMNS($J35:AG35)),KPI_Master!$A:$A,0)&amp;":P"&amp;MATCH(SMALL(IF(KPI_Element_Map!$E$2:$E$287=$A35,KPI_Element_Map!$A$2:$A$287),COLUMNS($J35:AG35)),KPI_Master!$A:$A,0),SMALL(IF(KPI_Element_Map!$E$2:$E$287=$A35,KPI_Element_Map!$A$2:$A$287),COLUMNS($J35:AG35))),"")</f>
        <v/>
      </c>
      <c r="AH35" s="25" t="str">
        <f t="array" ref="AH35">IFERROR(HYPERLINK("#KPI_Master!A"&amp;MATCH(SMALL(IF(KPI_Element_Map!$E$2:$E$287=$A35,KPI_Element_Map!$A$2:$A$287),COLUMNS($J35:AH35)),KPI_Master!$A:$A,0)&amp;":P"&amp;MATCH(SMALL(IF(KPI_Element_Map!$E$2:$E$287=$A35,KPI_Element_Map!$A$2:$A$287),COLUMNS($J35:AH35)),KPI_Master!$A:$A,0),SMALL(IF(KPI_Element_Map!$E$2:$E$287=$A35,KPI_Element_Map!$A$2:$A$287),COLUMNS($J35:AH35))),"")</f>
        <v/>
      </c>
    </row>
    <row r="36" spans="1:34" ht="28.5" customHeight="1">
      <c r="A36" s="21" t="s">
        <v>1029</v>
      </c>
      <c r="B36" s="22" t="s">
        <v>1030</v>
      </c>
      <c r="C36" s="23" t="s">
        <v>1031</v>
      </c>
      <c r="D36" s="23" t="str">
        <f t="array" ref="D36">_xlfn.TEXTJOIN(", ",TRUE(),IF(KPI_Element_Map!$E$2:$E$287=$A36,KPI_Element_Map!$A$2:$A$287,""))</f>
        <v>46</v>
      </c>
      <c r="E36" s="21">
        <f>COUNTIF(KPI_Element_Map!$E$2:$E$287,$A36)</f>
        <v>1</v>
      </c>
      <c r="F36" s="21">
        <f>COUNTIFS(KPI_Element_Map!$E$2:$E$287,$A36,KPI_Element_Map!$D$2:$D$287,"1 - Core")</f>
        <v>1</v>
      </c>
      <c r="G36" s="24" t="s">
        <v>1025</v>
      </c>
      <c r="H36" s="23" t="str">
        <f>INDEX(Minimum_Documents!$B:$B,MATCH($G36,Minimum_Documents!$A:$A,0))</f>
        <v>HRIS Employee Roster &amp; Movement Report (headcount, hires, separations)</v>
      </c>
      <c r="J36" s="25">
        <f t="array" ref="J36">IFERROR(HYPERLINK("#KPI_Master!A"&amp;MATCH(SMALL(IF(KPI_Element_Map!$E$2:$E$287=$A36,KPI_Element_Map!$A$2:$A$287),COLUMNS($J36:J36)),KPI_Master!$A:$A,0)&amp;":P"&amp;MATCH(SMALL(IF(KPI_Element_Map!$E$2:$E$287=$A36,KPI_Element_Map!$A$2:$A$287),COLUMNS($J36:J36)),KPI_Master!$A:$A,0),SMALL(IF(KPI_Element_Map!$E$2:$E$287=$A36,KPI_Element_Map!$A$2:$A$287),COLUMNS($J36:J36))),"")</f>
        <v>46</v>
      </c>
      <c r="K36" s="25" t="str">
        <f t="array" ref="K36">IFERROR(HYPERLINK("#KPI_Master!A"&amp;MATCH(SMALL(IF(KPI_Element_Map!$E$2:$E$287=$A36,KPI_Element_Map!$A$2:$A$287),COLUMNS($J36:K36)),KPI_Master!$A:$A,0)&amp;":P"&amp;MATCH(SMALL(IF(KPI_Element_Map!$E$2:$E$287=$A36,KPI_Element_Map!$A$2:$A$287),COLUMNS($J36:K36)),KPI_Master!$A:$A,0),SMALL(IF(KPI_Element_Map!$E$2:$E$287=$A36,KPI_Element_Map!$A$2:$A$287),COLUMNS($J36:K36))),"")</f>
        <v/>
      </c>
      <c r="L36" s="25" t="str">
        <f t="array" ref="L36">IFERROR(HYPERLINK("#KPI_Master!A"&amp;MATCH(SMALL(IF(KPI_Element_Map!$E$2:$E$287=$A36,KPI_Element_Map!$A$2:$A$287),COLUMNS($J36:L36)),KPI_Master!$A:$A,0)&amp;":P"&amp;MATCH(SMALL(IF(KPI_Element_Map!$E$2:$E$287=$A36,KPI_Element_Map!$A$2:$A$287),COLUMNS($J36:L36)),KPI_Master!$A:$A,0),SMALL(IF(KPI_Element_Map!$E$2:$E$287=$A36,KPI_Element_Map!$A$2:$A$287),COLUMNS($J36:L36))),"")</f>
        <v/>
      </c>
      <c r="M36" s="25" t="str">
        <f t="array" ref="M36">IFERROR(HYPERLINK("#KPI_Master!A"&amp;MATCH(SMALL(IF(KPI_Element_Map!$E$2:$E$287=$A36,KPI_Element_Map!$A$2:$A$287),COLUMNS($J36:M36)),KPI_Master!$A:$A,0)&amp;":P"&amp;MATCH(SMALL(IF(KPI_Element_Map!$E$2:$E$287=$A36,KPI_Element_Map!$A$2:$A$287),COLUMNS($J36:M36)),KPI_Master!$A:$A,0),SMALL(IF(KPI_Element_Map!$E$2:$E$287=$A36,KPI_Element_Map!$A$2:$A$287),COLUMNS($J36:M36))),"")</f>
        <v/>
      </c>
      <c r="N36" s="25" t="str">
        <f t="array" ref="N36">IFERROR(HYPERLINK("#KPI_Master!A"&amp;MATCH(SMALL(IF(KPI_Element_Map!$E$2:$E$287=$A36,KPI_Element_Map!$A$2:$A$287),COLUMNS($J36:N36)),KPI_Master!$A:$A,0)&amp;":P"&amp;MATCH(SMALL(IF(KPI_Element_Map!$E$2:$E$287=$A36,KPI_Element_Map!$A$2:$A$287),COLUMNS($J36:N36)),KPI_Master!$A:$A,0),SMALL(IF(KPI_Element_Map!$E$2:$E$287=$A36,KPI_Element_Map!$A$2:$A$287),COLUMNS($J36:N36))),"")</f>
        <v/>
      </c>
      <c r="O36" s="25" t="str">
        <f t="array" ref="O36">IFERROR(HYPERLINK("#KPI_Master!A"&amp;MATCH(SMALL(IF(KPI_Element_Map!$E$2:$E$287=$A36,KPI_Element_Map!$A$2:$A$287),COLUMNS($J36:O36)),KPI_Master!$A:$A,0)&amp;":P"&amp;MATCH(SMALL(IF(KPI_Element_Map!$E$2:$E$287=$A36,KPI_Element_Map!$A$2:$A$287),COLUMNS($J36:O36)),KPI_Master!$A:$A,0),SMALL(IF(KPI_Element_Map!$E$2:$E$287=$A36,KPI_Element_Map!$A$2:$A$287),COLUMNS($J36:O36))),"")</f>
        <v/>
      </c>
      <c r="P36" s="25" t="str">
        <f t="array" ref="P36">IFERROR(HYPERLINK("#KPI_Master!A"&amp;MATCH(SMALL(IF(KPI_Element_Map!$E$2:$E$287=$A36,KPI_Element_Map!$A$2:$A$287),COLUMNS($J36:P36)),KPI_Master!$A:$A,0)&amp;":P"&amp;MATCH(SMALL(IF(KPI_Element_Map!$E$2:$E$287=$A36,KPI_Element_Map!$A$2:$A$287),COLUMNS($J36:P36)),KPI_Master!$A:$A,0),SMALL(IF(KPI_Element_Map!$E$2:$E$287=$A36,KPI_Element_Map!$A$2:$A$287),COLUMNS($J36:P36))),"")</f>
        <v/>
      </c>
      <c r="Q36" s="25" t="str">
        <f t="array" ref="Q36">IFERROR(HYPERLINK("#KPI_Master!A"&amp;MATCH(SMALL(IF(KPI_Element_Map!$E$2:$E$287=$A36,KPI_Element_Map!$A$2:$A$287),COLUMNS($J36:Q36)),KPI_Master!$A:$A,0)&amp;":P"&amp;MATCH(SMALL(IF(KPI_Element_Map!$E$2:$E$287=$A36,KPI_Element_Map!$A$2:$A$287),COLUMNS($J36:Q36)),KPI_Master!$A:$A,0),SMALL(IF(KPI_Element_Map!$E$2:$E$287=$A36,KPI_Element_Map!$A$2:$A$287),COLUMNS($J36:Q36))),"")</f>
        <v/>
      </c>
      <c r="R36" s="25" t="str">
        <f t="array" ref="R36">IFERROR(HYPERLINK("#KPI_Master!A"&amp;MATCH(SMALL(IF(KPI_Element_Map!$E$2:$E$287=$A36,KPI_Element_Map!$A$2:$A$287),COLUMNS($J36:R36)),KPI_Master!$A:$A,0)&amp;":P"&amp;MATCH(SMALL(IF(KPI_Element_Map!$E$2:$E$287=$A36,KPI_Element_Map!$A$2:$A$287),COLUMNS($J36:R36)),KPI_Master!$A:$A,0),SMALL(IF(KPI_Element_Map!$E$2:$E$287=$A36,KPI_Element_Map!$A$2:$A$287),COLUMNS($J36:R36))),"")</f>
        <v/>
      </c>
      <c r="S36" s="25" t="str">
        <f t="array" ref="S36">IFERROR(HYPERLINK("#KPI_Master!A"&amp;MATCH(SMALL(IF(KPI_Element_Map!$E$2:$E$287=$A36,KPI_Element_Map!$A$2:$A$287),COLUMNS($J36:S36)),KPI_Master!$A:$A,0)&amp;":P"&amp;MATCH(SMALL(IF(KPI_Element_Map!$E$2:$E$287=$A36,KPI_Element_Map!$A$2:$A$287),COLUMNS($J36:S36)),KPI_Master!$A:$A,0),SMALL(IF(KPI_Element_Map!$E$2:$E$287=$A36,KPI_Element_Map!$A$2:$A$287),COLUMNS($J36:S36))),"")</f>
        <v/>
      </c>
      <c r="T36" s="25" t="str">
        <f t="array" ref="T36">IFERROR(HYPERLINK("#KPI_Master!A"&amp;MATCH(SMALL(IF(KPI_Element_Map!$E$2:$E$287=$A36,KPI_Element_Map!$A$2:$A$287),COLUMNS($J36:T36)),KPI_Master!$A:$A,0)&amp;":P"&amp;MATCH(SMALL(IF(KPI_Element_Map!$E$2:$E$287=$A36,KPI_Element_Map!$A$2:$A$287),COLUMNS($J36:T36)),KPI_Master!$A:$A,0),SMALL(IF(KPI_Element_Map!$E$2:$E$287=$A36,KPI_Element_Map!$A$2:$A$287),COLUMNS($J36:T36))),"")</f>
        <v/>
      </c>
      <c r="U36" s="25" t="str">
        <f t="array" ref="U36">IFERROR(HYPERLINK("#KPI_Master!A"&amp;MATCH(SMALL(IF(KPI_Element_Map!$E$2:$E$287=$A36,KPI_Element_Map!$A$2:$A$287),COLUMNS($J36:U36)),KPI_Master!$A:$A,0)&amp;":P"&amp;MATCH(SMALL(IF(KPI_Element_Map!$E$2:$E$287=$A36,KPI_Element_Map!$A$2:$A$287),COLUMNS($J36:U36)),KPI_Master!$A:$A,0),SMALL(IF(KPI_Element_Map!$E$2:$E$287=$A36,KPI_Element_Map!$A$2:$A$287),COLUMNS($J36:U36))),"")</f>
        <v/>
      </c>
      <c r="V36" s="25" t="str">
        <f t="array" ref="V36">IFERROR(HYPERLINK("#KPI_Master!A"&amp;MATCH(SMALL(IF(KPI_Element_Map!$E$2:$E$287=$A36,KPI_Element_Map!$A$2:$A$287),COLUMNS($J36:V36)),KPI_Master!$A:$A,0)&amp;":P"&amp;MATCH(SMALL(IF(KPI_Element_Map!$E$2:$E$287=$A36,KPI_Element_Map!$A$2:$A$287),COLUMNS($J36:V36)),KPI_Master!$A:$A,0),SMALL(IF(KPI_Element_Map!$E$2:$E$287=$A36,KPI_Element_Map!$A$2:$A$287),COLUMNS($J36:V36))),"")</f>
        <v/>
      </c>
      <c r="W36" s="25" t="str">
        <f t="array" ref="W36">IFERROR(HYPERLINK("#KPI_Master!A"&amp;MATCH(SMALL(IF(KPI_Element_Map!$E$2:$E$287=$A36,KPI_Element_Map!$A$2:$A$287),COLUMNS($J36:W36)),KPI_Master!$A:$A,0)&amp;":P"&amp;MATCH(SMALL(IF(KPI_Element_Map!$E$2:$E$287=$A36,KPI_Element_Map!$A$2:$A$287),COLUMNS($J36:W36)),KPI_Master!$A:$A,0),SMALL(IF(KPI_Element_Map!$E$2:$E$287=$A36,KPI_Element_Map!$A$2:$A$287),COLUMNS($J36:W36))),"")</f>
        <v/>
      </c>
      <c r="X36" s="25" t="str">
        <f t="array" ref="X36">IFERROR(HYPERLINK("#KPI_Master!A"&amp;MATCH(SMALL(IF(KPI_Element_Map!$E$2:$E$287=$A36,KPI_Element_Map!$A$2:$A$287),COLUMNS($J36:X36)),KPI_Master!$A:$A,0)&amp;":P"&amp;MATCH(SMALL(IF(KPI_Element_Map!$E$2:$E$287=$A36,KPI_Element_Map!$A$2:$A$287),COLUMNS($J36:X36)),KPI_Master!$A:$A,0),SMALL(IF(KPI_Element_Map!$E$2:$E$287=$A36,KPI_Element_Map!$A$2:$A$287),COLUMNS($J36:X36))),"")</f>
        <v/>
      </c>
      <c r="Y36" s="25" t="str">
        <f t="array" ref="Y36">IFERROR(HYPERLINK("#KPI_Master!A"&amp;MATCH(SMALL(IF(KPI_Element_Map!$E$2:$E$287=$A36,KPI_Element_Map!$A$2:$A$287),COLUMNS($J36:Y36)),KPI_Master!$A:$A,0)&amp;":P"&amp;MATCH(SMALL(IF(KPI_Element_Map!$E$2:$E$287=$A36,KPI_Element_Map!$A$2:$A$287),COLUMNS($J36:Y36)),KPI_Master!$A:$A,0),SMALL(IF(KPI_Element_Map!$E$2:$E$287=$A36,KPI_Element_Map!$A$2:$A$287),COLUMNS($J36:Y36))),"")</f>
        <v/>
      </c>
      <c r="Z36" s="25" t="str">
        <f t="array" ref="Z36">IFERROR(HYPERLINK("#KPI_Master!A"&amp;MATCH(SMALL(IF(KPI_Element_Map!$E$2:$E$287=$A36,KPI_Element_Map!$A$2:$A$287),COLUMNS($J36:Z36)),KPI_Master!$A:$A,0)&amp;":P"&amp;MATCH(SMALL(IF(KPI_Element_Map!$E$2:$E$287=$A36,KPI_Element_Map!$A$2:$A$287),COLUMNS($J36:Z36)),KPI_Master!$A:$A,0),SMALL(IF(KPI_Element_Map!$E$2:$E$287=$A36,KPI_Element_Map!$A$2:$A$287),COLUMNS($J36:Z36))),"")</f>
        <v/>
      </c>
      <c r="AA36" s="25" t="str">
        <f t="array" ref="AA36">IFERROR(HYPERLINK("#KPI_Master!A"&amp;MATCH(SMALL(IF(KPI_Element_Map!$E$2:$E$287=$A36,KPI_Element_Map!$A$2:$A$287),COLUMNS($J36:AA36)),KPI_Master!$A:$A,0)&amp;":P"&amp;MATCH(SMALL(IF(KPI_Element_Map!$E$2:$E$287=$A36,KPI_Element_Map!$A$2:$A$287),COLUMNS($J36:AA36)),KPI_Master!$A:$A,0),SMALL(IF(KPI_Element_Map!$E$2:$E$287=$A36,KPI_Element_Map!$A$2:$A$287),COLUMNS($J36:AA36))),"")</f>
        <v/>
      </c>
      <c r="AB36" s="25" t="str">
        <f t="array" ref="AB36">IFERROR(HYPERLINK("#KPI_Master!A"&amp;MATCH(SMALL(IF(KPI_Element_Map!$E$2:$E$287=$A36,KPI_Element_Map!$A$2:$A$287),COLUMNS($J36:AB36)),KPI_Master!$A:$A,0)&amp;":P"&amp;MATCH(SMALL(IF(KPI_Element_Map!$E$2:$E$287=$A36,KPI_Element_Map!$A$2:$A$287),COLUMNS($J36:AB36)),KPI_Master!$A:$A,0),SMALL(IF(KPI_Element_Map!$E$2:$E$287=$A36,KPI_Element_Map!$A$2:$A$287),COLUMNS($J36:AB36))),"")</f>
        <v/>
      </c>
      <c r="AC36" s="25" t="str">
        <f t="array" ref="AC36">IFERROR(HYPERLINK("#KPI_Master!A"&amp;MATCH(SMALL(IF(KPI_Element_Map!$E$2:$E$287=$A36,KPI_Element_Map!$A$2:$A$287),COLUMNS($J36:AC36)),KPI_Master!$A:$A,0)&amp;":P"&amp;MATCH(SMALL(IF(KPI_Element_Map!$E$2:$E$287=$A36,KPI_Element_Map!$A$2:$A$287),COLUMNS($J36:AC36)),KPI_Master!$A:$A,0),SMALL(IF(KPI_Element_Map!$E$2:$E$287=$A36,KPI_Element_Map!$A$2:$A$287),COLUMNS($J36:AC36))),"")</f>
        <v/>
      </c>
      <c r="AD36" s="25" t="str">
        <f t="array" ref="AD36">IFERROR(HYPERLINK("#KPI_Master!A"&amp;MATCH(SMALL(IF(KPI_Element_Map!$E$2:$E$287=$A36,KPI_Element_Map!$A$2:$A$287),COLUMNS($J36:AD36)),KPI_Master!$A:$A,0)&amp;":P"&amp;MATCH(SMALL(IF(KPI_Element_Map!$E$2:$E$287=$A36,KPI_Element_Map!$A$2:$A$287),COLUMNS($J36:AD36)),KPI_Master!$A:$A,0),SMALL(IF(KPI_Element_Map!$E$2:$E$287=$A36,KPI_Element_Map!$A$2:$A$287),COLUMNS($J36:AD36))),"")</f>
        <v/>
      </c>
      <c r="AE36" s="25" t="str">
        <f t="array" ref="AE36">IFERROR(HYPERLINK("#KPI_Master!A"&amp;MATCH(SMALL(IF(KPI_Element_Map!$E$2:$E$287=$A36,KPI_Element_Map!$A$2:$A$287),COLUMNS($J36:AE36)),KPI_Master!$A:$A,0)&amp;":P"&amp;MATCH(SMALL(IF(KPI_Element_Map!$E$2:$E$287=$A36,KPI_Element_Map!$A$2:$A$287),COLUMNS($J36:AE36)),KPI_Master!$A:$A,0),SMALL(IF(KPI_Element_Map!$E$2:$E$287=$A36,KPI_Element_Map!$A$2:$A$287),COLUMNS($J36:AE36))),"")</f>
        <v/>
      </c>
      <c r="AF36" s="25" t="str">
        <f t="array" ref="AF36">IFERROR(HYPERLINK("#KPI_Master!A"&amp;MATCH(SMALL(IF(KPI_Element_Map!$E$2:$E$287=$A36,KPI_Element_Map!$A$2:$A$287),COLUMNS($J36:AF36)),KPI_Master!$A:$A,0)&amp;":P"&amp;MATCH(SMALL(IF(KPI_Element_Map!$E$2:$E$287=$A36,KPI_Element_Map!$A$2:$A$287),COLUMNS($J36:AF36)),KPI_Master!$A:$A,0),SMALL(IF(KPI_Element_Map!$E$2:$E$287=$A36,KPI_Element_Map!$A$2:$A$287),COLUMNS($J36:AF36))),"")</f>
        <v/>
      </c>
      <c r="AG36" s="25" t="str">
        <f t="array" ref="AG36">IFERROR(HYPERLINK("#KPI_Master!A"&amp;MATCH(SMALL(IF(KPI_Element_Map!$E$2:$E$287=$A36,KPI_Element_Map!$A$2:$A$287),COLUMNS($J36:AG36)),KPI_Master!$A:$A,0)&amp;":P"&amp;MATCH(SMALL(IF(KPI_Element_Map!$E$2:$E$287=$A36,KPI_Element_Map!$A$2:$A$287),COLUMNS($J36:AG36)),KPI_Master!$A:$A,0),SMALL(IF(KPI_Element_Map!$E$2:$E$287=$A36,KPI_Element_Map!$A$2:$A$287),COLUMNS($J36:AG36))),"")</f>
        <v/>
      </c>
      <c r="AH36" s="25" t="str">
        <f t="array" ref="AH36">IFERROR(HYPERLINK("#KPI_Master!A"&amp;MATCH(SMALL(IF(KPI_Element_Map!$E$2:$E$287=$A36,KPI_Element_Map!$A$2:$A$287),COLUMNS($J36:AH36)),KPI_Master!$A:$A,0)&amp;":P"&amp;MATCH(SMALL(IF(KPI_Element_Map!$E$2:$E$287=$A36,KPI_Element_Map!$A$2:$A$287),COLUMNS($J36:AH36)),KPI_Master!$A:$A,0),SMALL(IF(KPI_Element_Map!$E$2:$E$287=$A36,KPI_Element_Map!$A$2:$A$287),COLUMNS($J36:AH36))),"")</f>
        <v/>
      </c>
    </row>
    <row r="37" spans="1:34" ht="28.5" customHeight="1">
      <c r="A37" s="21" t="s">
        <v>1032</v>
      </c>
      <c r="B37" s="22" t="s">
        <v>1033</v>
      </c>
      <c r="C37" s="23" t="s">
        <v>1034</v>
      </c>
      <c r="D37" s="23" t="str">
        <f t="array" ref="D37">_xlfn.TEXTJOIN(", ",TRUE(),IF(KPI_Element_Map!$E$2:$E$287=$A37,KPI_Element_Map!$A$2:$A$287,""))</f>
        <v>47, 48, 67</v>
      </c>
      <c r="E37" s="21">
        <f>COUNTIF(KPI_Element_Map!$E$2:$E$287,$A37)</f>
        <v>3</v>
      </c>
      <c r="F37" s="21">
        <f>COUNTIFS(KPI_Element_Map!$E$2:$E$287,$A37,KPI_Element_Map!$D$2:$D$287,"1 - Core")</f>
        <v>0</v>
      </c>
      <c r="G37" s="24" t="s">
        <v>1035</v>
      </c>
      <c r="H37" s="23" t="str">
        <f>INDEX(Minimum_Documents!$B:$B,MATCH($G37,Minimum_Documents!$A:$A,0))</f>
        <v>Position Control &amp; Requisition Report (budgeted positions, recommended FTE, open requisitions)</v>
      </c>
      <c r="J37" s="25">
        <f t="array" ref="J37">IFERROR(HYPERLINK("#KPI_Master!A"&amp;MATCH(SMALL(IF(KPI_Element_Map!$E$2:$E$287=$A37,KPI_Element_Map!$A$2:$A$287),COLUMNS($J37:J37)),KPI_Master!$A:$A,0)&amp;":P"&amp;MATCH(SMALL(IF(KPI_Element_Map!$E$2:$E$287=$A37,KPI_Element_Map!$A$2:$A$287),COLUMNS($J37:J37)),KPI_Master!$A:$A,0),SMALL(IF(KPI_Element_Map!$E$2:$E$287=$A37,KPI_Element_Map!$A$2:$A$287),COLUMNS($J37:J37))),"")</f>
        <v>47</v>
      </c>
      <c r="K37" s="25">
        <f t="array" ref="K37">IFERROR(HYPERLINK("#KPI_Master!A"&amp;MATCH(SMALL(IF(KPI_Element_Map!$E$2:$E$287=$A37,KPI_Element_Map!$A$2:$A$287),COLUMNS($J37:K37)),KPI_Master!$A:$A,0)&amp;":P"&amp;MATCH(SMALL(IF(KPI_Element_Map!$E$2:$E$287=$A37,KPI_Element_Map!$A$2:$A$287),COLUMNS($J37:K37)),KPI_Master!$A:$A,0),SMALL(IF(KPI_Element_Map!$E$2:$E$287=$A37,KPI_Element_Map!$A$2:$A$287),COLUMNS($J37:K37))),"")</f>
        <v>48</v>
      </c>
      <c r="L37" s="25">
        <f t="array" ref="L37">IFERROR(HYPERLINK("#KPI_Master!A"&amp;MATCH(SMALL(IF(KPI_Element_Map!$E$2:$E$287=$A37,KPI_Element_Map!$A$2:$A$287),COLUMNS($J37:L37)),KPI_Master!$A:$A,0)&amp;":P"&amp;MATCH(SMALL(IF(KPI_Element_Map!$E$2:$E$287=$A37,KPI_Element_Map!$A$2:$A$287),COLUMNS($J37:L37)),KPI_Master!$A:$A,0),SMALL(IF(KPI_Element_Map!$E$2:$E$287=$A37,KPI_Element_Map!$A$2:$A$287),COLUMNS($J37:L37))),"")</f>
        <v>67</v>
      </c>
      <c r="M37" s="25" t="str">
        <f t="array" ref="M37">IFERROR(HYPERLINK("#KPI_Master!A"&amp;MATCH(SMALL(IF(KPI_Element_Map!$E$2:$E$287=$A37,KPI_Element_Map!$A$2:$A$287),COLUMNS($J37:M37)),KPI_Master!$A:$A,0)&amp;":P"&amp;MATCH(SMALL(IF(KPI_Element_Map!$E$2:$E$287=$A37,KPI_Element_Map!$A$2:$A$287),COLUMNS($J37:M37)),KPI_Master!$A:$A,0),SMALL(IF(KPI_Element_Map!$E$2:$E$287=$A37,KPI_Element_Map!$A$2:$A$287),COLUMNS($J37:M37))),"")</f>
        <v/>
      </c>
      <c r="N37" s="25" t="str">
        <f t="array" ref="N37">IFERROR(HYPERLINK("#KPI_Master!A"&amp;MATCH(SMALL(IF(KPI_Element_Map!$E$2:$E$287=$A37,KPI_Element_Map!$A$2:$A$287),COLUMNS($J37:N37)),KPI_Master!$A:$A,0)&amp;":P"&amp;MATCH(SMALL(IF(KPI_Element_Map!$E$2:$E$287=$A37,KPI_Element_Map!$A$2:$A$287),COLUMNS($J37:N37)),KPI_Master!$A:$A,0),SMALL(IF(KPI_Element_Map!$E$2:$E$287=$A37,KPI_Element_Map!$A$2:$A$287),COLUMNS($J37:N37))),"")</f>
        <v/>
      </c>
      <c r="O37" s="25" t="str">
        <f t="array" ref="O37">IFERROR(HYPERLINK("#KPI_Master!A"&amp;MATCH(SMALL(IF(KPI_Element_Map!$E$2:$E$287=$A37,KPI_Element_Map!$A$2:$A$287),COLUMNS($J37:O37)),KPI_Master!$A:$A,0)&amp;":P"&amp;MATCH(SMALL(IF(KPI_Element_Map!$E$2:$E$287=$A37,KPI_Element_Map!$A$2:$A$287),COLUMNS($J37:O37)),KPI_Master!$A:$A,0),SMALL(IF(KPI_Element_Map!$E$2:$E$287=$A37,KPI_Element_Map!$A$2:$A$287),COLUMNS($J37:O37))),"")</f>
        <v/>
      </c>
      <c r="P37" s="25" t="str">
        <f t="array" ref="P37">IFERROR(HYPERLINK("#KPI_Master!A"&amp;MATCH(SMALL(IF(KPI_Element_Map!$E$2:$E$287=$A37,KPI_Element_Map!$A$2:$A$287),COLUMNS($J37:P37)),KPI_Master!$A:$A,0)&amp;":P"&amp;MATCH(SMALL(IF(KPI_Element_Map!$E$2:$E$287=$A37,KPI_Element_Map!$A$2:$A$287),COLUMNS($J37:P37)),KPI_Master!$A:$A,0),SMALL(IF(KPI_Element_Map!$E$2:$E$287=$A37,KPI_Element_Map!$A$2:$A$287),COLUMNS($J37:P37))),"")</f>
        <v/>
      </c>
      <c r="Q37" s="25" t="str">
        <f t="array" ref="Q37">IFERROR(HYPERLINK("#KPI_Master!A"&amp;MATCH(SMALL(IF(KPI_Element_Map!$E$2:$E$287=$A37,KPI_Element_Map!$A$2:$A$287),COLUMNS($J37:Q37)),KPI_Master!$A:$A,0)&amp;":P"&amp;MATCH(SMALL(IF(KPI_Element_Map!$E$2:$E$287=$A37,KPI_Element_Map!$A$2:$A$287),COLUMNS($J37:Q37)),KPI_Master!$A:$A,0),SMALL(IF(KPI_Element_Map!$E$2:$E$287=$A37,KPI_Element_Map!$A$2:$A$287),COLUMNS($J37:Q37))),"")</f>
        <v/>
      </c>
      <c r="R37" s="25" t="str">
        <f t="array" ref="R37">IFERROR(HYPERLINK("#KPI_Master!A"&amp;MATCH(SMALL(IF(KPI_Element_Map!$E$2:$E$287=$A37,KPI_Element_Map!$A$2:$A$287),COLUMNS($J37:R37)),KPI_Master!$A:$A,0)&amp;":P"&amp;MATCH(SMALL(IF(KPI_Element_Map!$E$2:$E$287=$A37,KPI_Element_Map!$A$2:$A$287),COLUMNS($J37:R37)),KPI_Master!$A:$A,0),SMALL(IF(KPI_Element_Map!$E$2:$E$287=$A37,KPI_Element_Map!$A$2:$A$287),COLUMNS($J37:R37))),"")</f>
        <v/>
      </c>
      <c r="S37" s="25" t="str">
        <f t="array" ref="S37">IFERROR(HYPERLINK("#KPI_Master!A"&amp;MATCH(SMALL(IF(KPI_Element_Map!$E$2:$E$287=$A37,KPI_Element_Map!$A$2:$A$287),COLUMNS($J37:S37)),KPI_Master!$A:$A,0)&amp;":P"&amp;MATCH(SMALL(IF(KPI_Element_Map!$E$2:$E$287=$A37,KPI_Element_Map!$A$2:$A$287),COLUMNS($J37:S37)),KPI_Master!$A:$A,0),SMALL(IF(KPI_Element_Map!$E$2:$E$287=$A37,KPI_Element_Map!$A$2:$A$287),COLUMNS($J37:S37))),"")</f>
        <v/>
      </c>
      <c r="T37" s="25" t="str">
        <f t="array" ref="T37">IFERROR(HYPERLINK("#KPI_Master!A"&amp;MATCH(SMALL(IF(KPI_Element_Map!$E$2:$E$287=$A37,KPI_Element_Map!$A$2:$A$287),COLUMNS($J37:T37)),KPI_Master!$A:$A,0)&amp;":P"&amp;MATCH(SMALL(IF(KPI_Element_Map!$E$2:$E$287=$A37,KPI_Element_Map!$A$2:$A$287),COLUMNS($J37:T37)),KPI_Master!$A:$A,0),SMALL(IF(KPI_Element_Map!$E$2:$E$287=$A37,KPI_Element_Map!$A$2:$A$287),COLUMNS($J37:T37))),"")</f>
        <v/>
      </c>
      <c r="U37" s="25" t="str">
        <f t="array" ref="U37">IFERROR(HYPERLINK("#KPI_Master!A"&amp;MATCH(SMALL(IF(KPI_Element_Map!$E$2:$E$287=$A37,KPI_Element_Map!$A$2:$A$287),COLUMNS($J37:U37)),KPI_Master!$A:$A,0)&amp;":P"&amp;MATCH(SMALL(IF(KPI_Element_Map!$E$2:$E$287=$A37,KPI_Element_Map!$A$2:$A$287),COLUMNS($J37:U37)),KPI_Master!$A:$A,0),SMALL(IF(KPI_Element_Map!$E$2:$E$287=$A37,KPI_Element_Map!$A$2:$A$287),COLUMNS($J37:U37))),"")</f>
        <v/>
      </c>
      <c r="V37" s="25" t="str">
        <f t="array" ref="V37">IFERROR(HYPERLINK("#KPI_Master!A"&amp;MATCH(SMALL(IF(KPI_Element_Map!$E$2:$E$287=$A37,KPI_Element_Map!$A$2:$A$287),COLUMNS($J37:V37)),KPI_Master!$A:$A,0)&amp;":P"&amp;MATCH(SMALL(IF(KPI_Element_Map!$E$2:$E$287=$A37,KPI_Element_Map!$A$2:$A$287),COLUMNS($J37:V37)),KPI_Master!$A:$A,0),SMALL(IF(KPI_Element_Map!$E$2:$E$287=$A37,KPI_Element_Map!$A$2:$A$287),COLUMNS($J37:V37))),"")</f>
        <v/>
      </c>
      <c r="W37" s="25" t="str">
        <f t="array" ref="W37">IFERROR(HYPERLINK("#KPI_Master!A"&amp;MATCH(SMALL(IF(KPI_Element_Map!$E$2:$E$287=$A37,KPI_Element_Map!$A$2:$A$287),COLUMNS($J37:W37)),KPI_Master!$A:$A,0)&amp;":P"&amp;MATCH(SMALL(IF(KPI_Element_Map!$E$2:$E$287=$A37,KPI_Element_Map!$A$2:$A$287),COLUMNS($J37:W37)),KPI_Master!$A:$A,0),SMALL(IF(KPI_Element_Map!$E$2:$E$287=$A37,KPI_Element_Map!$A$2:$A$287),COLUMNS($J37:W37))),"")</f>
        <v/>
      </c>
      <c r="X37" s="25" t="str">
        <f t="array" ref="X37">IFERROR(HYPERLINK("#KPI_Master!A"&amp;MATCH(SMALL(IF(KPI_Element_Map!$E$2:$E$287=$A37,KPI_Element_Map!$A$2:$A$287),COLUMNS($J37:X37)),KPI_Master!$A:$A,0)&amp;":P"&amp;MATCH(SMALL(IF(KPI_Element_Map!$E$2:$E$287=$A37,KPI_Element_Map!$A$2:$A$287),COLUMNS($J37:X37)),KPI_Master!$A:$A,0),SMALL(IF(KPI_Element_Map!$E$2:$E$287=$A37,KPI_Element_Map!$A$2:$A$287),COLUMNS($J37:X37))),"")</f>
        <v/>
      </c>
      <c r="Y37" s="25" t="str">
        <f t="array" ref="Y37">IFERROR(HYPERLINK("#KPI_Master!A"&amp;MATCH(SMALL(IF(KPI_Element_Map!$E$2:$E$287=$A37,KPI_Element_Map!$A$2:$A$287),COLUMNS($J37:Y37)),KPI_Master!$A:$A,0)&amp;":P"&amp;MATCH(SMALL(IF(KPI_Element_Map!$E$2:$E$287=$A37,KPI_Element_Map!$A$2:$A$287),COLUMNS($J37:Y37)),KPI_Master!$A:$A,0),SMALL(IF(KPI_Element_Map!$E$2:$E$287=$A37,KPI_Element_Map!$A$2:$A$287),COLUMNS($J37:Y37))),"")</f>
        <v/>
      </c>
      <c r="Z37" s="25" t="str">
        <f t="array" ref="Z37">IFERROR(HYPERLINK("#KPI_Master!A"&amp;MATCH(SMALL(IF(KPI_Element_Map!$E$2:$E$287=$A37,KPI_Element_Map!$A$2:$A$287),COLUMNS($J37:Z37)),KPI_Master!$A:$A,0)&amp;":P"&amp;MATCH(SMALL(IF(KPI_Element_Map!$E$2:$E$287=$A37,KPI_Element_Map!$A$2:$A$287),COLUMNS($J37:Z37)),KPI_Master!$A:$A,0),SMALL(IF(KPI_Element_Map!$E$2:$E$287=$A37,KPI_Element_Map!$A$2:$A$287),COLUMNS($J37:Z37))),"")</f>
        <v/>
      </c>
      <c r="AA37" s="25" t="str">
        <f t="array" ref="AA37">IFERROR(HYPERLINK("#KPI_Master!A"&amp;MATCH(SMALL(IF(KPI_Element_Map!$E$2:$E$287=$A37,KPI_Element_Map!$A$2:$A$287),COLUMNS($J37:AA37)),KPI_Master!$A:$A,0)&amp;":P"&amp;MATCH(SMALL(IF(KPI_Element_Map!$E$2:$E$287=$A37,KPI_Element_Map!$A$2:$A$287),COLUMNS($J37:AA37)),KPI_Master!$A:$A,0),SMALL(IF(KPI_Element_Map!$E$2:$E$287=$A37,KPI_Element_Map!$A$2:$A$287),COLUMNS($J37:AA37))),"")</f>
        <v/>
      </c>
      <c r="AB37" s="25" t="str">
        <f t="array" ref="AB37">IFERROR(HYPERLINK("#KPI_Master!A"&amp;MATCH(SMALL(IF(KPI_Element_Map!$E$2:$E$287=$A37,KPI_Element_Map!$A$2:$A$287),COLUMNS($J37:AB37)),KPI_Master!$A:$A,0)&amp;":P"&amp;MATCH(SMALL(IF(KPI_Element_Map!$E$2:$E$287=$A37,KPI_Element_Map!$A$2:$A$287),COLUMNS($J37:AB37)),KPI_Master!$A:$A,0),SMALL(IF(KPI_Element_Map!$E$2:$E$287=$A37,KPI_Element_Map!$A$2:$A$287),COLUMNS($J37:AB37))),"")</f>
        <v/>
      </c>
      <c r="AC37" s="25" t="str">
        <f t="array" ref="AC37">IFERROR(HYPERLINK("#KPI_Master!A"&amp;MATCH(SMALL(IF(KPI_Element_Map!$E$2:$E$287=$A37,KPI_Element_Map!$A$2:$A$287),COLUMNS($J37:AC37)),KPI_Master!$A:$A,0)&amp;":P"&amp;MATCH(SMALL(IF(KPI_Element_Map!$E$2:$E$287=$A37,KPI_Element_Map!$A$2:$A$287),COLUMNS($J37:AC37)),KPI_Master!$A:$A,0),SMALL(IF(KPI_Element_Map!$E$2:$E$287=$A37,KPI_Element_Map!$A$2:$A$287),COLUMNS($J37:AC37))),"")</f>
        <v/>
      </c>
      <c r="AD37" s="25" t="str">
        <f t="array" ref="AD37">IFERROR(HYPERLINK("#KPI_Master!A"&amp;MATCH(SMALL(IF(KPI_Element_Map!$E$2:$E$287=$A37,KPI_Element_Map!$A$2:$A$287),COLUMNS($J37:AD37)),KPI_Master!$A:$A,0)&amp;":P"&amp;MATCH(SMALL(IF(KPI_Element_Map!$E$2:$E$287=$A37,KPI_Element_Map!$A$2:$A$287),COLUMNS($J37:AD37)),KPI_Master!$A:$A,0),SMALL(IF(KPI_Element_Map!$E$2:$E$287=$A37,KPI_Element_Map!$A$2:$A$287),COLUMNS($J37:AD37))),"")</f>
        <v/>
      </c>
      <c r="AE37" s="25" t="str">
        <f t="array" ref="AE37">IFERROR(HYPERLINK("#KPI_Master!A"&amp;MATCH(SMALL(IF(KPI_Element_Map!$E$2:$E$287=$A37,KPI_Element_Map!$A$2:$A$287),COLUMNS($J37:AE37)),KPI_Master!$A:$A,0)&amp;":P"&amp;MATCH(SMALL(IF(KPI_Element_Map!$E$2:$E$287=$A37,KPI_Element_Map!$A$2:$A$287),COLUMNS($J37:AE37)),KPI_Master!$A:$A,0),SMALL(IF(KPI_Element_Map!$E$2:$E$287=$A37,KPI_Element_Map!$A$2:$A$287),COLUMNS($J37:AE37))),"")</f>
        <v/>
      </c>
      <c r="AF37" s="25" t="str">
        <f t="array" ref="AF37">IFERROR(HYPERLINK("#KPI_Master!A"&amp;MATCH(SMALL(IF(KPI_Element_Map!$E$2:$E$287=$A37,KPI_Element_Map!$A$2:$A$287),COLUMNS($J37:AF37)),KPI_Master!$A:$A,0)&amp;":P"&amp;MATCH(SMALL(IF(KPI_Element_Map!$E$2:$E$287=$A37,KPI_Element_Map!$A$2:$A$287),COLUMNS($J37:AF37)),KPI_Master!$A:$A,0),SMALL(IF(KPI_Element_Map!$E$2:$E$287=$A37,KPI_Element_Map!$A$2:$A$287),COLUMNS($J37:AF37))),"")</f>
        <v/>
      </c>
      <c r="AG37" s="25" t="str">
        <f t="array" ref="AG37">IFERROR(HYPERLINK("#KPI_Master!A"&amp;MATCH(SMALL(IF(KPI_Element_Map!$E$2:$E$287=$A37,KPI_Element_Map!$A$2:$A$287),COLUMNS($J37:AG37)),KPI_Master!$A:$A,0)&amp;":P"&amp;MATCH(SMALL(IF(KPI_Element_Map!$E$2:$E$287=$A37,KPI_Element_Map!$A$2:$A$287),COLUMNS($J37:AG37)),KPI_Master!$A:$A,0),SMALL(IF(KPI_Element_Map!$E$2:$E$287=$A37,KPI_Element_Map!$A$2:$A$287),COLUMNS($J37:AG37))),"")</f>
        <v/>
      </c>
      <c r="AH37" s="25" t="str">
        <f t="array" ref="AH37">IFERROR(HYPERLINK("#KPI_Master!A"&amp;MATCH(SMALL(IF(KPI_Element_Map!$E$2:$E$287=$A37,KPI_Element_Map!$A$2:$A$287),COLUMNS($J37:AH37)),KPI_Master!$A:$A,0)&amp;":P"&amp;MATCH(SMALL(IF(KPI_Element_Map!$E$2:$E$287=$A37,KPI_Element_Map!$A$2:$A$287),COLUMNS($J37:AH37)),KPI_Master!$A:$A,0),SMALL(IF(KPI_Element_Map!$E$2:$E$287=$A37,KPI_Element_Map!$A$2:$A$287),COLUMNS($J37:AH37))),"")</f>
        <v/>
      </c>
    </row>
    <row r="38" spans="1:34">
      <c r="A38" s="21" t="s">
        <v>1036</v>
      </c>
      <c r="B38" s="22" t="s">
        <v>1037</v>
      </c>
      <c r="C38" s="23" t="s">
        <v>1038</v>
      </c>
      <c r="D38" s="23" t="str">
        <f t="array" ref="D38">_xlfn.TEXTJOIN(", ",TRUE(),IF(KPI_Element_Map!$E$2:$E$287=$A38,KPI_Element_Map!$A$2:$A$287,""))</f>
        <v>53, 66</v>
      </c>
      <c r="E38" s="21">
        <f>COUNTIF(KPI_Element_Map!$E$2:$E$287,$A38)</f>
        <v>2</v>
      </c>
      <c r="F38" s="21">
        <f>COUNTIFS(KPI_Element_Map!$E$2:$E$287,$A38,KPI_Element_Map!$D$2:$D$287,"1 - Core")</f>
        <v>0</v>
      </c>
      <c r="G38" s="24" t="s">
        <v>1039</v>
      </c>
      <c r="H38" s="23" t="str">
        <f>INDEX(Minimum_Documents!$B:$B,MATCH($G38,Minimum_Documents!$A:$A,0))</f>
        <v>Workers' Compensation Loss Run</v>
      </c>
      <c r="J38" s="25">
        <f t="array" ref="J38">IFERROR(HYPERLINK("#KPI_Master!A"&amp;MATCH(SMALL(IF(KPI_Element_Map!$E$2:$E$287=$A38,KPI_Element_Map!$A$2:$A$287),COLUMNS($J38:J38)),KPI_Master!$A:$A,0)&amp;":P"&amp;MATCH(SMALL(IF(KPI_Element_Map!$E$2:$E$287=$A38,KPI_Element_Map!$A$2:$A$287),COLUMNS($J38:J38)),KPI_Master!$A:$A,0),SMALL(IF(KPI_Element_Map!$E$2:$E$287=$A38,KPI_Element_Map!$A$2:$A$287),COLUMNS($J38:J38))),"")</f>
        <v>53</v>
      </c>
      <c r="K38" s="25">
        <f t="array" ref="K38">IFERROR(HYPERLINK("#KPI_Master!A"&amp;MATCH(SMALL(IF(KPI_Element_Map!$E$2:$E$287=$A38,KPI_Element_Map!$A$2:$A$287),COLUMNS($J38:K38)),KPI_Master!$A:$A,0)&amp;":P"&amp;MATCH(SMALL(IF(KPI_Element_Map!$E$2:$E$287=$A38,KPI_Element_Map!$A$2:$A$287),COLUMNS($J38:K38)),KPI_Master!$A:$A,0),SMALL(IF(KPI_Element_Map!$E$2:$E$287=$A38,KPI_Element_Map!$A$2:$A$287),COLUMNS($J38:K38))),"")</f>
        <v>66</v>
      </c>
      <c r="L38" s="25" t="str">
        <f t="array" ref="L38">IFERROR(HYPERLINK("#KPI_Master!A"&amp;MATCH(SMALL(IF(KPI_Element_Map!$E$2:$E$287=$A38,KPI_Element_Map!$A$2:$A$287),COLUMNS($J38:L38)),KPI_Master!$A:$A,0)&amp;":P"&amp;MATCH(SMALL(IF(KPI_Element_Map!$E$2:$E$287=$A38,KPI_Element_Map!$A$2:$A$287),COLUMNS($J38:L38)),KPI_Master!$A:$A,0),SMALL(IF(KPI_Element_Map!$E$2:$E$287=$A38,KPI_Element_Map!$A$2:$A$287),COLUMNS($J38:L38))),"")</f>
        <v/>
      </c>
      <c r="M38" s="25" t="str">
        <f t="array" ref="M38">IFERROR(HYPERLINK("#KPI_Master!A"&amp;MATCH(SMALL(IF(KPI_Element_Map!$E$2:$E$287=$A38,KPI_Element_Map!$A$2:$A$287),COLUMNS($J38:M38)),KPI_Master!$A:$A,0)&amp;":P"&amp;MATCH(SMALL(IF(KPI_Element_Map!$E$2:$E$287=$A38,KPI_Element_Map!$A$2:$A$287),COLUMNS($J38:M38)),KPI_Master!$A:$A,0),SMALL(IF(KPI_Element_Map!$E$2:$E$287=$A38,KPI_Element_Map!$A$2:$A$287),COLUMNS($J38:M38))),"")</f>
        <v/>
      </c>
      <c r="N38" s="25" t="str">
        <f t="array" ref="N38">IFERROR(HYPERLINK("#KPI_Master!A"&amp;MATCH(SMALL(IF(KPI_Element_Map!$E$2:$E$287=$A38,KPI_Element_Map!$A$2:$A$287),COLUMNS($J38:N38)),KPI_Master!$A:$A,0)&amp;":P"&amp;MATCH(SMALL(IF(KPI_Element_Map!$E$2:$E$287=$A38,KPI_Element_Map!$A$2:$A$287),COLUMNS($J38:N38)),KPI_Master!$A:$A,0),SMALL(IF(KPI_Element_Map!$E$2:$E$287=$A38,KPI_Element_Map!$A$2:$A$287),COLUMNS($J38:N38))),"")</f>
        <v/>
      </c>
      <c r="O38" s="25" t="str">
        <f t="array" ref="O38">IFERROR(HYPERLINK("#KPI_Master!A"&amp;MATCH(SMALL(IF(KPI_Element_Map!$E$2:$E$287=$A38,KPI_Element_Map!$A$2:$A$287),COLUMNS($J38:O38)),KPI_Master!$A:$A,0)&amp;":P"&amp;MATCH(SMALL(IF(KPI_Element_Map!$E$2:$E$287=$A38,KPI_Element_Map!$A$2:$A$287),COLUMNS($J38:O38)),KPI_Master!$A:$A,0),SMALL(IF(KPI_Element_Map!$E$2:$E$287=$A38,KPI_Element_Map!$A$2:$A$287),COLUMNS($J38:O38))),"")</f>
        <v/>
      </c>
      <c r="P38" s="25" t="str">
        <f t="array" ref="P38">IFERROR(HYPERLINK("#KPI_Master!A"&amp;MATCH(SMALL(IF(KPI_Element_Map!$E$2:$E$287=$A38,KPI_Element_Map!$A$2:$A$287),COLUMNS($J38:P38)),KPI_Master!$A:$A,0)&amp;":P"&amp;MATCH(SMALL(IF(KPI_Element_Map!$E$2:$E$287=$A38,KPI_Element_Map!$A$2:$A$287),COLUMNS($J38:P38)),KPI_Master!$A:$A,0),SMALL(IF(KPI_Element_Map!$E$2:$E$287=$A38,KPI_Element_Map!$A$2:$A$287),COLUMNS($J38:P38))),"")</f>
        <v/>
      </c>
      <c r="Q38" s="25" t="str">
        <f t="array" ref="Q38">IFERROR(HYPERLINK("#KPI_Master!A"&amp;MATCH(SMALL(IF(KPI_Element_Map!$E$2:$E$287=$A38,KPI_Element_Map!$A$2:$A$287),COLUMNS($J38:Q38)),KPI_Master!$A:$A,0)&amp;":P"&amp;MATCH(SMALL(IF(KPI_Element_Map!$E$2:$E$287=$A38,KPI_Element_Map!$A$2:$A$287),COLUMNS($J38:Q38)),KPI_Master!$A:$A,0),SMALL(IF(KPI_Element_Map!$E$2:$E$287=$A38,KPI_Element_Map!$A$2:$A$287),COLUMNS($J38:Q38))),"")</f>
        <v/>
      </c>
      <c r="R38" s="25" t="str">
        <f t="array" ref="R38">IFERROR(HYPERLINK("#KPI_Master!A"&amp;MATCH(SMALL(IF(KPI_Element_Map!$E$2:$E$287=$A38,KPI_Element_Map!$A$2:$A$287),COLUMNS($J38:R38)),KPI_Master!$A:$A,0)&amp;":P"&amp;MATCH(SMALL(IF(KPI_Element_Map!$E$2:$E$287=$A38,KPI_Element_Map!$A$2:$A$287),COLUMNS($J38:R38)),KPI_Master!$A:$A,0),SMALL(IF(KPI_Element_Map!$E$2:$E$287=$A38,KPI_Element_Map!$A$2:$A$287),COLUMNS($J38:R38))),"")</f>
        <v/>
      </c>
      <c r="S38" s="25" t="str">
        <f t="array" ref="S38">IFERROR(HYPERLINK("#KPI_Master!A"&amp;MATCH(SMALL(IF(KPI_Element_Map!$E$2:$E$287=$A38,KPI_Element_Map!$A$2:$A$287),COLUMNS($J38:S38)),KPI_Master!$A:$A,0)&amp;":P"&amp;MATCH(SMALL(IF(KPI_Element_Map!$E$2:$E$287=$A38,KPI_Element_Map!$A$2:$A$287),COLUMNS($J38:S38)),KPI_Master!$A:$A,0),SMALL(IF(KPI_Element_Map!$E$2:$E$287=$A38,KPI_Element_Map!$A$2:$A$287),COLUMNS($J38:S38))),"")</f>
        <v/>
      </c>
      <c r="T38" s="25" t="str">
        <f t="array" ref="T38">IFERROR(HYPERLINK("#KPI_Master!A"&amp;MATCH(SMALL(IF(KPI_Element_Map!$E$2:$E$287=$A38,KPI_Element_Map!$A$2:$A$287),COLUMNS($J38:T38)),KPI_Master!$A:$A,0)&amp;":P"&amp;MATCH(SMALL(IF(KPI_Element_Map!$E$2:$E$287=$A38,KPI_Element_Map!$A$2:$A$287),COLUMNS($J38:T38)),KPI_Master!$A:$A,0),SMALL(IF(KPI_Element_Map!$E$2:$E$287=$A38,KPI_Element_Map!$A$2:$A$287),COLUMNS($J38:T38))),"")</f>
        <v/>
      </c>
      <c r="U38" s="25" t="str">
        <f t="array" ref="U38">IFERROR(HYPERLINK("#KPI_Master!A"&amp;MATCH(SMALL(IF(KPI_Element_Map!$E$2:$E$287=$A38,KPI_Element_Map!$A$2:$A$287),COLUMNS($J38:U38)),KPI_Master!$A:$A,0)&amp;":P"&amp;MATCH(SMALL(IF(KPI_Element_Map!$E$2:$E$287=$A38,KPI_Element_Map!$A$2:$A$287),COLUMNS($J38:U38)),KPI_Master!$A:$A,0),SMALL(IF(KPI_Element_Map!$E$2:$E$287=$A38,KPI_Element_Map!$A$2:$A$287),COLUMNS($J38:U38))),"")</f>
        <v/>
      </c>
      <c r="V38" s="25" t="str">
        <f t="array" ref="V38">IFERROR(HYPERLINK("#KPI_Master!A"&amp;MATCH(SMALL(IF(KPI_Element_Map!$E$2:$E$287=$A38,KPI_Element_Map!$A$2:$A$287),COLUMNS($J38:V38)),KPI_Master!$A:$A,0)&amp;":P"&amp;MATCH(SMALL(IF(KPI_Element_Map!$E$2:$E$287=$A38,KPI_Element_Map!$A$2:$A$287),COLUMNS($J38:V38)),KPI_Master!$A:$A,0),SMALL(IF(KPI_Element_Map!$E$2:$E$287=$A38,KPI_Element_Map!$A$2:$A$287),COLUMNS($J38:V38))),"")</f>
        <v/>
      </c>
      <c r="W38" s="25" t="str">
        <f t="array" ref="W38">IFERROR(HYPERLINK("#KPI_Master!A"&amp;MATCH(SMALL(IF(KPI_Element_Map!$E$2:$E$287=$A38,KPI_Element_Map!$A$2:$A$287),COLUMNS($J38:W38)),KPI_Master!$A:$A,0)&amp;":P"&amp;MATCH(SMALL(IF(KPI_Element_Map!$E$2:$E$287=$A38,KPI_Element_Map!$A$2:$A$287),COLUMNS($J38:W38)),KPI_Master!$A:$A,0),SMALL(IF(KPI_Element_Map!$E$2:$E$287=$A38,KPI_Element_Map!$A$2:$A$287),COLUMNS($J38:W38))),"")</f>
        <v/>
      </c>
      <c r="X38" s="25" t="str">
        <f t="array" ref="X38">IFERROR(HYPERLINK("#KPI_Master!A"&amp;MATCH(SMALL(IF(KPI_Element_Map!$E$2:$E$287=$A38,KPI_Element_Map!$A$2:$A$287),COLUMNS($J38:X38)),KPI_Master!$A:$A,0)&amp;":P"&amp;MATCH(SMALL(IF(KPI_Element_Map!$E$2:$E$287=$A38,KPI_Element_Map!$A$2:$A$287),COLUMNS($J38:X38)),KPI_Master!$A:$A,0),SMALL(IF(KPI_Element_Map!$E$2:$E$287=$A38,KPI_Element_Map!$A$2:$A$287),COLUMNS($J38:X38))),"")</f>
        <v/>
      </c>
      <c r="Y38" s="25" t="str">
        <f t="array" ref="Y38">IFERROR(HYPERLINK("#KPI_Master!A"&amp;MATCH(SMALL(IF(KPI_Element_Map!$E$2:$E$287=$A38,KPI_Element_Map!$A$2:$A$287),COLUMNS($J38:Y38)),KPI_Master!$A:$A,0)&amp;":P"&amp;MATCH(SMALL(IF(KPI_Element_Map!$E$2:$E$287=$A38,KPI_Element_Map!$A$2:$A$287),COLUMNS($J38:Y38)),KPI_Master!$A:$A,0),SMALL(IF(KPI_Element_Map!$E$2:$E$287=$A38,KPI_Element_Map!$A$2:$A$287),COLUMNS($J38:Y38))),"")</f>
        <v/>
      </c>
      <c r="Z38" s="25" t="str">
        <f t="array" ref="Z38">IFERROR(HYPERLINK("#KPI_Master!A"&amp;MATCH(SMALL(IF(KPI_Element_Map!$E$2:$E$287=$A38,KPI_Element_Map!$A$2:$A$287),COLUMNS($J38:Z38)),KPI_Master!$A:$A,0)&amp;":P"&amp;MATCH(SMALL(IF(KPI_Element_Map!$E$2:$E$287=$A38,KPI_Element_Map!$A$2:$A$287),COLUMNS($J38:Z38)),KPI_Master!$A:$A,0),SMALL(IF(KPI_Element_Map!$E$2:$E$287=$A38,KPI_Element_Map!$A$2:$A$287),COLUMNS($J38:Z38))),"")</f>
        <v/>
      </c>
      <c r="AA38" s="25" t="str">
        <f t="array" ref="AA38">IFERROR(HYPERLINK("#KPI_Master!A"&amp;MATCH(SMALL(IF(KPI_Element_Map!$E$2:$E$287=$A38,KPI_Element_Map!$A$2:$A$287),COLUMNS($J38:AA38)),KPI_Master!$A:$A,0)&amp;":P"&amp;MATCH(SMALL(IF(KPI_Element_Map!$E$2:$E$287=$A38,KPI_Element_Map!$A$2:$A$287),COLUMNS($J38:AA38)),KPI_Master!$A:$A,0),SMALL(IF(KPI_Element_Map!$E$2:$E$287=$A38,KPI_Element_Map!$A$2:$A$287),COLUMNS($J38:AA38))),"")</f>
        <v/>
      </c>
      <c r="AB38" s="25" t="str">
        <f t="array" ref="AB38">IFERROR(HYPERLINK("#KPI_Master!A"&amp;MATCH(SMALL(IF(KPI_Element_Map!$E$2:$E$287=$A38,KPI_Element_Map!$A$2:$A$287),COLUMNS($J38:AB38)),KPI_Master!$A:$A,0)&amp;":P"&amp;MATCH(SMALL(IF(KPI_Element_Map!$E$2:$E$287=$A38,KPI_Element_Map!$A$2:$A$287),COLUMNS($J38:AB38)),KPI_Master!$A:$A,0),SMALL(IF(KPI_Element_Map!$E$2:$E$287=$A38,KPI_Element_Map!$A$2:$A$287),COLUMNS($J38:AB38))),"")</f>
        <v/>
      </c>
      <c r="AC38" s="25" t="str">
        <f t="array" ref="AC38">IFERROR(HYPERLINK("#KPI_Master!A"&amp;MATCH(SMALL(IF(KPI_Element_Map!$E$2:$E$287=$A38,KPI_Element_Map!$A$2:$A$287),COLUMNS($J38:AC38)),KPI_Master!$A:$A,0)&amp;":P"&amp;MATCH(SMALL(IF(KPI_Element_Map!$E$2:$E$287=$A38,KPI_Element_Map!$A$2:$A$287),COLUMNS($J38:AC38)),KPI_Master!$A:$A,0),SMALL(IF(KPI_Element_Map!$E$2:$E$287=$A38,KPI_Element_Map!$A$2:$A$287),COLUMNS($J38:AC38))),"")</f>
        <v/>
      </c>
      <c r="AD38" s="25" t="str">
        <f t="array" ref="AD38">IFERROR(HYPERLINK("#KPI_Master!A"&amp;MATCH(SMALL(IF(KPI_Element_Map!$E$2:$E$287=$A38,KPI_Element_Map!$A$2:$A$287),COLUMNS($J38:AD38)),KPI_Master!$A:$A,0)&amp;":P"&amp;MATCH(SMALL(IF(KPI_Element_Map!$E$2:$E$287=$A38,KPI_Element_Map!$A$2:$A$287),COLUMNS($J38:AD38)),KPI_Master!$A:$A,0),SMALL(IF(KPI_Element_Map!$E$2:$E$287=$A38,KPI_Element_Map!$A$2:$A$287),COLUMNS($J38:AD38))),"")</f>
        <v/>
      </c>
      <c r="AE38" s="25" t="str">
        <f t="array" ref="AE38">IFERROR(HYPERLINK("#KPI_Master!A"&amp;MATCH(SMALL(IF(KPI_Element_Map!$E$2:$E$287=$A38,KPI_Element_Map!$A$2:$A$287),COLUMNS($J38:AE38)),KPI_Master!$A:$A,0)&amp;":P"&amp;MATCH(SMALL(IF(KPI_Element_Map!$E$2:$E$287=$A38,KPI_Element_Map!$A$2:$A$287),COLUMNS($J38:AE38)),KPI_Master!$A:$A,0),SMALL(IF(KPI_Element_Map!$E$2:$E$287=$A38,KPI_Element_Map!$A$2:$A$287),COLUMNS($J38:AE38))),"")</f>
        <v/>
      </c>
      <c r="AF38" s="25" t="str">
        <f t="array" ref="AF38">IFERROR(HYPERLINK("#KPI_Master!A"&amp;MATCH(SMALL(IF(KPI_Element_Map!$E$2:$E$287=$A38,KPI_Element_Map!$A$2:$A$287),COLUMNS($J38:AF38)),KPI_Master!$A:$A,0)&amp;":P"&amp;MATCH(SMALL(IF(KPI_Element_Map!$E$2:$E$287=$A38,KPI_Element_Map!$A$2:$A$287),COLUMNS($J38:AF38)),KPI_Master!$A:$A,0),SMALL(IF(KPI_Element_Map!$E$2:$E$287=$A38,KPI_Element_Map!$A$2:$A$287),COLUMNS($J38:AF38))),"")</f>
        <v/>
      </c>
      <c r="AG38" s="25" t="str">
        <f t="array" ref="AG38">IFERROR(HYPERLINK("#KPI_Master!A"&amp;MATCH(SMALL(IF(KPI_Element_Map!$E$2:$E$287=$A38,KPI_Element_Map!$A$2:$A$287),COLUMNS($J38:AG38)),KPI_Master!$A:$A,0)&amp;":P"&amp;MATCH(SMALL(IF(KPI_Element_Map!$E$2:$E$287=$A38,KPI_Element_Map!$A$2:$A$287),COLUMNS($J38:AG38)),KPI_Master!$A:$A,0),SMALL(IF(KPI_Element_Map!$E$2:$E$287=$A38,KPI_Element_Map!$A$2:$A$287),COLUMNS($J38:AG38))),"")</f>
        <v/>
      </c>
      <c r="AH38" s="25" t="str">
        <f t="array" ref="AH38">IFERROR(HYPERLINK("#KPI_Master!A"&amp;MATCH(SMALL(IF(KPI_Element_Map!$E$2:$E$287=$A38,KPI_Element_Map!$A$2:$A$287),COLUMNS($J38:AH38)),KPI_Master!$A:$A,0)&amp;":P"&amp;MATCH(SMALL(IF(KPI_Element_Map!$E$2:$E$287=$A38,KPI_Element_Map!$A$2:$A$287),COLUMNS($J38:AH38)),KPI_Master!$A:$A,0),SMALL(IF(KPI_Element_Map!$E$2:$E$287=$A38,KPI_Element_Map!$A$2:$A$287),COLUMNS($J38:AH38))),"")</f>
        <v/>
      </c>
    </row>
    <row r="39" spans="1:34">
      <c r="A39" s="21" t="s">
        <v>1040</v>
      </c>
      <c r="B39" s="22" t="s">
        <v>1041</v>
      </c>
      <c r="C39" s="23" t="s">
        <v>1042</v>
      </c>
      <c r="D39" s="23" t="str">
        <f t="array" ref="D39">_xlfn.TEXTJOIN(", ",TRUE(),IF(KPI_Element_Map!$E$2:$E$287=$A39,KPI_Element_Map!$A$2:$A$287,""))</f>
        <v>73</v>
      </c>
      <c r="E39" s="21">
        <f>COUNTIF(KPI_Element_Map!$E$2:$E$287,$A39)</f>
        <v>1</v>
      </c>
      <c r="F39" s="21">
        <f>COUNTIFS(KPI_Element_Map!$E$2:$E$287,$A39,KPI_Element_Map!$D$2:$D$287,"1 - Core")</f>
        <v>1</v>
      </c>
      <c r="G39" s="24" t="s">
        <v>1043</v>
      </c>
      <c r="H39" s="23" t="str">
        <f>INDEX(Minimum_Documents!$B:$B,MATCH($G39,Minimum_Documents!$A:$A,0))</f>
        <v>LMS Training Completion Report</v>
      </c>
      <c r="J39" s="25">
        <f t="array" ref="J39">IFERROR(HYPERLINK("#KPI_Master!A"&amp;MATCH(SMALL(IF(KPI_Element_Map!$E$2:$E$287=$A39,KPI_Element_Map!$A$2:$A$287),COLUMNS($J39:J39)),KPI_Master!$A:$A,0)&amp;":P"&amp;MATCH(SMALL(IF(KPI_Element_Map!$E$2:$E$287=$A39,KPI_Element_Map!$A$2:$A$287),COLUMNS($J39:J39)),KPI_Master!$A:$A,0),SMALL(IF(KPI_Element_Map!$E$2:$E$287=$A39,KPI_Element_Map!$A$2:$A$287),COLUMNS($J39:J39))),"")</f>
        <v>73</v>
      </c>
      <c r="K39" s="25" t="str">
        <f t="array" ref="K39">IFERROR(HYPERLINK("#KPI_Master!A"&amp;MATCH(SMALL(IF(KPI_Element_Map!$E$2:$E$287=$A39,KPI_Element_Map!$A$2:$A$287),COLUMNS($J39:K39)),KPI_Master!$A:$A,0)&amp;":P"&amp;MATCH(SMALL(IF(KPI_Element_Map!$E$2:$E$287=$A39,KPI_Element_Map!$A$2:$A$287),COLUMNS($J39:K39)),KPI_Master!$A:$A,0),SMALL(IF(KPI_Element_Map!$E$2:$E$287=$A39,KPI_Element_Map!$A$2:$A$287),COLUMNS($J39:K39))),"")</f>
        <v/>
      </c>
      <c r="L39" s="25" t="str">
        <f t="array" ref="L39">IFERROR(HYPERLINK("#KPI_Master!A"&amp;MATCH(SMALL(IF(KPI_Element_Map!$E$2:$E$287=$A39,KPI_Element_Map!$A$2:$A$287),COLUMNS($J39:L39)),KPI_Master!$A:$A,0)&amp;":P"&amp;MATCH(SMALL(IF(KPI_Element_Map!$E$2:$E$287=$A39,KPI_Element_Map!$A$2:$A$287),COLUMNS($J39:L39)),KPI_Master!$A:$A,0),SMALL(IF(KPI_Element_Map!$E$2:$E$287=$A39,KPI_Element_Map!$A$2:$A$287),COLUMNS($J39:L39))),"")</f>
        <v/>
      </c>
      <c r="M39" s="25" t="str">
        <f t="array" ref="M39">IFERROR(HYPERLINK("#KPI_Master!A"&amp;MATCH(SMALL(IF(KPI_Element_Map!$E$2:$E$287=$A39,KPI_Element_Map!$A$2:$A$287),COLUMNS($J39:M39)),KPI_Master!$A:$A,0)&amp;":P"&amp;MATCH(SMALL(IF(KPI_Element_Map!$E$2:$E$287=$A39,KPI_Element_Map!$A$2:$A$287),COLUMNS($J39:M39)),KPI_Master!$A:$A,0),SMALL(IF(KPI_Element_Map!$E$2:$E$287=$A39,KPI_Element_Map!$A$2:$A$287),COLUMNS($J39:M39))),"")</f>
        <v/>
      </c>
      <c r="N39" s="25" t="str">
        <f t="array" ref="N39">IFERROR(HYPERLINK("#KPI_Master!A"&amp;MATCH(SMALL(IF(KPI_Element_Map!$E$2:$E$287=$A39,KPI_Element_Map!$A$2:$A$287),COLUMNS($J39:N39)),KPI_Master!$A:$A,0)&amp;":P"&amp;MATCH(SMALL(IF(KPI_Element_Map!$E$2:$E$287=$A39,KPI_Element_Map!$A$2:$A$287),COLUMNS($J39:N39)),KPI_Master!$A:$A,0),SMALL(IF(KPI_Element_Map!$E$2:$E$287=$A39,KPI_Element_Map!$A$2:$A$287),COLUMNS($J39:N39))),"")</f>
        <v/>
      </c>
      <c r="O39" s="25" t="str">
        <f t="array" ref="O39">IFERROR(HYPERLINK("#KPI_Master!A"&amp;MATCH(SMALL(IF(KPI_Element_Map!$E$2:$E$287=$A39,KPI_Element_Map!$A$2:$A$287),COLUMNS($J39:O39)),KPI_Master!$A:$A,0)&amp;":P"&amp;MATCH(SMALL(IF(KPI_Element_Map!$E$2:$E$287=$A39,KPI_Element_Map!$A$2:$A$287),COLUMNS($J39:O39)),KPI_Master!$A:$A,0),SMALL(IF(KPI_Element_Map!$E$2:$E$287=$A39,KPI_Element_Map!$A$2:$A$287),COLUMNS($J39:O39))),"")</f>
        <v/>
      </c>
      <c r="P39" s="25" t="str">
        <f t="array" ref="P39">IFERROR(HYPERLINK("#KPI_Master!A"&amp;MATCH(SMALL(IF(KPI_Element_Map!$E$2:$E$287=$A39,KPI_Element_Map!$A$2:$A$287),COLUMNS($J39:P39)),KPI_Master!$A:$A,0)&amp;":P"&amp;MATCH(SMALL(IF(KPI_Element_Map!$E$2:$E$287=$A39,KPI_Element_Map!$A$2:$A$287),COLUMNS($J39:P39)),KPI_Master!$A:$A,0),SMALL(IF(KPI_Element_Map!$E$2:$E$287=$A39,KPI_Element_Map!$A$2:$A$287),COLUMNS($J39:P39))),"")</f>
        <v/>
      </c>
      <c r="Q39" s="25" t="str">
        <f t="array" ref="Q39">IFERROR(HYPERLINK("#KPI_Master!A"&amp;MATCH(SMALL(IF(KPI_Element_Map!$E$2:$E$287=$A39,KPI_Element_Map!$A$2:$A$287),COLUMNS($J39:Q39)),KPI_Master!$A:$A,0)&amp;":P"&amp;MATCH(SMALL(IF(KPI_Element_Map!$E$2:$E$287=$A39,KPI_Element_Map!$A$2:$A$287),COLUMNS($J39:Q39)),KPI_Master!$A:$A,0),SMALL(IF(KPI_Element_Map!$E$2:$E$287=$A39,KPI_Element_Map!$A$2:$A$287),COLUMNS($J39:Q39))),"")</f>
        <v/>
      </c>
      <c r="R39" s="25" t="str">
        <f t="array" ref="R39">IFERROR(HYPERLINK("#KPI_Master!A"&amp;MATCH(SMALL(IF(KPI_Element_Map!$E$2:$E$287=$A39,KPI_Element_Map!$A$2:$A$287),COLUMNS($J39:R39)),KPI_Master!$A:$A,0)&amp;":P"&amp;MATCH(SMALL(IF(KPI_Element_Map!$E$2:$E$287=$A39,KPI_Element_Map!$A$2:$A$287),COLUMNS($J39:R39)),KPI_Master!$A:$A,0),SMALL(IF(KPI_Element_Map!$E$2:$E$287=$A39,KPI_Element_Map!$A$2:$A$287),COLUMNS($J39:R39))),"")</f>
        <v/>
      </c>
      <c r="S39" s="25" t="str">
        <f t="array" ref="S39">IFERROR(HYPERLINK("#KPI_Master!A"&amp;MATCH(SMALL(IF(KPI_Element_Map!$E$2:$E$287=$A39,KPI_Element_Map!$A$2:$A$287),COLUMNS($J39:S39)),KPI_Master!$A:$A,0)&amp;":P"&amp;MATCH(SMALL(IF(KPI_Element_Map!$E$2:$E$287=$A39,KPI_Element_Map!$A$2:$A$287),COLUMNS($J39:S39)),KPI_Master!$A:$A,0),SMALL(IF(KPI_Element_Map!$E$2:$E$287=$A39,KPI_Element_Map!$A$2:$A$287),COLUMNS($J39:S39))),"")</f>
        <v/>
      </c>
      <c r="T39" s="25" t="str">
        <f t="array" ref="T39">IFERROR(HYPERLINK("#KPI_Master!A"&amp;MATCH(SMALL(IF(KPI_Element_Map!$E$2:$E$287=$A39,KPI_Element_Map!$A$2:$A$287),COLUMNS($J39:T39)),KPI_Master!$A:$A,0)&amp;":P"&amp;MATCH(SMALL(IF(KPI_Element_Map!$E$2:$E$287=$A39,KPI_Element_Map!$A$2:$A$287),COLUMNS($J39:T39)),KPI_Master!$A:$A,0),SMALL(IF(KPI_Element_Map!$E$2:$E$287=$A39,KPI_Element_Map!$A$2:$A$287),COLUMNS($J39:T39))),"")</f>
        <v/>
      </c>
      <c r="U39" s="25" t="str">
        <f t="array" ref="U39">IFERROR(HYPERLINK("#KPI_Master!A"&amp;MATCH(SMALL(IF(KPI_Element_Map!$E$2:$E$287=$A39,KPI_Element_Map!$A$2:$A$287),COLUMNS($J39:U39)),KPI_Master!$A:$A,0)&amp;":P"&amp;MATCH(SMALL(IF(KPI_Element_Map!$E$2:$E$287=$A39,KPI_Element_Map!$A$2:$A$287),COLUMNS($J39:U39)),KPI_Master!$A:$A,0),SMALL(IF(KPI_Element_Map!$E$2:$E$287=$A39,KPI_Element_Map!$A$2:$A$287),COLUMNS($J39:U39))),"")</f>
        <v/>
      </c>
      <c r="V39" s="25" t="str">
        <f t="array" ref="V39">IFERROR(HYPERLINK("#KPI_Master!A"&amp;MATCH(SMALL(IF(KPI_Element_Map!$E$2:$E$287=$A39,KPI_Element_Map!$A$2:$A$287),COLUMNS($J39:V39)),KPI_Master!$A:$A,0)&amp;":P"&amp;MATCH(SMALL(IF(KPI_Element_Map!$E$2:$E$287=$A39,KPI_Element_Map!$A$2:$A$287),COLUMNS($J39:V39)),KPI_Master!$A:$A,0),SMALL(IF(KPI_Element_Map!$E$2:$E$287=$A39,KPI_Element_Map!$A$2:$A$287),COLUMNS($J39:V39))),"")</f>
        <v/>
      </c>
      <c r="W39" s="25" t="str">
        <f t="array" ref="W39">IFERROR(HYPERLINK("#KPI_Master!A"&amp;MATCH(SMALL(IF(KPI_Element_Map!$E$2:$E$287=$A39,KPI_Element_Map!$A$2:$A$287),COLUMNS($J39:W39)),KPI_Master!$A:$A,0)&amp;":P"&amp;MATCH(SMALL(IF(KPI_Element_Map!$E$2:$E$287=$A39,KPI_Element_Map!$A$2:$A$287),COLUMNS($J39:W39)),KPI_Master!$A:$A,0),SMALL(IF(KPI_Element_Map!$E$2:$E$287=$A39,KPI_Element_Map!$A$2:$A$287),COLUMNS($J39:W39))),"")</f>
        <v/>
      </c>
      <c r="X39" s="25" t="str">
        <f t="array" ref="X39">IFERROR(HYPERLINK("#KPI_Master!A"&amp;MATCH(SMALL(IF(KPI_Element_Map!$E$2:$E$287=$A39,KPI_Element_Map!$A$2:$A$287),COLUMNS($J39:X39)),KPI_Master!$A:$A,0)&amp;":P"&amp;MATCH(SMALL(IF(KPI_Element_Map!$E$2:$E$287=$A39,KPI_Element_Map!$A$2:$A$287),COLUMNS($J39:X39)),KPI_Master!$A:$A,0),SMALL(IF(KPI_Element_Map!$E$2:$E$287=$A39,KPI_Element_Map!$A$2:$A$287),COLUMNS($J39:X39))),"")</f>
        <v/>
      </c>
      <c r="Y39" s="25" t="str">
        <f t="array" ref="Y39">IFERROR(HYPERLINK("#KPI_Master!A"&amp;MATCH(SMALL(IF(KPI_Element_Map!$E$2:$E$287=$A39,KPI_Element_Map!$A$2:$A$287),COLUMNS($J39:Y39)),KPI_Master!$A:$A,0)&amp;":P"&amp;MATCH(SMALL(IF(KPI_Element_Map!$E$2:$E$287=$A39,KPI_Element_Map!$A$2:$A$287),COLUMNS($J39:Y39)),KPI_Master!$A:$A,0),SMALL(IF(KPI_Element_Map!$E$2:$E$287=$A39,KPI_Element_Map!$A$2:$A$287),COLUMNS($J39:Y39))),"")</f>
        <v/>
      </c>
      <c r="Z39" s="25" t="str">
        <f t="array" ref="Z39">IFERROR(HYPERLINK("#KPI_Master!A"&amp;MATCH(SMALL(IF(KPI_Element_Map!$E$2:$E$287=$A39,KPI_Element_Map!$A$2:$A$287),COLUMNS($J39:Z39)),KPI_Master!$A:$A,0)&amp;":P"&amp;MATCH(SMALL(IF(KPI_Element_Map!$E$2:$E$287=$A39,KPI_Element_Map!$A$2:$A$287),COLUMNS($J39:Z39)),KPI_Master!$A:$A,0),SMALL(IF(KPI_Element_Map!$E$2:$E$287=$A39,KPI_Element_Map!$A$2:$A$287),COLUMNS($J39:Z39))),"")</f>
        <v/>
      </c>
      <c r="AA39" s="25" t="str">
        <f t="array" ref="AA39">IFERROR(HYPERLINK("#KPI_Master!A"&amp;MATCH(SMALL(IF(KPI_Element_Map!$E$2:$E$287=$A39,KPI_Element_Map!$A$2:$A$287),COLUMNS($J39:AA39)),KPI_Master!$A:$A,0)&amp;":P"&amp;MATCH(SMALL(IF(KPI_Element_Map!$E$2:$E$287=$A39,KPI_Element_Map!$A$2:$A$287),COLUMNS($J39:AA39)),KPI_Master!$A:$A,0),SMALL(IF(KPI_Element_Map!$E$2:$E$287=$A39,KPI_Element_Map!$A$2:$A$287),COLUMNS($J39:AA39))),"")</f>
        <v/>
      </c>
      <c r="AB39" s="25" t="str">
        <f t="array" ref="AB39">IFERROR(HYPERLINK("#KPI_Master!A"&amp;MATCH(SMALL(IF(KPI_Element_Map!$E$2:$E$287=$A39,KPI_Element_Map!$A$2:$A$287),COLUMNS($J39:AB39)),KPI_Master!$A:$A,0)&amp;":P"&amp;MATCH(SMALL(IF(KPI_Element_Map!$E$2:$E$287=$A39,KPI_Element_Map!$A$2:$A$287),COLUMNS($J39:AB39)),KPI_Master!$A:$A,0),SMALL(IF(KPI_Element_Map!$E$2:$E$287=$A39,KPI_Element_Map!$A$2:$A$287),COLUMNS($J39:AB39))),"")</f>
        <v/>
      </c>
      <c r="AC39" s="25" t="str">
        <f t="array" ref="AC39">IFERROR(HYPERLINK("#KPI_Master!A"&amp;MATCH(SMALL(IF(KPI_Element_Map!$E$2:$E$287=$A39,KPI_Element_Map!$A$2:$A$287),COLUMNS($J39:AC39)),KPI_Master!$A:$A,0)&amp;":P"&amp;MATCH(SMALL(IF(KPI_Element_Map!$E$2:$E$287=$A39,KPI_Element_Map!$A$2:$A$287),COLUMNS($J39:AC39)),KPI_Master!$A:$A,0),SMALL(IF(KPI_Element_Map!$E$2:$E$287=$A39,KPI_Element_Map!$A$2:$A$287),COLUMNS($J39:AC39))),"")</f>
        <v/>
      </c>
      <c r="AD39" s="25" t="str">
        <f t="array" ref="AD39">IFERROR(HYPERLINK("#KPI_Master!A"&amp;MATCH(SMALL(IF(KPI_Element_Map!$E$2:$E$287=$A39,KPI_Element_Map!$A$2:$A$287),COLUMNS($J39:AD39)),KPI_Master!$A:$A,0)&amp;":P"&amp;MATCH(SMALL(IF(KPI_Element_Map!$E$2:$E$287=$A39,KPI_Element_Map!$A$2:$A$287),COLUMNS($J39:AD39)),KPI_Master!$A:$A,0),SMALL(IF(KPI_Element_Map!$E$2:$E$287=$A39,KPI_Element_Map!$A$2:$A$287),COLUMNS($J39:AD39))),"")</f>
        <v/>
      </c>
      <c r="AE39" s="25" t="str">
        <f t="array" ref="AE39">IFERROR(HYPERLINK("#KPI_Master!A"&amp;MATCH(SMALL(IF(KPI_Element_Map!$E$2:$E$287=$A39,KPI_Element_Map!$A$2:$A$287),COLUMNS($J39:AE39)),KPI_Master!$A:$A,0)&amp;":P"&amp;MATCH(SMALL(IF(KPI_Element_Map!$E$2:$E$287=$A39,KPI_Element_Map!$A$2:$A$287),COLUMNS($J39:AE39)),KPI_Master!$A:$A,0),SMALL(IF(KPI_Element_Map!$E$2:$E$287=$A39,KPI_Element_Map!$A$2:$A$287),COLUMNS($J39:AE39))),"")</f>
        <v/>
      </c>
      <c r="AF39" s="25" t="str">
        <f t="array" ref="AF39">IFERROR(HYPERLINK("#KPI_Master!A"&amp;MATCH(SMALL(IF(KPI_Element_Map!$E$2:$E$287=$A39,KPI_Element_Map!$A$2:$A$287),COLUMNS($J39:AF39)),KPI_Master!$A:$A,0)&amp;":P"&amp;MATCH(SMALL(IF(KPI_Element_Map!$E$2:$E$287=$A39,KPI_Element_Map!$A$2:$A$287),COLUMNS($J39:AF39)),KPI_Master!$A:$A,0),SMALL(IF(KPI_Element_Map!$E$2:$E$287=$A39,KPI_Element_Map!$A$2:$A$287),COLUMNS($J39:AF39))),"")</f>
        <v/>
      </c>
      <c r="AG39" s="25" t="str">
        <f t="array" ref="AG39">IFERROR(HYPERLINK("#KPI_Master!A"&amp;MATCH(SMALL(IF(KPI_Element_Map!$E$2:$E$287=$A39,KPI_Element_Map!$A$2:$A$287),COLUMNS($J39:AG39)),KPI_Master!$A:$A,0)&amp;":P"&amp;MATCH(SMALL(IF(KPI_Element_Map!$E$2:$E$287=$A39,KPI_Element_Map!$A$2:$A$287),COLUMNS($J39:AG39)),KPI_Master!$A:$A,0),SMALL(IF(KPI_Element_Map!$E$2:$E$287=$A39,KPI_Element_Map!$A$2:$A$287),COLUMNS($J39:AG39))),"")</f>
        <v/>
      </c>
      <c r="AH39" s="25" t="str">
        <f t="array" ref="AH39">IFERROR(HYPERLINK("#KPI_Master!A"&amp;MATCH(SMALL(IF(KPI_Element_Map!$E$2:$E$287=$A39,KPI_Element_Map!$A$2:$A$287),COLUMNS($J39:AH39)),KPI_Master!$A:$A,0)&amp;":P"&amp;MATCH(SMALL(IF(KPI_Element_Map!$E$2:$E$287=$A39,KPI_Element_Map!$A$2:$A$287),COLUMNS($J39:AH39)),KPI_Master!$A:$A,0),SMALL(IF(KPI_Element_Map!$E$2:$E$287=$A39,KPI_Element_Map!$A$2:$A$287),COLUMNS($J39:AH39))),"")</f>
        <v/>
      </c>
    </row>
    <row r="40" spans="1:34" ht="28.5" customHeight="1">
      <c r="A40" s="21" t="s">
        <v>1044</v>
      </c>
      <c r="B40" s="22" t="s">
        <v>1045</v>
      </c>
      <c r="C40" s="23" t="s">
        <v>1046</v>
      </c>
      <c r="D40" s="23" t="str">
        <f t="array" ref="D40">_xlfn.TEXTJOIN(", ",TRUE(),IF(KPI_Element_Map!$E$2:$E$287=$A40,KPI_Element_Map!$A$2:$A$287,""))</f>
        <v>5, 54, 76, 146, 147</v>
      </c>
      <c r="E40" s="21">
        <f>COUNTIF(KPI_Element_Map!$E$2:$E$287,$A40)</f>
        <v>5</v>
      </c>
      <c r="F40" s="21">
        <f>COUNTIFS(KPI_Element_Map!$E$2:$E$287,$A40,KPI_Element_Map!$D$2:$D$287,"1 - Core")</f>
        <v>3</v>
      </c>
      <c r="G40" s="24" t="s">
        <v>1047</v>
      </c>
      <c r="H40" s="23" t="str">
        <f>INDEX(Minimum_Documents!$B:$B,MATCH($G40,Minimum_Documents!$A:$A,0))</f>
        <v>Satisfaction &amp; Engagement Survey Results (resident, family, employee)</v>
      </c>
      <c r="J40" s="25">
        <f t="array" ref="J40">IFERROR(HYPERLINK("#KPI_Master!A"&amp;MATCH(SMALL(IF(KPI_Element_Map!$E$2:$E$287=$A40,KPI_Element_Map!$A$2:$A$287),COLUMNS($J40:J40)),KPI_Master!$A:$A,0)&amp;":P"&amp;MATCH(SMALL(IF(KPI_Element_Map!$E$2:$E$287=$A40,KPI_Element_Map!$A$2:$A$287),COLUMNS($J40:J40)),KPI_Master!$A:$A,0),SMALL(IF(KPI_Element_Map!$E$2:$E$287=$A40,KPI_Element_Map!$A$2:$A$287),COLUMNS($J40:J40))),"")</f>
        <v>5</v>
      </c>
      <c r="K40" s="25">
        <f t="array" ref="K40">IFERROR(HYPERLINK("#KPI_Master!A"&amp;MATCH(SMALL(IF(KPI_Element_Map!$E$2:$E$287=$A40,KPI_Element_Map!$A$2:$A$287),COLUMNS($J40:K40)),KPI_Master!$A:$A,0)&amp;":P"&amp;MATCH(SMALL(IF(KPI_Element_Map!$E$2:$E$287=$A40,KPI_Element_Map!$A$2:$A$287),COLUMNS($J40:K40)),KPI_Master!$A:$A,0),SMALL(IF(KPI_Element_Map!$E$2:$E$287=$A40,KPI_Element_Map!$A$2:$A$287),COLUMNS($J40:K40))),"")</f>
        <v>54</v>
      </c>
      <c r="L40" s="25">
        <f t="array" ref="L40">IFERROR(HYPERLINK("#KPI_Master!A"&amp;MATCH(SMALL(IF(KPI_Element_Map!$E$2:$E$287=$A40,KPI_Element_Map!$A$2:$A$287),COLUMNS($J40:L40)),KPI_Master!$A:$A,0)&amp;":P"&amp;MATCH(SMALL(IF(KPI_Element_Map!$E$2:$E$287=$A40,KPI_Element_Map!$A$2:$A$287),COLUMNS($J40:L40)),KPI_Master!$A:$A,0),SMALL(IF(KPI_Element_Map!$E$2:$E$287=$A40,KPI_Element_Map!$A$2:$A$287),COLUMNS($J40:L40))),"")</f>
        <v>76</v>
      </c>
      <c r="M40" s="25">
        <f t="array" ref="M40">IFERROR(HYPERLINK("#KPI_Master!A"&amp;MATCH(SMALL(IF(KPI_Element_Map!$E$2:$E$287=$A40,KPI_Element_Map!$A$2:$A$287),COLUMNS($J40:M40)),KPI_Master!$A:$A,0)&amp;":P"&amp;MATCH(SMALL(IF(KPI_Element_Map!$E$2:$E$287=$A40,KPI_Element_Map!$A$2:$A$287),COLUMNS($J40:M40)),KPI_Master!$A:$A,0),SMALL(IF(KPI_Element_Map!$E$2:$E$287=$A40,KPI_Element_Map!$A$2:$A$287),COLUMNS($J40:M40))),"")</f>
        <v>146</v>
      </c>
      <c r="N40" s="25">
        <f t="array" ref="N40">IFERROR(HYPERLINK("#KPI_Master!A"&amp;MATCH(SMALL(IF(KPI_Element_Map!$E$2:$E$287=$A40,KPI_Element_Map!$A$2:$A$287),COLUMNS($J40:N40)),KPI_Master!$A:$A,0)&amp;":P"&amp;MATCH(SMALL(IF(KPI_Element_Map!$E$2:$E$287=$A40,KPI_Element_Map!$A$2:$A$287),COLUMNS($J40:N40)),KPI_Master!$A:$A,0),SMALL(IF(KPI_Element_Map!$E$2:$E$287=$A40,KPI_Element_Map!$A$2:$A$287),COLUMNS($J40:N40))),"")</f>
        <v>147</v>
      </c>
      <c r="O40" s="25" t="str">
        <f t="array" ref="O40">IFERROR(HYPERLINK("#KPI_Master!A"&amp;MATCH(SMALL(IF(KPI_Element_Map!$E$2:$E$287=$A40,KPI_Element_Map!$A$2:$A$287),COLUMNS($J40:O40)),KPI_Master!$A:$A,0)&amp;":P"&amp;MATCH(SMALL(IF(KPI_Element_Map!$E$2:$E$287=$A40,KPI_Element_Map!$A$2:$A$287),COLUMNS($J40:O40)),KPI_Master!$A:$A,0),SMALL(IF(KPI_Element_Map!$E$2:$E$287=$A40,KPI_Element_Map!$A$2:$A$287),COLUMNS($J40:O40))),"")</f>
        <v/>
      </c>
      <c r="P40" s="25" t="str">
        <f t="array" ref="P40">IFERROR(HYPERLINK("#KPI_Master!A"&amp;MATCH(SMALL(IF(KPI_Element_Map!$E$2:$E$287=$A40,KPI_Element_Map!$A$2:$A$287),COLUMNS($J40:P40)),KPI_Master!$A:$A,0)&amp;":P"&amp;MATCH(SMALL(IF(KPI_Element_Map!$E$2:$E$287=$A40,KPI_Element_Map!$A$2:$A$287),COLUMNS($J40:P40)),KPI_Master!$A:$A,0),SMALL(IF(KPI_Element_Map!$E$2:$E$287=$A40,KPI_Element_Map!$A$2:$A$287),COLUMNS($J40:P40))),"")</f>
        <v/>
      </c>
      <c r="Q40" s="25" t="str">
        <f t="array" ref="Q40">IFERROR(HYPERLINK("#KPI_Master!A"&amp;MATCH(SMALL(IF(KPI_Element_Map!$E$2:$E$287=$A40,KPI_Element_Map!$A$2:$A$287),COLUMNS($J40:Q40)),KPI_Master!$A:$A,0)&amp;":P"&amp;MATCH(SMALL(IF(KPI_Element_Map!$E$2:$E$287=$A40,KPI_Element_Map!$A$2:$A$287),COLUMNS($J40:Q40)),KPI_Master!$A:$A,0),SMALL(IF(KPI_Element_Map!$E$2:$E$287=$A40,KPI_Element_Map!$A$2:$A$287),COLUMNS($J40:Q40))),"")</f>
        <v/>
      </c>
      <c r="R40" s="25" t="str">
        <f t="array" ref="R40">IFERROR(HYPERLINK("#KPI_Master!A"&amp;MATCH(SMALL(IF(KPI_Element_Map!$E$2:$E$287=$A40,KPI_Element_Map!$A$2:$A$287),COLUMNS($J40:R40)),KPI_Master!$A:$A,0)&amp;":P"&amp;MATCH(SMALL(IF(KPI_Element_Map!$E$2:$E$287=$A40,KPI_Element_Map!$A$2:$A$287),COLUMNS($J40:R40)),KPI_Master!$A:$A,0),SMALL(IF(KPI_Element_Map!$E$2:$E$287=$A40,KPI_Element_Map!$A$2:$A$287),COLUMNS($J40:R40))),"")</f>
        <v/>
      </c>
      <c r="S40" s="25" t="str">
        <f t="array" ref="S40">IFERROR(HYPERLINK("#KPI_Master!A"&amp;MATCH(SMALL(IF(KPI_Element_Map!$E$2:$E$287=$A40,KPI_Element_Map!$A$2:$A$287),COLUMNS($J40:S40)),KPI_Master!$A:$A,0)&amp;":P"&amp;MATCH(SMALL(IF(KPI_Element_Map!$E$2:$E$287=$A40,KPI_Element_Map!$A$2:$A$287),COLUMNS($J40:S40)),KPI_Master!$A:$A,0),SMALL(IF(KPI_Element_Map!$E$2:$E$287=$A40,KPI_Element_Map!$A$2:$A$287),COLUMNS($J40:S40))),"")</f>
        <v/>
      </c>
      <c r="T40" s="25" t="str">
        <f t="array" ref="T40">IFERROR(HYPERLINK("#KPI_Master!A"&amp;MATCH(SMALL(IF(KPI_Element_Map!$E$2:$E$287=$A40,KPI_Element_Map!$A$2:$A$287),COLUMNS($J40:T40)),KPI_Master!$A:$A,0)&amp;":P"&amp;MATCH(SMALL(IF(KPI_Element_Map!$E$2:$E$287=$A40,KPI_Element_Map!$A$2:$A$287),COLUMNS($J40:T40)),KPI_Master!$A:$A,0),SMALL(IF(KPI_Element_Map!$E$2:$E$287=$A40,KPI_Element_Map!$A$2:$A$287),COLUMNS($J40:T40))),"")</f>
        <v/>
      </c>
      <c r="U40" s="25" t="str">
        <f t="array" ref="U40">IFERROR(HYPERLINK("#KPI_Master!A"&amp;MATCH(SMALL(IF(KPI_Element_Map!$E$2:$E$287=$A40,KPI_Element_Map!$A$2:$A$287),COLUMNS($J40:U40)),KPI_Master!$A:$A,0)&amp;":P"&amp;MATCH(SMALL(IF(KPI_Element_Map!$E$2:$E$287=$A40,KPI_Element_Map!$A$2:$A$287),COLUMNS($J40:U40)),KPI_Master!$A:$A,0),SMALL(IF(KPI_Element_Map!$E$2:$E$287=$A40,KPI_Element_Map!$A$2:$A$287),COLUMNS($J40:U40))),"")</f>
        <v/>
      </c>
      <c r="V40" s="25" t="str">
        <f t="array" ref="V40">IFERROR(HYPERLINK("#KPI_Master!A"&amp;MATCH(SMALL(IF(KPI_Element_Map!$E$2:$E$287=$A40,KPI_Element_Map!$A$2:$A$287),COLUMNS($J40:V40)),KPI_Master!$A:$A,0)&amp;":P"&amp;MATCH(SMALL(IF(KPI_Element_Map!$E$2:$E$287=$A40,KPI_Element_Map!$A$2:$A$287),COLUMNS($J40:V40)),KPI_Master!$A:$A,0),SMALL(IF(KPI_Element_Map!$E$2:$E$287=$A40,KPI_Element_Map!$A$2:$A$287),COLUMNS($J40:V40))),"")</f>
        <v/>
      </c>
      <c r="W40" s="25" t="str">
        <f t="array" ref="W40">IFERROR(HYPERLINK("#KPI_Master!A"&amp;MATCH(SMALL(IF(KPI_Element_Map!$E$2:$E$287=$A40,KPI_Element_Map!$A$2:$A$287),COLUMNS($J40:W40)),KPI_Master!$A:$A,0)&amp;":P"&amp;MATCH(SMALL(IF(KPI_Element_Map!$E$2:$E$287=$A40,KPI_Element_Map!$A$2:$A$287),COLUMNS($J40:W40)),KPI_Master!$A:$A,0),SMALL(IF(KPI_Element_Map!$E$2:$E$287=$A40,KPI_Element_Map!$A$2:$A$287),COLUMNS($J40:W40))),"")</f>
        <v/>
      </c>
      <c r="X40" s="25" t="str">
        <f t="array" ref="X40">IFERROR(HYPERLINK("#KPI_Master!A"&amp;MATCH(SMALL(IF(KPI_Element_Map!$E$2:$E$287=$A40,KPI_Element_Map!$A$2:$A$287),COLUMNS($J40:X40)),KPI_Master!$A:$A,0)&amp;":P"&amp;MATCH(SMALL(IF(KPI_Element_Map!$E$2:$E$287=$A40,KPI_Element_Map!$A$2:$A$287),COLUMNS($J40:X40)),KPI_Master!$A:$A,0),SMALL(IF(KPI_Element_Map!$E$2:$E$287=$A40,KPI_Element_Map!$A$2:$A$287),COLUMNS($J40:X40))),"")</f>
        <v/>
      </c>
      <c r="Y40" s="25" t="str">
        <f t="array" ref="Y40">IFERROR(HYPERLINK("#KPI_Master!A"&amp;MATCH(SMALL(IF(KPI_Element_Map!$E$2:$E$287=$A40,KPI_Element_Map!$A$2:$A$287),COLUMNS($J40:Y40)),KPI_Master!$A:$A,0)&amp;":P"&amp;MATCH(SMALL(IF(KPI_Element_Map!$E$2:$E$287=$A40,KPI_Element_Map!$A$2:$A$287),COLUMNS($J40:Y40)),KPI_Master!$A:$A,0),SMALL(IF(KPI_Element_Map!$E$2:$E$287=$A40,KPI_Element_Map!$A$2:$A$287),COLUMNS($J40:Y40))),"")</f>
        <v/>
      </c>
      <c r="Z40" s="25" t="str">
        <f t="array" ref="Z40">IFERROR(HYPERLINK("#KPI_Master!A"&amp;MATCH(SMALL(IF(KPI_Element_Map!$E$2:$E$287=$A40,KPI_Element_Map!$A$2:$A$287),COLUMNS($J40:Z40)),KPI_Master!$A:$A,0)&amp;":P"&amp;MATCH(SMALL(IF(KPI_Element_Map!$E$2:$E$287=$A40,KPI_Element_Map!$A$2:$A$287),COLUMNS($J40:Z40)),KPI_Master!$A:$A,0),SMALL(IF(KPI_Element_Map!$E$2:$E$287=$A40,KPI_Element_Map!$A$2:$A$287),COLUMNS($J40:Z40))),"")</f>
        <v/>
      </c>
      <c r="AA40" s="25" t="str">
        <f t="array" ref="AA40">IFERROR(HYPERLINK("#KPI_Master!A"&amp;MATCH(SMALL(IF(KPI_Element_Map!$E$2:$E$287=$A40,KPI_Element_Map!$A$2:$A$287),COLUMNS($J40:AA40)),KPI_Master!$A:$A,0)&amp;":P"&amp;MATCH(SMALL(IF(KPI_Element_Map!$E$2:$E$287=$A40,KPI_Element_Map!$A$2:$A$287),COLUMNS($J40:AA40)),KPI_Master!$A:$A,0),SMALL(IF(KPI_Element_Map!$E$2:$E$287=$A40,KPI_Element_Map!$A$2:$A$287),COLUMNS($J40:AA40))),"")</f>
        <v/>
      </c>
      <c r="AB40" s="25" t="str">
        <f t="array" ref="AB40">IFERROR(HYPERLINK("#KPI_Master!A"&amp;MATCH(SMALL(IF(KPI_Element_Map!$E$2:$E$287=$A40,KPI_Element_Map!$A$2:$A$287),COLUMNS($J40:AB40)),KPI_Master!$A:$A,0)&amp;":P"&amp;MATCH(SMALL(IF(KPI_Element_Map!$E$2:$E$287=$A40,KPI_Element_Map!$A$2:$A$287),COLUMNS($J40:AB40)),KPI_Master!$A:$A,0),SMALL(IF(KPI_Element_Map!$E$2:$E$287=$A40,KPI_Element_Map!$A$2:$A$287),COLUMNS($J40:AB40))),"")</f>
        <v/>
      </c>
      <c r="AC40" s="25" t="str">
        <f t="array" ref="AC40">IFERROR(HYPERLINK("#KPI_Master!A"&amp;MATCH(SMALL(IF(KPI_Element_Map!$E$2:$E$287=$A40,KPI_Element_Map!$A$2:$A$287),COLUMNS($J40:AC40)),KPI_Master!$A:$A,0)&amp;":P"&amp;MATCH(SMALL(IF(KPI_Element_Map!$E$2:$E$287=$A40,KPI_Element_Map!$A$2:$A$287),COLUMNS($J40:AC40)),KPI_Master!$A:$A,0),SMALL(IF(KPI_Element_Map!$E$2:$E$287=$A40,KPI_Element_Map!$A$2:$A$287),COLUMNS($J40:AC40))),"")</f>
        <v/>
      </c>
      <c r="AD40" s="25" t="str">
        <f t="array" ref="AD40">IFERROR(HYPERLINK("#KPI_Master!A"&amp;MATCH(SMALL(IF(KPI_Element_Map!$E$2:$E$287=$A40,KPI_Element_Map!$A$2:$A$287),COLUMNS($J40:AD40)),KPI_Master!$A:$A,0)&amp;":P"&amp;MATCH(SMALL(IF(KPI_Element_Map!$E$2:$E$287=$A40,KPI_Element_Map!$A$2:$A$287),COLUMNS($J40:AD40)),KPI_Master!$A:$A,0),SMALL(IF(KPI_Element_Map!$E$2:$E$287=$A40,KPI_Element_Map!$A$2:$A$287),COLUMNS($J40:AD40))),"")</f>
        <v/>
      </c>
      <c r="AE40" s="25" t="str">
        <f t="array" ref="AE40">IFERROR(HYPERLINK("#KPI_Master!A"&amp;MATCH(SMALL(IF(KPI_Element_Map!$E$2:$E$287=$A40,KPI_Element_Map!$A$2:$A$287),COLUMNS($J40:AE40)),KPI_Master!$A:$A,0)&amp;":P"&amp;MATCH(SMALL(IF(KPI_Element_Map!$E$2:$E$287=$A40,KPI_Element_Map!$A$2:$A$287),COLUMNS($J40:AE40)),KPI_Master!$A:$A,0),SMALL(IF(KPI_Element_Map!$E$2:$E$287=$A40,KPI_Element_Map!$A$2:$A$287),COLUMNS($J40:AE40))),"")</f>
        <v/>
      </c>
      <c r="AF40" s="25" t="str">
        <f t="array" ref="AF40">IFERROR(HYPERLINK("#KPI_Master!A"&amp;MATCH(SMALL(IF(KPI_Element_Map!$E$2:$E$287=$A40,KPI_Element_Map!$A$2:$A$287),COLUMNS($J40:AF40)),KPI_Master!$A:$A,0)&amp;":P"&amp;MATCH(SMALL(IF(KPI_Element_Map!$E$2:$E$287=$A40,KPI_Element_Map!$A$2:$A$287),COLUMNS($J40:AF40)),KPI_Master!$A:$A,0),SMALL(IF(KPI_Element_Map!$E$2:$E$287=$A40,KPI_Element_Map!$A$2:$A$287),COLUMNS($J40:AF40))),"")</f>
        <v/>
      </c>
      <c r="AG40" s="25" t="str">
        <f t="array" ref="AG40">IFERROR(HYPERLINK("#KPI_Master!A"&amp;MATCH(SMALL(IF(KPI_Element_Map!$E$2:$E$287=$A40,KPI_Element_Map!$A$2:$A$287),COLUMNS($J40:AG40)),KPI_Master!$A:$A,0)&amp;":P"&amp;MATCH(SMALL(IF(KPI_Element_Map!$E$2:$E$287=$A40,KPI_Element_Map!$A$2:$A$287),COLUMNS($J40:AG40)),KPI_Master!$A:$A,0),SMALL(IF(KPI_Element_Map!$E$2:$E$287=$A40,KPI_Element_Map!$A$2:$A$287),COLUMNS($J40:AG40))),"")</f>
        <v/>
      </c>
      <c r="AH40" s="25" t="str">
        <f t="array" ref="AH40">IFERROR(HYPERLINK("#KPI_Master!A"&amp;MATCH(SMALL(IF(KPI_Element_Map!$E$2:$E$287=$A40,KPI_Element_Map!$A$2:$A$287),COLUMNS($J40:AH40)),KPI_Master!$A:$A,0)&amp;":P"&amp;MATCH(SMALL(IF(KPI_Element_Map!$E$2:$E$287=$A40,KPI_Element_Map!$A$2:$A$287),COLUMNS($J40:AH40)),KPI_Master!$A:$A,0),SMALL(IF(KPI_Element_Map!$E$2:$E$287=$A40,KPI_Element_Map!$A$2:$A$287),COLUMNS($J40:AH40))),"")</f>
        <v/>
      </c>
    </row>
    <row r="41" spans="1:34" ht="28.5" customHeight="1">
      <c r="A41" s="21" t="s">
        <v>1048</v>
      </c>
      <c r="B41" s="22" t="s">
        <v>1049</v>
      </c>
      <c r="C41" s="23" t="s">
        <v>1050</v>
      </c>
      <c r="D41" s="23" t="str">
        <f t="array" ref="D41">_xlfn.TEXTJOIN(", ",TRUE(),IF(KPI_Element_Map!$E$2:$E$287=$A41,KPI_Element_Map!$A$2:$A$287,""))</f>
        <v>81, 82, 85, 144, 169, 170</v>
      </c>
      <c r="E41" s="21">
        <f>COUNTIF(KPI_Element_Map!$E$2:$E$287,$A41)</f>
        <v>6</v>
      </c>
      <c r="F41" s="21">
        <f>COUNTIFS(KPI_Element_Map!$E$2:$E$287,$A41,KPI_Element_Map!$D$2:$D$287,"1 - Core")</f>
        <v>3</v>
      </c>
      <c r="G41" s="24" t="s">
        <v>1051</v>
      </c>
      <c r="H41" s="23" t="str">
        <f>INDEX(Minimum_Documents!$B:$B,MATCH($G41,Minimum_Documents!$A:$A,0))</f>
        <v>Incident &amp; Accident Log (falls, med errors, reportable, security, elopement)</v>
      </c>
      <c r="J41" s="25">
        <f t="array" ref="J41">IFERROR(HYPERLINK("#KPI_Master!A"&amp;MATCH(SMALL(IF(KPI_Element_Map!$E$2:$E$287=$A41,KPI_Element_Map!$A$2:$A$287),COLUMNS($J41:J41)),KPI_Master!$A:$A,0)&amp;":P"&amp;MATCH(SMALL(IF(KPI_Element_Map!$E$2:$E$287=$A41,KPI_Element_Map!$A$2:$A$287),COLUMNS($J41:J41)),KPI_Master!$A:$A,0),SMALL(IF(KPI_Element_Map!$E$2:$E$287=$A41,KPI_Element_Map!$A$2:$A$287),COLUMNS($J41:J41))),"")</f>
        <v>81</v>
      </c>
      <c r="K41" s="25">
        <f t="array" ref="K41">IFERROR(HYPERLINK("#KPI_Master!A"&amp;MATCH(SMALL(IF(KPI_Element_Map!$E$2:$E$287=$A41,KPI_Element_Map!$A$2:$A$287),COLUMNS($J41:K41)),KPI_Master!$A:$A,0)&amp;":P"&amp;MATCH(SMALL(IF(KPI_Element_Map!$E$2:$E$287=$A41,KPI_Element_Map!$A$2:$A$287),COLUMNS($J41:K41)),KPI_Master!$A:$A,0),SMALL(IF(KPI_Element_Map!$E$2:$E$287=$A41,KPI_Element_Map!$A$2:$A$287),COLUMNS($J41:K41))),"")</f>
        <v>82</v>
      </c>
      <c r="L41" s="25">
        <f t="array" ref="L41">IFERROR(HYPERLINK("#KPI_Master!A"&amp;MATCH(SMALL(IF(KPI_Element_Map!$E$2:$E$287=$A41,KPI_Element_Map!$A$2:$A$287),COLUMNS($J41:L41)),KPI_Master!$A:$A,0)&amp;":P"&amp;MATCH(SMALL(IF(KPI_Element_Map!$E$2:$E$287=$A41,KPI_Element_Map!$A$2:$A$287),COLUMNS($J41:L41)),KPI_Master!$A:$A,0),SMALL(IF(KPI_Element_Map!$E$2:$E$287=$A41,KPI_Element_Map!$A$2:$A$287),COLUMNS($J41:L41))),"")</f>
        <v>85</v>
      </c>
      <c r="M41" s="25">
        <f t="array" ref="M41">IFERROR(HYPERLINK("#KPI_Master!A"&amp;MATCH(SMALL(IF(KPI_Element_Map!$E$2:$E$287=$A41,KPI_Element_Map!$A$2:$A$287),COLUMNS($J41:M41)),KPI_Master!$A:$A,0)&amp;":P"&amp;MATCH(SMALL(IF(KPI_Element_Map!$E$2:$E$287=$A41,KPI_Element_Map!$A$2:$A$287),COLUMNS($J41:M41)),KPI_Master!$A:$A,0),SMALL(IF(KPI_Element_Map!$E$2:$E$287=$A41,KPI_Element_Map!$A$2:$A$287),COLUMNS($J41:M41))),"")</f>
        <v>144</v>
      </c>
      <c r="N41" s="25">
        <f t="array" ref="N41">IFERROR(HYPERLINK("#KPI_Master!A"&amp;MATCH(SMALL(IF(KPI_Element_Map!$E$2:$E$287=$A41,KPI_Element_Map!$A$2:$A$287),COLUMNS($J41:N41)),KPI_Master!$A:$A,0)&amp;":P"&amp;MATCH(SMALL(IF(KPI_Element_Map!$E$2:$E$287=$A41,KPI_Element_Map!$A$2:$A$287),COLUMNS($J41:N41)),KPI_Master!$A:$A,0),SMALL(IF(KPI_Element_Map!$E$2:$E$287=$A41,KPI_Element_Map!$A$2:$A$287),COLUMNS($J41:N41))),"")</f>
        <v>169</v>
      </c>
      <c r="O41" s="25">
        <f t="array" ref="O41">IFERROR(HYPERLINK("#KPI_Master!A"&amp;MATCH(SMALL(IF(KPI_Element_Map!$E$2:$E$287=$A41,KPI_Element_Map!$A$2:$A$287),COLUMNS($J41:O41)),KPI_Master!$A:$A,0)&amp;":P"&amp;MATCH(SMALL(IF(KPI_Element_Map!$E$2:$E$287=$A41,KPI_Element_Map!$A$2:$A$287),COLUMNS($J41:O41)),KPI_Master!$A:$A,0),SMALL(IF(KPI_Element_Map!$E$2:$E$287=$A41,KPI_Element_Map!$A$2:$A$287),COLUMNS($J41:O41))),"")</f>
        <v>170</v>
      </c>
      <c r="P41" s="25" t="str">
        <f t="array" ref="P41">IFERROR(HYPERLINK("#KPI_Master!A"&amp;MATCH(SMALL(IF(KPI_Element_Map!$E$2:$E$287=$A41,KPI_Element_Map!$A$2:$A$287),COLUMNS($J41:P41)),KPI_Master!$A:$A,0)&amp;":P"&amp;MATCH(SMALL(IF(KPI_Element_Map!$E$2:$E$287=$A41,KPI_Element_Map!$A$2:$A$287),COLUMNS($J41:P41)),KPI_Master!$A:$A,0),SMALL(IF(KPI_Element_Map!$E$2:$E$287=$A41,KPI_Element_Map!$A$2:$A$287),COLUMNS($J41:P41))),"")</f>
        <v/>
      </c>
      <c r="Q41" s="25" t="str">
        <f t="array" ref="Q41">IFERROR(HYPERLINK("#KPI_Master!A"&amp;MATCH(SMALL(IF(KPI_Element_Map!$E$2:$E$287=$A41,KPI_Element_Map!$A$2:$A$287),COLUMNS($J41:Q41)),KPI_Master!$A:$A,0)&amp;":P"&amp;MATCH(SMALL(IF(KPI_Element_Map!$E$2:$E$287=$A41,KPI_Element_Map!$A$2:$A$287),COLUMNS($J41:Q41)),KPI_Master!$A:$A,0),SMALL(IF(KPI_Element_Map!$E$2:$E$287=$A41,KPI_Element_Map!$A$2:$A$287),COLUMNS($J41:Q41))),"")</f>
        <v/>
      </c>
      <c r="R41" s="25" t="str">
        <f t="array" ref="R41">IFERROR(HYPERLINK("#KPI_Master!A"&amp;MATCH(SMALL(IF(KPI_Element_Map!$E$2:$E$287=$A41,KPI_Element_Map!$A$2:$A$287),COLUMNS($J41:R41)),KPI_Master!$A:$A,0)&amp;":P"&amp;MATCH(SMALL(IF(KPI_Element_Map!$E$2:$E$287=$A41,KPI_Element_Map!$A$2:$A$287),COLUMNS($J41:R41)),KPI_Master!$A:$A,0),SMALL(IF(KPI_Element_Map!$E$2:$E$287=$A41,KPI_Element_Map!$A$2:$A$287),COLUMNS($J41:R41))),"")</f>
        <v/>
      </c>
      <c r="S41" s="25" t="str">
        <f t="array" ref="S41">IFERROR(HYPERLINK("#KPI_Master!A"&amp;MATCH(SMALL(IF(KPI_Element_Map!$E$2:$E$287=$A41,KPI_Element_Map!$A$2:$A$287),COLUMNS($J41:S41)),KPI_Master!$A:$A,0)&amp;":P"&amp;MATCH(SMALL(IF(KPI_Element_Map!$E$2:$E$287=$A41,KPI_Element_Map!$A$2:$A$287),COLUMNS($J41:S41)),KPI_Master!$A:$A,0),SMALL(IF(KPI_Element_Map!$E$2:$E$287=$A41,KPI_Element_Map!$A$2:$A$287),COLUMNS($J41:S41))),"")</f>
        <v/>
      </c>
      <c r="T41" s="25" t="str">
        <f t="array" ref="T41">IFERROR(HYPERLINK("#KPI_Master!A"&amp;MATCH(SMALL(IF(KPI_Element_Map!$E$2:$E$287=$A41,KPI_Element_Map!$A$2:$A$287),COLUMNS($J41:T41)),KPI_Master!$A:$A,0)&amp;":P"&amp;MATCH(SMALL(IF(KPI_Element_Map!$E$2:$E$287=$A41,KPI_Element_Map!$A$2:$A$287),COLUMNS($J41:T41)),KPI_Master!$A:$A,0),SMALL(IF(KPI_Element_Map!$E$2:$E$287=$A41,KPI_Element_Map!$A$2:$A$287),COLUMNS($J41:T41))),"")</f>
        <v/>
      </c>
      <c r="U41" s="25" t="str">
        <f t="array" ref="U41">IFERROR(HYPERLINK("#KPI_Master!A"&amp;MATCH(SMALL(IF(KPI_Element_Map!$E$2:$E$287=$A41,KPI_Element_Map!$A$2:$A$287),COLUMNS($J41:U41)),KPI_Master!$A:$A,0)&amp;":P"&amp;MATCH(SMALL(IF(KPI_Element_Map!$E$2:$E$287=$A41,KPI_Element_Map!$A$2:$A$287),COLUMNS($J41:U41)),KPI_Master!$A:$A,0),SMALL(IF(KPI_Element_Map!$E$2:$E$287=$A41,KPI_Element_Map!$A$2:$A$287),COLUMNS($J41:U41))),"")</f>
        <v/>
      </c>
      <c r="V41" s="25" t="str">
        <f t="array" ref="V41">IFERROR(HYPERLINK("#KPI_Master!A"&amp;MATCH(SMALL(IF(KPI_Element_Map!$E$2:$E$287=$A41,KPI_Element_Map!$A$2:$A$287),COLUMNS($J41:V41)),KPI_Master!$A:$A,0)&amp;":P"&amp;MATCH(SMALL(IF(KPI_Element_Map!$E$2:$E$287=$A41,KPI_Element_Map!$A$2:$A$287),COLUMNS($J41:V41)),KPI_Master!$A:$A,0),SMALL(IF(KPI_Element_Map!$E$2:$E$287=$A41,KPI_Element_Map!$A$2:$A$287),COLUMNS($J41:V41))),"")</f>
        <v/>
      </c>
      <c r="W41" s="25" t="str">
        <f t="array" ref="W41">IFERROR(HYPERLINK("#KPI_Master!A"&amp;MATCH(SMALL(IF(KPI_Element_Map!$E$2:$E$287=$A41,KPI_Element_Map!$A$2:$A$287),COLUMNS($J41:W41)),KPI_Master!$A:$A,0)&amp;":P"&amp;MATCH(SMALL(IF(KPI_Element_Map!$E$2:$E$287=$A41,KPI_Element_Map!$A$2:$A$287),COLUMNS($J41:W41)),KPI_Master!$A:$A,0),SMALL(IF(KPI_Element_Map!$E$2:$E$287=$A41,KPI_Element_Map!$A$2:$A$287),COLUMNS($J41:W41))),"")</f>
        <v/>
      </c>
      <c r="X41" s="25" t="str">
        <f t="array" ref="X41">IFERROR(HYPERLINK("#KPI_Master!A"&amp;MATCH(SMALL(IF(KPI_Element_Map!$E$2:$E$287=$A41,KPI_Element_Map!$A$2:$A$287),COLUMNS($J41:X41)),KPI_Master!$A:$A,0)&amp;":P"&amp;MATCH(SMALL(IF(KPI_Element_Map!$E$2:$E$287=$A41,KPI_Element_Map!$A$2:$A$287),COLUMNS($J41:X41)),KPI_Master!$A:$A,0),SMALL(IF(KPI_Element_Map!$E$2:$E$287=$A41,KPI_Element_Map!$A$2:$A$287),COLUMNS($J41:X41))),"")</f>
        <v/>
      </c>
      <c r="Y41" s="25" t="str">
        <f t="array" ref="Y41">IFERROR(HYPERLINK("#KPI_Master!A"&amp;MATCH(SMALL(IF(KPI_Element_Map!$E$2:$E$287=$A41,KPI_Element_Map!$A$2:$A$287),COLUMNS($J41:Y41)),KPI_Master!$A:$A,0)&amp;":P"&amp;MATCH(SMALL(IF(KPI_Element_Map!$E$2:$E$287=$A41,KPI_Element_Map!$A$2:$A$287),COLUMNS($J41:Y41)),KPI_Master!$A:$A,0),SMALL(IF(KPI_Element_Map!$E$2:$E$287=$A41,KPI_Element_Map!$A$2:$A$287),COLUMNS($J41:Y41))),"")</f>
        <v/>
      </c>
      <c r="Z41" s="25" t="str">
        <f t="array" ref="Z41">IFERROR(HYPERLINK("#KPI_Master!A"&amp;MATCH(SMALL(IF(KPI_Element_Map!$E$2:$E$287=$A41,KPI_Element_Map!$A$2:$A$287),COLUMNS($J41:Z41)),KPI_Master!$A:$A,0)&amp;":P"&amp;MATCH(SMALL(IF(KPI_Element_Map!$E$2:$E$287=$A41,KPI_Element_Map!$A$2:$A$287),COLUMNS($J41:Z41)),KPI_Master!$A:$A,0),SMALL(IF(KPI_Element_Map!$E$2:$E$287=$A41,KPI_Element_Map!$A$2:$A$287),COLUMNS($J41:Z41))),"")</f>
        <v/>
      </c>
      <c r="AA41" s="25" t="str">
        <f t="array" ref="AA41">IFERROR(HYPERLINK("#KPI_Master!A"&amp;MATCH(SMALL(IF(KPI_Element_Map!$E$2:$E$287=$A41,KPI_Element_Map!$A$2:$A$287),COLUMNS($J41:AA41)),KPI_Master!$A:$A,0)&amp;":P"&amp;MATCH(SMALL(IF(KPI_Element_Map!$E$2:$E$287=$A41,KPI_Element_Map!$A$2:$A$287),COLUMNS($J41:AA41)),KPI_Master!$A:$A,0),SMALL(IF(KPI_Element_Map!$E$2:$E$287=$A41,KPI_Element_Map!$A$2:$A$287),COLUMNS($J41:AA41))),"")</f>
        <v/>
      </c>
      <c r="AB41" s="25" t="str">
        <f t="array" ref="AB41">IFERROR(HYPERLINK("#KPI_Master!A"&amp;MATCH(SMALL(IF(KPI_Element_Map!$E$2:$E$287=$A41,KPI_Element_Map!$A$2:$A$287),COLUMNS($J41:AB41)),KPI_Master!$A:$A,0)&amp;":P"&amp;MATCH(SMALL(IF(KPI_Element_Map!$E$2:$E$287=$A41,KPI_Element_Map!$A$2:$A$287),COLUMNS($J41:AB41)),KPI_Master!$A:$A,0),SMALL(IF(KPI_Element_Map!$E$2:$E$287=$A41,KPI_Element_Map!$A$2:$A$287),COLUMNS($J41:AB41))),"")</f>
        <v/>
      </c>
      <c r="AC41" s="25" t="str">
        <f t="array" ref="AC41">IFERROR(HYPERLINK("#KPI_Master!A"&amp;MATCH(SMALL(IF(KPI_Element_Map!$E$2:$E$287=$A41,KPI_Element_Map!$A$2:$A$287),COLUMNS($J41:AC41)),KPI_Master!$A:$A,0)&amp;":P"&amp;MATCH(SMALL(IF(KPI_Element_Map!$E$2:$E$287=$A41,KPI_Element_Map!$A$2:$A$287),COLUMNS($J41:AC41)),KPI_Master!$A:$A,0),SMALL(IF(KPI_Element_Map!$E$2:$E$287=$A41,KPI_Element_Map!$A$2:$A$287),COLUMNS($J41:AC41))),"")</f>
        <v/>
      </c>
      <c r="AD41" s="25" t="str">
        <f t="array" ref="AD41">IFERROR(HYPERLINK("#KPI_Master!A"&amp;MATCH(SMALL(IF(KPI_Element_Map!$E$2:$E$287=$A41,KPI_Element_Map!$A$2:$A$287),COLUMNS($J41:AD41)),KPI_Master!$A:$A,0)&amp;":P"&amp;MATCH(SMALL(IF(KPI_Element_Map!$E$2:$E$287=$A41,KPI_Element_Map!$A$2:$A$287),COLUMNS($J41:AD41)),KPI_Master!$A:$A,0),SMALL(IF(KPI_Element_Map!$E$2:$E$287=$A41,KPI_Element_Map!$A$2:$A$287),COLUMNS($J41:AD41))),"")</f>
        <v/>
      </c>
      <c r="AE41" s="25" t="str">
        <f t="array" ref="AE41">IFERROR(HYPERLINK("#KPI_Master!A"&amp;MATCH(SMALL(IF(KPI_Element_Map!$E$2:$E$287=$A41,KPI_Element_Map!$A$2:$A$287),COLUMNS($J41:AE41)),KPI_Master!$A:$A,0)&amp;":P"&amp;MATCH(SMALL(IF(KPI_Element_Map!$E$2:$E$287=$A41,KPI_Element_Map!$A$2:$A$287),COLUMNS($J41:AE41)),KPI_Master!$A:$A,0),SMALL(IF(KPI_Element_Map!$E$2:$E$287=$A41,KPI_Element_Map!$A$2:$A$287),COLUMNS($J41:AE41))),"")</f>
        <v/>
      </c>
      <c r="AF41" s="25" t="str">
        <f t="array" ref="AF41">IFERROR(HYPERLINK("#KPI_Master!A"&amp;MATCH(SMALL(IF(KPI_Element_Map!$E$2:$E$287=$A41,KPI_Element_Map!$A$2:$A$287),COLUMNS($J41:AF41)),KPI_Master!$A:$A,0)&amp;":P"&amp;MATCH(SMALL(IF(KPI_Element_Map!$E$2:$E$287=$A41,KPI_Element_Map!$A$2:$A$287),COLUMNS($J41:AF41)),KPI_Master!$A:$A,0),SMALL(IF(KPI_Element_Map!$E$2:$E$287=$A41,KPI_Element_Map!$A$2:$A$287),COLUMNS($J41:AF41))),"")</f>
        <v/>
      </c>
      <c r="AG41" s="25" t="str">
        <f t="array" ref="AG41">IFERROR(HYPERLINK("#KPI_Master!A"&amp;MATCH(SMALL(IF(KPI_Element_Map!$E$2:$E$287=$A41,KPI_Element_Map!$A$2:$A$287),COLUMNS($J41:AG41)),KPI_Master!$A:$A,0)&amp;":P"&amp;MATCH(SMALL(IF(KPI_Element_Map!$E$2:$E$287=$A41,KPI_Element_Map!$A$2:$A$287),COLUMNS($J41:AG41)),KPI_Master!$A:$A,0),SMALL(IF(KPI_Element_Map!$E$2:$E$287=$A41,KPI_Element_Map!$A$2:$A$287),COLUMNS($J41:AG41))),"")</f>
        <v/>
      </c>
      <c r="AH41" s="25" t="str">
        <f t="array" ref="AH41">IFERROR(HYPERLINK("#KPI_Master!A"&amp;MATCH(SMALL(IF(KPI_Element_Map!$E$2:$E$287=$A41,KPI_Element_Map!$A$2:$A$287),COLUMNS($J41:AH41)),KPI_Master!$A:$A,0)&amp;":P"&amp;MATCH(SMALL(IF(KPI_Element_Map!$E$2:$E$287=$A41,KPI_Element_Map!$A$2:$A$287),COLUMNS($J41:AH41)),KPI_Master!$A:$A,0),SMALL(IF(KPI_Element_Map!$E$2:$E$287=$A41,KPI_Element_Map!$A$2:$A$287),COLUMNS($J41:AH41))),"")</f>
        <v/>
      </c>
    </row>
    <row r="42" spans="1:34">
      <c r="A42" s="21" t="s">
        <v>1052</v>
      </c>
      <c r="B42" s="22" t="s">
        <v>1053</v>
      </c>
      <c r="C42" s="23" t="s">
        <v>1054</v>
      </c>
      <c r="D42" s="23" t="str">
        <f t="array" ref="D42">_xlfn.TEXTJOIN(", ",TRUE(),IF(KPI_Element_Map!$E$2:$E$287=$A42,KPI_Element_Map!$A$2:$A$287,""))</f>
        <v>85, 91, 97</v>
      </c>
      <c r="E42" s="21">
        <f>COUNTIF(KPI_Element_Map!$E$2:$E$287,$A42)</f>
        <v>3</v>
      </c>
      <c r="F42" s="21">
        <f>COUNTIFS(KPI_Element_Map!$E$2:$E$287,$A42,KPI_Element_Map!$D$2:$D$287,"1 - Core")</f>
        <v>1</v>
      </c>
      <c r="G42" s="24" t="s">
        <v>1055</v>
      </c>
      <c r="H42" s="23" t="str">
        <f>INDEX(Minimum_Documents!$B:$B,MATCH($G42,Minimum_Documents!$A:$A,0))</f>
        <v>eMAR Administration Report</v>
      </c>
      <c r="J42" s="25">
        <f t="array" ref="J42">IFERROR(HYPERLINK("#KPI_Master!A"&amp;MATCH(SMALL(IF(KPI_Element_Map!$E$2:$E$287=$A42,KPI_Element_Map!$A$2:$A$287),COLUMNS($J42:J42)),KPI_Master!$A:$A,0)&amp;":P"&amp;MATCH(SMALL(IF(KPI_Element_Map!$E$2:$E$287=$A42,KPI_Element_Map!$A$2:$A$287),COLUMNS($J42:J42)),KPI_Master!$A:$A,0),SMALL(IF(KPI_Element_Map!$E$2:$E$287=$A42,KPI_Element_Map!$A$2:$A$287),COLUMNS($J42:J42))),"")</f>
        <v>85</v>
      </c>
      <c r="K42" s="25">
        <f t="array" ref="K42">IFERROR(HYPERLINK("#KPI_Master!A"&amp;MATCH(SMALL(IF(KPI_Element_Map!$E$2:$E$287=$A42,KPI_Element_Map!$A$2:$A$287),COLUMNS($J42:K42)),KPI_Master!$A:$A,0)&amp;":P"&amp;MATCH(SMALL(IF(KPI_Element_Map!$E$2:$E$287=$A42,KPI_Element_Map!$A$2:$A$287),COLUMNS($J42:K42)),KPI_Master!$A:$A,0),SMALL(IF(KPI_Element_Map!$E$2:$E$287=$A42,KPI_Element_Map!$A$2:$A$287),COLUMNS($J42:K42))),"")</f>
        <v>91</v>
      </c>
      <c r="L42" s="25">
        <f t="array" ref="L42">IFERROR(HYPERLINK("#KPI_Master!A"&amp;MATCH(SMALL(IF(KPI_Element_Map!$E$2:$E$287=$A42,KPI_Element_Map!$A$2:$A$287),COLUMNS($J42:L42)),KPI_Master!$A:$A,0)&amp;":P"&amp;MATCH(SMALL(IF(KPI_Element_Map!$E$2:$E$287=$A42,KPI_Element_Map!$A$2:$A$287),COLUMNS($J42:L42)),KPI_Master!$A:$A,0),SMALL(IF(KPI_Element_Map!$E$2:$E$287=$A42,KPI_Element_Map!$A$2:$A$287),COLUMNS($J42:L42))),"")</f>
        <v>97</v>
      </c>
      <c r="M42" s="25" t="str">
        <f t="array" ref="M42">IFERROR(HYPERLINK("#KPI_Master!A"&amp;MATCH(SMALL(IF(KPI_Element_Map!$E$2:$E$287=$A42,KPI_Element_Map!$A$2:$A$287),COLUMNS($J42:M42)),KPI_Master!$A:$A,0)&amp;":P"&amp;MATCH(SMALL(IF(KPI_Element_Map!$E$2:$E$287=$A42,KPI_Element_Map!$A$2:$A$287),COLUMNS($J42:M42)),KPI_Master!$A:$A,0),SMALL(IF(KPI_Element_Map!$E$2:$E$287=$A42,KPI_Element_Map!$A$2:$A$287),COLUMNS($J42:M42))),"")</f>
        <v/>
      </c>
      <c r="N42" s="25" t="str">
        <f t="array" ref="N42">IFERROR(HYPERLINK("#KPI_Master!A"&amp;MATCH(SMALL(IF(KPI_Element_Map!$E$2:$E$287=$A42,KPI_Element_Map!$A$2:$A$287),COLUMNS($J42:N42)),KPI_Master!$A:$A,0)&amp;":P"&amp;MATCH(SMALL(IF(KPI_Element_Map!$E$2:$E$287=$A42,KPI_Element_Map!$A$2:$A$287),COLUMNS($J42:N42)),KPI_Master!$A:$A,0),SMALL(IF(KPI_Element_Map!$E$2:$E$287=$A42,KPI_Element_Map!$A$2:$A$287),COLUMNS($J42:N42))),"")</f>
        <v/>
      </c>
      <c r="O42" s="25" t="str">
        <f t="array" ref="O42">IFERROR(HYPERLINK("#KPI_Master!A"&amp;MATCH(SMALL(IF(KPI_Element_Map!$E$2:$E$287=$A42,KPI_Element_Map!$A$2:$A$287),COLUMNS($J42:O42)),KPI_Master!$A:$A,0)&amp;":P"&amp;MATCH(SMALL(IF(KPI_Element_Map!$E$2:$E$287=$A42,KPI_Element_Map!$A$2:$A$287),COLUMNS($J42:O42)),KPI_Master!$A:$A,0),SMALL(IF(KPI_Element_Map!$E$2:$E$287=$A42,KPI_Element_Map!$A$2:$A$287),COLUMNS($J42:O42))),"")</f>
        <v/>
      </c>
      <c r="P42" s="25" t="str">
        <f t="array" ref="P42">IFERROR(HYPERLINK("#KPI_Master!A"&amp;MATCH(SMALL(IF(KPI_Element_Map!$E$2:$E$287=$A42,KPI_Element_Map!$A$2:$A$287),COLUMNS($J42:P42)),KPI_Master!$A:$A,0)&amp;":P"&amp;MATCH(SMALL(IF(KPI_Element_Map!$E$2:$E$287=$A42,KPI_Element_Map!$A$2:$A$287),COLUMNS($J42:P42)),KPI_Master!$A:$A,0),SMALL(IF(KPI_Element_Map!$E$2:$E$287=$A42,KPI_Element_Map!$A$2:$A$287),COLUMNS($J42:P42))),"")</f>
        <v/>
      </c>
      <c r="Q42" s="25" t="str">
        <f t="array" ref="Q42">IFERROR(HYPERLINK("#KPI_Master!A"&amp;MATCH(SMALL(IF(KPI_Element_Map!$E$2:$E$287=$A42,KPI_Element_Map!$A$2:$A$287),COLUMNS($J42:Q42)),KPI_Master!$A:$A,0)&amp;":P"&amp;MATCH(SMALL(IF(KPI_Element_Map!$E$2:$E$287=$A42,KPI_Element_Map!$A$2:$A$287),COLUMNS($J42:Q42)),KPI_Master!$A:$A,0),SMALL(IF(KPI_Element_Map!$E$2:$E$287=$A42,KPI_Element_Map!$A$2:$A$287),COLUMNS($J42:Q42))),"")</f>
        <v/>
      </c>
      <c r="R42" s="25" t="str">
        <f t="array" ref="R42">IFERROR(HYPERLINK("#KPI_Master!A"&amp;MATCH(SMALL(IF(KPI_Element_Map!$E$2:$E$287=$A42,KPI_Element_Map!$A$2:$A$287),COLUMNS($J42:R42)),KPI_Master!$A:$A,0)&amp;":P"&amp;MATCH(SMALL(IF(KPI_Element_Map!$E$2:$E$287=$A42,KPI_Element_Map!$A$2:$A$287),COLUMNS($J42:R42)),KPI_Master!$A:$A,0),SMALL(IF(KPI_Element_Map!$E$2:$E$287=$A42,KPI_Element_Map!$A$2:$A$287),COLUMNS($J42:R42))),"")</f>
        <v/>
      </c>
      <c r="S42" s="25" t="str">
        <f t="array" ref="S42">IFERROR(HYPERLINK("#KPI_Master!A"&amp;MATCH(SMALL(IF(KPI_Element_Map!$E$2:$E$287=$A42,KPI_Element_Map!$A$2:$A$287),COLUMNS($J42:S42)),KPI_Master!$A:$A,0)&amp;":P"&amp;MATCH(SMALL(IF(KPI_Element_Map!$E$2:$E$287=$A42,KPI_Element_Map!$A$2:$A$287),COLUMNS($J42:S42)),KPI_Master!$A:$A,0),SMALL(IF(KPI_Element_Map!$E$2:$E$287=$A42,KPI_Element_Map!$A$2:$A$287),COLUMNS($J42:S42))),"")</f>
        <v/>
      </c>
      <c r="T42" s="25" t="str">
        <f t="array" ref="T42">IFERROR(HYPERLINK("#KPI_Master!A"&amp;MATCH(SMALL(IF(KPI_Element_Map!$E$2:$E$287=$A42,KPI_Element_Map!$A$2:$A$287),COLUMNS($J42:T42)),KPI_Master!$A:$A,0)&amp;":P"&amp;MATCH(SMALL(IF(KPI_Element_Map!$E$2:$E$287=$A42,KPI_Element_Map!$A$2:$A$287),COLUMNS($J42:T42)),KPI_Master!$A:$A,0),SMALL(IF(KPI_Element_Map!$E$2:$E$287=$A42,KPI_Element_Map!$A$2:$A$287),COLUMNS($J42:T42))),"")</f>
        <v/>
      </c>
      <c r="U42" s="25" t="str">
        <f t="array" ref="U42">IFERROR(HYPERLINK("#KPI_Master!A"&amp;MATCH(SMALL(IF(KPI_Element_Map!$E$2:$E$287=$A42,KPI_Element_Map!$A$2:$A$287),COLUMNS($J42:U42)),KPI_Master!$A:$A,0)&amp;":P"&amp;MATCH(SMALL(IF(KPI_Element_Map!$E$2:$E$287=$A42,KPI_Element_Map!$A$2:$A$287),COLUMNS($J42:U42)),KPI_Master!$A:$A,0),SMALL(IF(KPI_Element_Map!$E$2:$E$287=$A42,KPI_Element_Map!$A$2:$A$287),COLUMNS($J42:U42))),"")</f>
        <v/>
      </c>
      <c r="V42" s="25" t="str">
        <f t="array" ref="V42">IFERROR(HYPERLINK("#KPI_Master!A"&amp;MATCH(SMALL(IF(KPI_Element_Map!$E$2:$E$287=$A42,KPI_Element_Map!$A$2:$A$287),COLUMNS($J42:V42)),KPI_Master!$A:$A,0)&amp;":P"&amp;MATCH(SMALL(IF(KPI_Element_Map!$E$2:$E$287=$A42,KPI_Element_Map!$A$2:$A$287),COLUMNS($J42:V42)),KPI_Master!$A:$A,0),SMALL(IF(KPI_Element_Map!$E$2:$E$287=$A42,KPI_Element_Map!$A$2:$A$287),COLUMNS($J42:V42))),"")</f>
        <v/>
      </c>
      <c r="W42" s="25" t="str">
        <f t="array" ref="W42">IFERROR(HYPERLINK("#KPI_Master!A"&amp;MATCH(SMALL(IF(KPI_Element_Map!$E$2:$E$287=$A42,KPI_Element_Map!$A$2:$A$287),COLUMNS($J42:W42)),KPI_Master!$A:$A,0)&amp;":P"&amp;MATCH(SMALL(IF(KPI_Element_Map!$E$2:$E$287=$A42,KPI_Element_Map!$A$2:$A$287),COLUMNS($J42:W42)),KPI_Master!$A:$A,0),SMALL(IF(KPI_Element_Map!$E$2:$E$287=$A42,KPI_Element_Map!$A$2:$A$287),COLUMNS($J42:W42))),"")</f>
        <v/>
      </c>
      <c r="X42" s="25" t="str">
        <f t="array" ref="X42">IFERROR(HYPERLINK("#KPI_Master!A"&amp;MATCH(SMALL(IF(KPI_Element_Map!$E$2:$E$287=$A42,KPI_Element_Map!$A$2:$A$287),COLUMNS($J42:X42)),KPI_Master!$A:$A,0)&amp;":P"&amp;MATCH(SMALL(IF(KPI_Element_Map!$E$2:$E$287=$A42,KPI_Element_Map!$A$2:$A$287),COLUMNS($J42:X42)),KPI_Master!$A:$A,0),SMALL(IF(KPI_Element_Map!$E$2:$E$287=$A42,KPI_Element_Map!$A$2:$A$287),COLUMNS($J42:X42))),"")</f>
        <v/>
      </c>
      <c r="Y42" s="25" t="str">
        <f t="array" ref="Y42">IFERROR(HYPERLINK("#KPI_Master!A"&amp;MATCH(SMALL(IF(KPI_Element_Map!$E$2:$E$287=$A42,KPI_Element_Map!$A$2:$A$287),COLUMNS($J42:Y42)),KPI_Master!$A:$A,0)&amp;":P"&amp;MATCH(SMALL(IF(KPI_Element_Map!$E$2:$E$287=$A42,KPI_Element_Map!$A$2:$A$287),COLUMNS($J42:Y42)),KPI_Master!$A:$A,0),SMALL(IF(KPI_Element_Map!$E$2:$E$287=$A42,KPI_Element_Map!$A$2:$A$287),COLUMNS($J42:Y42))),"")</f>
        <v/>
      </c>
      <c r="Z42" s="25" t="str">
        <f t="array" ref="Z42">IFERROR(HYPERLINK("#KPI_Master!A"&amp;MATCH(SMALL(IF(KPI_Element_Map!$E$2:$E$287=$A42,KPI_Element_Map!$A$2:$A$287),COLUMNS($J42:Z42)),KPI_Master!$A:$A,0)&amp;":P"&amp;MATCH(SMALL(IF(KPI_Element_Map!$E$2:$E$287=$A42,KPI_Element_Map!$A$2:$A$287),COLUMNS($J42:Z42)),KPI_Master!$A:$A,0),SMALL(IF(KPI_Element_Map!$E$2:$E$287=$A42,KPI_Element_Map!$A$2:$A$287),COLUMNS($J42:Z42))),"")</f>
        <v/>
      </c>
      <c r="AA42" s="25" t="str">
        <f t="array" ref="AA42">IFERROR(HYPERLINK("#KPI_Master!A"&amp;MATCH(SMALL(IF(KPI_Element_Map!$E$2:$E$287=$A42,KPI_Element_Map!$A$2:$A$287),COLUMNS($J42:AA42)),KPI_Master!$A:$A,0)&amp;":P"&amp;MATCH(SMALL(IF(KPI_Element_Map!$E$2:$E$287=$A42,KPI_Element_Map!$A$2:$A$287),COLUMNS($J42:AA42)),KPI_Master!$A:$A,0),SMALL(IF(KPI_Element_Map!$E$2:$E$287=$A42,KPI_Element_Map!$A$2:$A$287),COLUMNS($J42:AA42))),"")</f>
        <v/>
      </c>
      <c r="AB42" s="25" t="str">
        <f t="array" ref="AB42">IFERROR(HYPERLINK("#KPI_Master!A"&amp;MATCH(SMALL(IF(KPI_Element_Map!$E$2:$E$287=$A42,KPI_Element_Map!$A$2:$A$287),COLUMNS($J42:AB42)),KPI_Master!$A:$A,0)&amp;":P"&amp;MATCH(SMALL(IF(KPI_Element_Map!$E$2:$E$287=$A42,KPI_Element_Map!$A$2:$A$287),COLUMNS($J42:AB42)),KPI_Master!$A:$A,0),SMALL(IF(KPI_Element_Map!$E$2:$E$287=$A42,KPI_Element_Map!$A$2:$A$287),COLUMNS($J42:AB42))),"")</f>
        <v/>
      </c>
      <c r="AC42" s="25" t="str">
        <f t="array" ref="AC42">IFERROR(HYPERLINK("#KPI_Master!A"&amp;MATCH(SMALL(IF(KPI_Element_Map!$E$2:$E$287=$A42,KPI_Element_Map!$A$2:$A$287),COLUMNS($J42:AC42)),KPI_Master!$A:$A,0)&amp;":P"&amp;MATCH(SMALL(IF(KPI_Element_Map!$E$2:$E$287=$A42,KPI_Element_Map!$A$2:$A$287),COLUMNS($J42:AC42)),KPI_Master!$A:$A,0),SMALL(IF(KPI_Element_Map!$E$2:$E$287=$A42,KPI_Element_Map!$A$2:$A$287),COLUMNS($J42:AC42))),"")</f>
        <v/>
      </c>
      <c r="AD42" s="25" t="str">
        <f t="array" ref="AD42">IFERROR(HYPERLINK("#KPI_Master!A"&amp;MATCH(SMALL(IF(KPI_Element_Map!$E$2:$E$287=$A42,KPI_Element_Map!$A$2:$A$287),COLUMNS($J42:AD42)),KPI_Master!$A:$A,0)&amp;":P"&amp;MATCH(SMALL(IF(KPI_Element_Map!$E$2:$E$287=$A42,KPI_Element_Map!$A$2:$A$287),COLUMNS($J42:AD42)),KPI_Master!$A:$A,0),SMALL(IF(KPI_Element_Map!$E$2:$E$287=$A42,KPI_Element_Map!$A$2:$A$287),COLUMNS($J42:AD42))),"")</f>
        <v/>
      </c>
      <c r="AE42" s="25" t="str">
        <f t="array" ref="AE42">IFERROR(HYPERLINK("#KPI_Master!A"&amp;MATCH(SMALL(IF(KPI_Element_Map!$E$2:$E$287=$A42,KPI_Element_Map!$A$2:$A$287),COLUMNS($J42:AE42)),KPI_Master!$A:$A,0)&amp;":P"&amp;MATCH(SMALL(IF(KPI_Element_Map!$E$2:$E$287=$A42,KPI_Element_Map!$A$2:$A$287),COLUMNS($J42:AE42)),KPI_Master!$A:$A,0),SMALL(IF(KPI_Element_Map!$E$2:$E$287=$A42,KPI_Element_Map!$A$2:$A$287),COLUMNS($J42:AE42))),"")</f>
        <v/>
      </c>
      <c r="AF42" s="25" t="str">
        <f t="array" ref="AF42">IFERROR(HYPERLINK("#KPI_Master!A"&amp;MATCH(SMALL(IF(KPI_Element_Map!$E$2:$E$287=$A42,KPI_Element_Map!$A$2:$A$287),COLUMNS($J42:AF42)),KPI_Master!$A:$A,0)&amp;":P"&amp;MATCH(SMALL(IF(KPI_Element_Map!$E$2:$E$287=$A42,KPI_Element_Map!$A$2:$A$287),COLUMNS($J42:AF42)),KPI_Master!$A:$A,0),SMALL(IF(KPI_Element_Map!$E$2:$E$287=$A42,KPI_Element_Map!$A$2:$A$287),COLUMNS($J42:AF42))),"")</f>
        <v/>
      </c>
      <c r="AG42" s="25" t="str">
        <f t="array" ref="AG42">IFERROR(HYPERLINK("#KPI_Master!A"&amp;MATCH(SMALL(IF(KPI_Element_Map!$E$2:$E$287=$A42,KPI_Element_Map!$A$2:$A$287),COLUMNS($J42:AG42)),KPI_Master!$A:$A,0)&amp;":P"&amp;MATCH(SMALL(IF(KPI_Element_Map!$E$2:$E$287=$A42,KPI_Element_Map!$A$2:$A$287),COLUMNS($J42:AG42)),KPI_Master!$A:$A,0),SMALL(IF(KPI_Element_Map!$E$2:$E$287=$A42,KPI_Element_Map!$A$2:$A$287),COLUMNS($J42:AG42))),"")</f>
        <v/>
      </c>
      <c r="AH42" s="25" t="str">
        <f t="array" ref="AH42">IFERROR(HYPERLINK("#KPI_Master!A"&amp;MATCH(SMALL(IF(KPI_Element_Map!$E$2:$E$287=$A42,KPI_Element_Map!$A$2:$A$287),COLUMNS($J42:AH42)),KPI_Master!$A:$A,0)&amp;":P"&amp;MATCH(SMALL(IF(KPI_Element_Map!$E$2:$E$287=$A42,KPI_Element_Map!$A$2:$A$287),COLUMNS($J42:AH42)),KPI_Master!$A:$A,0),SMALL(IF(KPI_Element_Map!$E$2:$E$287=$A42,KPI_Element_Map!$A$2:$A$287),COLUMNS($J42:AH42))),"")</f>
        <v/>
      </c>
    </row>
    <row r="43" spans="1:34">
      <c r="A43" s="21" t="s">
        <v>1056</v>
      </c>
      <c r="B43" s="22" t="s">
        <v>1057</v>
      </c>
      <c r="C43" s="23" t="s">
        <v>1058</v>
      </c>
      <c r="D43" s="23" t="str">
        <f t="array" ref="D43">_xlfn.TEXTJOIN(", ",TRUE(),IF(KPI_Element_Map!$E$2:$E$287=$A43,KPI_Element_Map!$A$2:$A$287,""))</f>
        <v>9, 83, 84, 90, 91, 94</v>
      </c>
      <c r="E43" s="21">
        <f>COUNTIF(KPI_Element_Map!$E$2:$E$287,$A43)</f>
        <v>6</v>
      </c>
      <c r="F43" s="21">
        <f>COUNTIFS(KPI_Element_Map!$E$2:$E$287,$A43,KPI_Element_Map!$D$2:$D$287,"1 - Core")</f>
        <v>1</v>
      </c>
      <c r="G43" s="24" t="s">
        <v>1059</v>
      </c>
      <c r="H43" s="23" t="str">
        <f>INDEX(Minimum_Documents!$B:$B,MATCH($G43,Minimum_Documents!$A:$A,0))</f>
        <v>EHR Clinical Assessment &amp; Care Plan Report</v>
      </c>
      <c r="J43" s="25">
        <f t="array" ref="J43">IFERROR(HYPERLINK("#KPI_Master!A"&amp;MATCH(SMALL(IF(KPI_Element_Map!$E$2:$E$287=$A43,KPI_Element_Map!$A$2:$A$287),COLUMNS($J43:J43)),KPI_Master!$A:$A,0)&amp;":P"&amp;MATCH(SMALL(IF(KPI_Element_Map!$E$2:$E$287=$A43,KPI_Element_Map!$A$2:$A$287),COLUMNS($J43:J43)),KPI_Master!$A:$A,0),SMALL(IF(KPI_Element_Map!$E$2:$E$287=$A43,KPI_Element_Map!$A$2:$A$287),COLUMNS($J43:J43))),"")</f>
        <v>9</v>
      </c>
      <c r="K43" s="25">
        <f t="array" ref="K43">IFERROR(HYPERLINK("#KPI_Master!A"&amp;MATCH(SMALL(IF(KPI_Element_Map!$E$2:$E$287=$A43,KPI_Element_Map!$A$2:$A$287),COLUMNS($J43:K43)),KPI_Master!$A:$A,0)&amp;":P"&amp;MATCH(SMALL(IF(KPI_Element_Map!$E$2:$E$287=$A43,KPI_Element_Map!$A$2:$A$287),COLUMNS($J43:K43)),KPI_Master!$A:$A,0),SMALL(IF(KPI_Element_Map!$E$2:$E$287=$A43,KPI_Element_Map!$A$2:$A$287),COLUMNS($J43:K43))),"")</f>
        <v>83</v>
      </c>
      <c r="L43" s="25">
        <f t="array" ref="L43">IFERROR(HYPERLINK("#KPI_Master!A"&amp;MATCH(SMALL(IF(KPI_Element_Map!$E$2:$E$287=$A43,KPI_Element_Map!$A$2:$A$287),COLUMNS($J43:L43)),KPI_Master!$A:$A,0)&amp;":P"&amp;MATCH(SMALL(IF(KPI_Element_Map!$E$2:$E$287=$A43,KPI_Element_Map!$A$2:$A$287),COLUMNS($J43:L43)),KPI_Master!$A:$A,0),SMALL(IF(KPI_Element_Map!$E$2:$E$287=$A43,KPI_Element_Map!$A$2:$A$287),COLUMNS($J43:L43))),"")</f>
        <v>84</v>
      </c>
      <c r="M43" s="25">
        <f t="array" ref="M43">IFERROR(HYPERLINK("#KPI_Master!A"&amp;MATCH(SMALL(IF(KPI_Element_Map!$E$2:$E$287=$A43,KPI_Element_Map!$A$2:$A$287),COLUMNS($J43:M43)),KPI_Master!$A:$A,0)&amp;":P"&amp;MATCH(SMALL(IF(KPI_Element_Map!$E$2:$E$287=$A43,KPI_Element_Map!$A$2:$A$287),COLUMNS($J43:M43)),KPI_Master!$A:$A,0),SMALL(IF(KPI_Element_Map!$E$2:$E$287=$A43,KPI_Element_Map!$A$2:$A$287),COLUMNS($J43:M43))),"")</f>
        <v>90</v>
      </c>
      <c r="N43" s="25">
        <f t="array" ref="N43">IFERROR(HYPERLINK("#KPI_Master!A"&amp;MATCH(SMALL(IF(KPI_Element_Map!$E$2:$E$287=$A43,KPI_Element_Map!$A$2:$A$287),COLUMNS($J43:N43)),KPI_Master!$A:$A,0)&amp;":P"&amp;MATCH(SMALL(IF(KPI_Element_Map!$E$2:$E$287=$A43,KPI_Element_Map!$A$2:$A$287),COLUMNS($J43:N43)),KPI_Master!$A:$A,0),SMALL(IF(KPI_Element_Map!$E$2:$E$287=$A43,KPI_Element_Map!$A$2:$A$287),COLUMNS($J43:N43))),"")</f>
        <v>91</v>
      </c>
      <c r="O43" s="25">
        <f t="array" ref="O43">IFERROR(HYPERLINK("#KPI_Master!A"&amp;MATCH(SMALL(IF(KPI_Element_Map!$E$2:$E$287=$A43,KPI_Element_Map!$A$2:$A$287),COLUMNS($J43:O43)),KPI_Master!$A:$A,0)&amp;":P"&amp;MATCH(SMALL(IF(KPI_Element_Map!$E$2:$E$287=$A43,KPI_Element_Map!$A$2:$A$287),COLUMNS($J43:O43)),KPI_Master!$A:$A,0),SMALL(IF(KPI_Element_Map!$E$2:$E$287=$A43,KPI_Element_Map!$A$2:$A$287),COLUMNS($J43:O43))),"")</f>
        <v>94</v>
      </c>
      <c r="P43" s="25" t="str">
        <f t="array" ref="P43">IFERROR(HYPERLINK("#KPI_Master!A"&amp;MATCH(SMALL(IF(KPI_Element_Map!$E$2:$E$287=$A43,KPI_Element_Map!$A$2:$A$287),COLUMNS($J43:P43)),KPI_Master!$A:$A,0)&amp;":P"&amp;MATCH(SMALL(IF(KPI_Element_Map!$E$2:$E$287=$A43,KPI_Element_Map!$A$2:$A$287),COLUMNS($J43:P43)),KPI_Master!$A:$A,0),SMALL(IF(KPI_Element_Map!$E$2:$E$287=$A43,KPI_Element_Map!$A$2:$A$287),COLUMNS($J43:P43))),"")</f>
        <v/>
      </c>
      <c r="Q43" s="25" t="str">
        <f t="array" ref="Q43">IFERROR(HYPERLINK("#KPI_Master!A"&amp;MATCH(SMALL(IF(KPI_Element_Map!$E$2:$E$287=$A43,KPI_Element_Map!$A$2:$A$287),COLUMNS($J43:Q43)),KPI_Master!$A:$A,0)&amp;":P"&amp;MATCH(SMALL(IF(KPI_Element_Map!$E$2:$E$287=$A43,KPI_Element_Map!$A$2:$A$287),COLUMNS($J43:Q43)),KPI_Master!$A:$A,0),SMALL(IF(KPI_Element_Map!$E$2:$E$287=$A43,KPI_Element_Map!$A$2:$A$287),COLUMNS($J43:Q43))),"")</f>
        <v/>
      </c>
      <c r="R43" s="25" t="str">
        <f t="array" ref="R43">IFERROR(HYPERLINK("#KPI_Master!A"&amp;MATCH(SMALL(IF(KPI_Element_Map!$E$2:$E$287=$A43,KPI_Element_Map!$A$2:$A$287),COLUMNS($J43:R43)),KPI_Master!$A:$A,0)&amp;":P"&amp;MATCH(SMALL(IF(KPI_Element_Map!$E$2:$E$287=$A43,KPI_Element_Map!$A$2:$A$287),COLUMNS($J43:R43)),KPI_Master!$A:$A,0),SMALL(IF(KPI_Element_Map!$E$2:$E$287=$A43,KPI_Element_Map!$A$2:$A$287),COLUMNS($J43:R43))),"")</f>
        <v/>
      </c>
      <c r="S43" s="25" t="str">
        <f t="array" ref="S43">IFERROR(HYPERLINK("#KPI_Master!A"&amp;MATCH(SMALL(IF(KPI_Element_Map!$E$2:$E$287=$A43,KPI_Element_Map!$A$2:$A$287),COLUMNS($J43:S43)),KPI_Master!$A:$A,0)&amp;":P"&amp;MATCH(SMALL(IF(KPI_Element_Map!$E$2:$E$287=$A43,KPI_Element_Map!$A$2:$A$287),COLUMNS($J43:S43)),KPI_Master!$A:$A,0),SMALL(IF(KPI_Element_Map!$E$2:$E$287=$A43,KPI_Element_Map!$A$2:$A$287),COLUMNS($J43:S43))),"")</f>
        <v/>
      </c>
      <c r="T43" s="25" t="str">
        <f t="array" ref="T43">IFERROR(HYPERLINK("#KPI_Master!A"&amp;MATCH(SMALL(IF(KPI_Element_Map!$E$2:$E$287=$A43,KPI_Element_Map!$A$2:$A$287),COLUMNS($J43:T43)),KPI_Master!$A:$A,0)&amp;":P"&amp;MATCH(SMALL(IF(KPI_Element_Map!$E$2:$E$287=$A43,KPI_Element_Map!$A$2:$A$287),COLUMNS($J43:T43)),KPI_Master!$A:$A,0),SMALL(IF(KPI_Element_Map!$E$2:$E$287=$A43,KPI_Element_Map!$A$2:$A$287),COLUMNS($J43:T43))),"")</f>
        <v/>
      </c>
      <c r="U43" s="25" t="str">
        <f t="array" ref="U43">IFERROR(HYPERLINK("#KPI_Master!A"&amp;MATCH(SMALL(IF(KPI_Element_Map!$E$2:$E$287=$A43,KPI_Element_Map!$A$2:$A$287),COLUMNS($J43:U43)),KPI_Master!$A:$A,0)&amp;":P"&amp;MATCH(SMALL(IF(KPI_Element_Map!$E$2:$E$287=$A43,KPI_Element_Map!$A$2:$A$287),COLUMNS($J43:U43)),KPI_Master!$A:$A,0),SMALL(IF(KPI_Element_Map!$E$2:$E$287=$A43,KPI_Element_Map!$A$2:$A$287),COLUMNS($J43:U43))),"")</f>
        <v/>
      </c>
      <c r="V43" s="25" t="str">
        <f t="array" ref="V43">IFERROR(HYPERLINK("#KPI_Master!A"&amp;MATCH(SMALL(IF(KPI_Element_Map!$E$2:$E$287=$A43,KPI_Element_Map!$A$2:$A$287),COLUMNS($J43:V43)),KPI_Master!$A:$A,0)&amp;":P"&amp;MATCH(SMALL(IF(KPI_Element_Map!$E$2:$E$287=$A43,KPI_Element_Map!$A$2:$A$287),COLUMNS($J43:V43)),KPI_Master!$A:$A,0),SMALL(IF(KPI_Element_Map!$E$2:$E$287=$A43,KPI_Element_Map!$A$2:$A$287),COLUMNS($J43:V43))),"")</f>
        <v/>
      </c>
      <c r="W43" s="25" t="str">
        <f t="array" ref="W43">IFERROR(HYPERLINK("#KPI_Master!A"&amp;MATCH(SMALL(IF(KPI_Element_Map!$E$2:$E$287=$A43,KPI_Element_Map!$A$2:$A$287),COLUMNS($J43:W43)),KPI_Master!$A:$A,0)&amp;":P"&amp;MATCH(SMALL(IF(KPI_Element_Map!$E$2:$E$287=$A43,KPI_Element_Map!$A$2:$A$287),COLUMNS($J43:W43)),KPI_Master!$A:$A,0),SMALL(IF(KPI_Element_Map!$E$2:$E$287=$A43,KPI_Element_Map!$A$2:$A$287),COLUMNS($J43:W43))),"")</f>
        <v/>
      </c>
      <c r="X43" s="25" t="str">
        <f t="array" ref="X43">IFERROR(HYPERLINK("#KPI_Master!A"&amp;MATCH(SMALL(IF(KPI_Element_Map!$E$2:$E$287=$A43,KPI_Element_Map!$A$2:$A$287),COLUMNS($J43:X43)),KPI_Master!$A:$A,0)&amp;":P"&amp;MATCH(SMALL(IF(KPI_Element_Map!$E$2:$E$287=$A43,KPI_Element_Map!$A$2:$A$287),COLUMNS($J43:X43)),KPI_Master!$A:$A,0),SMALL(IF(KPI_Element_Map!$E$2:$E$287=$A43,KPI_Element_Map!$A$2:$A$287),COLUMNS($J43:X43))),"")</f>
        <v/>
      </c>
      <c r="Y43" s="25" t="str">
        <f t="array" ref="Y43">IFERROR(HYPERLINK("#KPI_Master!A"&amp;MATCH(SMALL(IF(KPI_Element_Map!$E$2:$E$287=$A43,KPI_Element_Map!$A$2:$A$287),COLUMNS($J43:Y43)),KPI_Master!$A:$A,0)&amp;":P"&amp;MATCH(SMALL(IF(KPI_Element_Map!$E$2:$E$287=$A43,KPI_Element_Map!$A$2:$A$287),COLUMNS($J43:Y43)),KPI_Master!$A:$A,0),SMALL(IF(KPI_Element_Map!$E$2:$E$287=$A43,KPI_Element_Map!$A$2:$A$287),COLUMNS($J43:Y43))),"")</f>
        <v/>
      </c>
      <c r="Z43" s="25" t="str">
        <f t="array" ref="Z43">IFERROR(HYPERLINK("#KPI_Master!A"&amp;MATCH(SMALL(IF(KPI_Element_Map!$E$2:$E$287=$A43,KPI_Element_Map!$A$2:$A$287),COLUMNS($J43:Z43)),KPI_Master!$A:$A,0)&amp;":P"&amp;MATCH(SMALL(IF(KPI_Element_Map!$E$2:$E$287=$A43,KPI_Element_Map!$A$2:$A$287),COLUMNS($J43:Z43)),KPI_Master!$A:$A,0),SMALL(IF(KPI_Element_Map!$E$2:$E$287=$A43,KPI_Element_Map!$A$2:$A$287),COLUMNS($J43:Z43))),"")</f>
        <v/>
      </c>
      <c r="AA43" s="25" t="str">
        <f t="array" ref="AA43">IFERROR(HYPERLINK("#KPI_Master!A"&amp;MATCH(SMALL(IF(KPI_Element_Map!$E$2:$E$287=$A43,KPI_Element_Map!$A$2:$A$287),COLUMNS($J43:AA43)),KPI_Master!$A:$A,0)&amp;":P"&amp;MATCH(SMALL(IF(KPI_Element_Map!$E$2:$E$287=$A43,KPI_Element_Map!$A$2:$A$287),COLUMNS($J43:AA43)),KPI_Master!$A:$A,0),SMALL(IF(KPI_Element_Map!$E$2:$E$287=$A43,KPI_Element_Map!$A$2:$A$287),COLUMNS($J43:AA43))),"")</f>
        <v/>
      </c>
      <c r="AB43" s="25" t="str">
        <f t="array" ref="AB43">IFERROR(HYPERLINK("#KPI_Master!A"&amp;MATCH(SMALL(IF(KPI_Element_Map!$E$2:$E$287=$A43,KPI_Element_Map!$A$2:$A$287),COLUMNS($J43:AB43)),KPI_Master!$A:$A,0)&amp;":P"&amp;MATCH(SMALL(IF(KPI_Element_Map!$E$2:$E$287=$A43,KPI_Element_Map!$A$2:$A$287),COLUMNS($J43:AB43)),KPI_Master!$A:$A,0),SMALL(IF(KPI_Element_Map!$E$2:$E$287=$A43,KPI_Element_Map!$A$2:$A$287),COLUMNS($J43:AB43))),"")</f>
        <v/>
      </c>
      <c r="AC43" s="25" t="str">
        <f t="array" ref="AC43">IFERROR(HYPERLINK("#KPI_Master!A"&amp;MATCH(SMALL(IF(KPI_Element_Map!$E$2:$E$287=$A43,KPI_Element_Map!$A$2:$A$287),COLUMNS($J43:AC43)),KPI_Master!$A:$A,0)&amp;":P"&amp;MATCH(SMALL(IF(KPI_Element_Map!$E$2:$E$287=$A43,KPI_Element_Map!$A$2:$A$287),COLUMNS($J43:AC43)),KPI_Master!$A:$A,0),SMALL(IF(KPI_Element_Map!$E$2:$E$287=$A43,KPI_Element_Map!$A$2:$A$287),COLUMNS($J43:AC43))),"")</f>
        <v/>
      </c>
      <c r="AD43" s="25" t="str">
        <f t="array" ref="AD43">IFERROR(HYPERLINK("#KPI_Master!A"&amp;MATCH(SMALL(IF(KPI_Element_Map!$E$2:$E$287=$A43,KPI_Element_Map!$A$2:$A$287),COLUMNS($J43:AD43)),KPI_Master!$A:$A,0)&amp;":P"&amp;MATCH(SMALL(IF(KPI_Element_Map!$E$2:$E$287=$A43,KPI_Element_Map!$A$2:$A$287),COLUMNS($J43:AD43)),KPI_Master!$A:$A,0),SMALL(IF(KPI_Element_Map!$E$2:$E$287=$A43,KPI_Element_Map!$A$2:$A$287),COLUMNS($J43:AD43))),"")</f>
        <v/>
      </c>
      <c r="AE43" s="25" t="str">
        <f t="array" ref="AE43">IFERROR(HYPERLINK("#KPI_Master!A"&amp;MATCH(SMALL(IF(KPI_Element_Map!$E$2:$E$287=$A43,KPI_Element_Map!$A$2:$A$287),COLUMNS($J43:AE43)),KPI_Master!$A:$A,0)&amp;":P"&amp;MATCH(SMALL(IF(KPI_Element_Map!$E$2:$E$287=$A43,KPI_Element_Map!$A$2:$A$287),COLUMNS($J43:AE43)),KPI_Master!$A:$A,0),SMALL(IF(KPI_Element_Map!$E$2:$E$287=$A43,KPI_Element_Map!$A$2:$A$287),COLUMNS($J43:AE43))),"")</f>
        <v/>
      </c>
      <c r="AF43" s="25" t="str">
        <f t="array" ref="AF43">IFERROR(HYPERLINK("#KPI_Master!A"&amp;MATCH(SMALL(IF(KPI_Element_Map!$E$2:$E$287=$A43,KPI_Element_Map!$A$2:$A$287),COLUMNS($J43:AF43)),KPI_Master!$A:$A,0)&amp;":P"&amp;MATCH(SMALL(IF(KPI_Element_Map!$E$2:$E$287=$A43,KPI_Element_Map!$A$2:$A$287),COLUMNS($J43:AF43)),KPI_Master!$A:$A,0),SMALL(IF(KPI_Element_Map!$E$2:$E$287=$A43,KPI_Element_Map!$A$2:$A$287),COLUMNS($J43:AF43))),"")</f>
        <v/>
      </c>
      <c r="AG43" s="25" t="str">
        <f t="array" ref="AG43">IFERROR(HYPERLINK("#KPI_Master!A"&amp;MATCH(SMALL(IF(KPI_Element_Map!$E$2:$E$287=$A43,KPI_Element_Map!$A$2:$A$287),COLUMNS($J43:AG43)),KPI_Master!$A:$A,0)&amp;":P"&amp;MATCH(SMALL(IF(KPI_Element_Map!$E$2:$E$287=$A43,KPI_Element_Map!$A$2:$A$287),COLUMNS($J43:AG43)),KPI_Master!$A:$A,0),SMALL(IF(KPI_Element_Map!$E$2:$E$287=$A43,KPI_Element_Map!$A$2:$A$287),COLUMNS($J43:AG43))),"")</f>
        <v/>
      </c>
      <c r="AH43" s="25" t="str">
        <f t="array" ref="AH43">IFERROR(HYPERLINK("#KPI_Master!A"&amp;MATCH(SMALL(IF(KPI_Element_Map!$E$2:$E$287=$A43,KPI_Element_Map!$A$2:$A$287),COLUMNS($J43:AH43)),KPI_Master!$A:$A,0)&amp;":P"&amp;MATCH(SMALL(IF(KPI_Element_Map!$E$2:$E$287=$A43,KPI_Element_Map!$A$2:$A$287),COLUMNS($J43:AH43)),KPI_Master!$A:$A,0),SMALL(IF(KPI_Element_Map!$E$2:$E$287=$A43,KPI_Element_Map!$A$2:$A$287),COLUMNS($J43:AH43))),"")</f>
        <v/>
      </c>
    </row>
    <row r="44" spans="1:34">
      <c r="A44" s="21" t="s">
        <v>1060</v>
      </c>
      <c r="B44" s="22" t="s">
        <v>1061</v>
      </c>
      <c r="C44" s="23" t="s">
        <v>1062</v>
      </c>
      <c r="D44" s="23" t="str">
        <f t="array" ref="D44">_xlfn.TEXTJOIN(", ",TRUE(),IF(KPI_Element_Map!$E$2:$E$287=$A44,KPI_Element_Map!$A$2:$A$287,""))</f>
        <v>8, 92, 93</v>
      </c>
      <c r="E44" s="21">
        <f>COUNTIF(KPI_Element_Map!$E$2:$E$287,$A44)</f>
        <v>3</v>
      </c>
      <c r="F44" s="21">
        <f>COUNTIFS(KPI_Element_Map!$E$2:$E$287,$A44,KPI_Element_Map!$D$2:$D$287,"1 - Core")</f>
        <v>0</v>
      </c>
      <c r="G44" s="24" t="s">
        <v>1059</v>
      </c>
      <c r="H44" s="23" t="str">
        <f>INDEX(Minimum_Documents!$B:$B,MATCH($G44,Minimum_Documents!$A:$A,0))</f>
        <v>EHR Clinical Assessment &amp; Care Plan Report</v>
      </c>
      <c r="J44" s="25">
        <f t="array" ref="J44">IFERROR(HYPERLINK("#KPI_Master!A"&amp;MATCH(SMALL(IF(KPI_Element_Map!$E$2:$E$287=$A44,KPI_Element_Map!$A$2:$A$287),COLUMNS($J44:J44)),KPI_Master!$A:$A,0)&amp;":P"&amp;MATCH(SMALL(IF(KPI_Element_Map!$E$2:$E$287=$A44,KPI_Element_Map!$A$2:$A$287),COLUMNS($J44:J44)),KPI_Master!$A:$A,0),SMALL(IF(KPI_Element_Map!$E$2:$E$287=$A44,KPI_Element_Map!$A$2:$A$287),COLUMNS($J44:J44))),"")</f>
        <v>8</v>
      </c>
      <c r="K44" s="25">
        <f t="array" ref="K44">IFERROR(HYPERLINK("#KPI_Master!A"&amp;MATCH(SMALL(IF(KPI_Element_Map!$E$2:$E$287=$A44,KPI_Element_Map!$A$2:$A$287),COLUMNS($J44:K44)),KPI_Master!$A:$A,0)&amp;":P"&amp;MATCH(SMALL(IF(KPI_Element_Map!$E$2:$E$287=$A44,KPI_Element_Map!$A$2:$A$287),COLUMNS($J44:K44)),KPI_Master!$A:$A,0),SMALL(IF(KPI_Element_Map!$E$2:$E$287=$A44,KPI_Element_Map!$A$2:$A$287),COLUMNS($J44:K44))),"")</f>
        <v>92</v>
      </c>
      <c r="L44" s="25">
        <f t="array" ref="L44">IFERROR(HYPERLINK("#KPI_Master!A"&amp;MATCH(SMALL(IF(KPI_Element_Map!$E$2:$E$287=$A44,KPI_Element_Map!$A$2:$A$287),COLUMNS($J44:L44)),KPI_Master!$A:$A,0)&amp;":P"&amp;MATCH(SMALL(IF(KPI_Element_Map!$E$2:$E$287=$A44,KPI_Element_Map!$A$2:$A$287),COLUMNS($J44:L44)),KPI_Master!$A:$A,0),SMALL(IF(KPI_Element_Map!$E$2:$E$287=$A44,KPI_Element_Map!$A$2:$A$287),COLUMNS($J44:L44))),"")</f>
        <v>93</v>
      </c>
      <c r="M44" s="25" t="str">
        <f t="array" ref="M44">IFERROR(HYPERLINK("#KPI_Master!A"&amp;MATCH(SMALL(IF(KPI_Element_Map!$E$2:$E$287=$A44,KPI_Element_Map!$A$2:$A$287),COLUMNS($J44:M44)),KPI_Master!$A:$A,0)&amp;":P"&amp;MATCH(SMALL(IF(KPI_Element_Map!$E$2:$E$287=$A44,KPI_Element_Map!$A$2:$A$287),COLUMNS($J44:M44)),KPI_Master!$A:$A,0),SMALL(IF(KPI_Element_Map!$E$2:$E$287=$A44,KPI_Element_Map!$A$2:$A$287),COLUMNS($J44:M44))),"")</f>
        <v/>
      </c>
      <c r="N44" s="25" t="str">
        <f t="array" ref="N44">IFERROR(HYPERLINK("#KPI_Master!A"&amp;MATCH(SMALL(IF(KPI_Element_Map!$E$2:$E$287=$A44,KPI_Element_Map!$A$2:$A$287),COLUMNS($J44:N44)),KPI_Master!$A:$A,0)&amp;":P"&amp;MATCH(SMALL(IF(KPI_Element_Map!$E$2:$E$287=$A44,KPI_Element_Map!$A$2:$A$287),COLUMNS($J44:N44)),KPI_Master!$A:$A,0),SMALL(IF(KPI_Element_Map!$E$2:$E$287=$A44,KPI_Element_Map!$A$2:$A$287),COLUMNS($J44:N44))),"")</f>
        <v/>
      </c>
      <c r="O44" s="25" t="str">
        <f t="array" ref="O44">IFERROR(HYPERLINK("#KPI_Master!A"&amp;MATCH(SMALL(IF(KPI_Element_Map!$E$2:$E$287=$A44,KPI_Element_Map!$A$2:$A$287),COLUMNS($J44:O44)),KPI_Master!$A:$A,0)&amp;":P"&amp;MATCH(SMALL(IF(KPI_Element_Map!$E$2:$E$287=$A44,KPI_Element_Map!$A$2:$A$287),COLUMNS($J44:O44)),KPI_Master!$A:$A,0),SMALL(IF(KPI_Element_Map!$E$2:$E$287=$A44,KPI_Element_Map!$A$2:$A$287),COLUMNS($J44:O44))),"")</f>
        <v/>
      </c>
      <c r="P44" s="25" t="str">
        <f t="array" ref="P44">IFERROR(HYPERLINK("#KPI_Master!A"&amp;MATCH(SMALL(IF(KPI_Element_Map!$E$2:$E$287=$A44,KPI_Element_Map!$A$2:$A$287),COLUMNS($J44:P44)),KPI_Master!$A:$A,0)&amp;":P"&amp;MATCH(SMALL(IF(KPI_Element_Map!$E$2:$E$287=$A44,KPI_Element_Map!$A$2:$A$287),COLUMNS($J44:P44)),KPI_Master!$A:$A,0),SMALL(IF(KPI_Element_Map!$E$2:$E$287=$A44,KPI_Element_Map!$A$2:$A$287),COLUMNS($J44:P44))),"")</f>
        <v/>
      </c>
      <c r="Q44" s="25" t="str">
        <f t="array" ref="Q44">IFERROR(HYPERLINK("#KPI_Master!A"&amp;MATCH(SMALL(IF(KPI_Element_Map!$E$2:$E$287=$A44,KPI_Element_Map!$A$2:$A$287),COLUMNS($J44:Q44)),KPI_Master!$A:$A,0)&amp;":P"&amp;MATCH(SMALL(IF(KPI_Element_Map!$E$2:$E$287=$A44,KPI_Element_Map!$A$2:$A$287),COLUMNS($J44:Q44)),KPI_Master!$A:$A,0),SMALL(IF(KPI_Element_Map!$E$2:$E$287=$A44,KPI_Element_Map!$A$2:$A$287),COLUMNS($J44:Q44))),"")</f>
        <v/>
      </c>
      <c r="R44" s="25" t="str">
        <f t="array" ref="R44">IFERROR(HYPERLINK("#KPI_Master!A"&amp;MATCH(SMALL(IF(KPI_Element_Map!$E$2:$E$287=$A44,KPI_Element_Map!$A$2:$A$287),COLUMNS($J44:R44)),KPI_Master!$A:$A,0)&amp;":P"&amp;MATCH(SMALL(IF(KPI_Element_Map!$E$2:$E$287=$A44,KPI_Element_Map!$A$2:$A$287),COLUMNS($J44:R44)),KPI_Master!$A:$A,0),SMALL(IF(KPI_Element_Map!$E$2:$E$287=$A44,KPI_Element_Map!$A$2:$A$287),COLUMNS($J44:R44))),"")</f>
        <v/>
      </c>
      <c r="S44" s="25" t="str">
        <f t="array" ref="S44">IFERROR(HYPERLINK("#KPI_Master!A"&amp;MATCH(SMALL(IF(KPI_Element_Map!$E$2:$E$287=$A44,KPI_Element_Map!$A$2:$A$287),COLUMNS($J44:S44)),KPI_Master!$A:$A,0)&amp;":P"&amp;MATCH(SMALL(IF(KPI_Element_Map!$E$2:$E$287=$A44,KPI_Element_Map!$A$2:$A$287),COLUMNS($J44:S44)),KPI_Master!$A:$A,0),SMALL(IF(KPI_Element_Map!$E$2:$E$287=$A44,KPI_Element_Map!$A$2:$A$287),COLUMNS($J44:S44))),"")</f>
        <v/>
      </c>
      <c r="T44" s="25" t="str">
        <f t="array" ref="T44">IFERROR(HYPERLINK("#KPI_Master!A"&amp;MATCH(SMALL(IF(KPI_Element_Map!$E$2:$E$287=$A44,KPI_Element_Map!$A$2:$A$287),COLUMNS($J44:T44)),KPI_Master!$A:$A,0)&amp;":P"&amp;MATCH(SMALL(IF(KPI_Element_Map!$E$2:$E$287=$A44,KPI_Element_Map!$A$2:$A$287),COLUMNS($J44:T44)),KPI_Master!$A:$A,0),SMALL(IF(KPI_Element_Map!$E$2:$E$287=$A44,KPI_Element_Map!$A$2:$A$287),COLUMNS($J44:T44))),"")</f>
        <v/>
      </c>
      <c r="U44" s="25" t="str">
        <f t="array" ref="U44">IFERROR(HYPERLINK("#KPI_Master!A"&amp;MATCH(SMALL(IF(KPI_Element_Map!$E$2:$E$287=$A44,KPI_Element_Map!$A$2:$A$287),COLUMNS($J44:U44)),KPI_Master!$A:$A,0)&amp;":P"&amp;MATCH(SMALL(IF(KPI_Element_Map!$E$2:$E$287=$A44,KPI_Element_Map!$A$2:$A$287),COLUMNS($J44:U44)),KPI_Master!$A:$A,0),SMALL(IF(KPI_Element_Map!$E$2:$E$287=$A44,KPI_Element_Map!$A$2:$A$287),COLUMNS($J44:U44))),"")</f>
        <v/>
      </c>
      <c r="V44" s="25" t="str">
        <f t="array" ref="V44">IFERROR(HYPERLINK("#KPI_Master!A"&amp;MATCH(SMALL(IF(KPI_Element_Map!$E$2:$E$287=$A44,KPI_Element_Map!$A$2:$A$287),COLUMNS($J44:V44)),KPI_Master!$A:$A,0)&amp;":P"&amp;MATCH(SMALL(IF(KPI_Element_Map!$E$2:$E$287=$A44,KPI_Element_Map!$A$2:$A$287),COLUMNS($J44:V44)),KPI_Master!$A:$A,0),SMALL(IF(KPI_Element_Map!$E$2:$E$287=$A44,KPI_Element_Map!$A$2:$A$287),COLUMNS($J44:V44))),"")</f>
        <v/>
      </c>
      <c r="W44" s="25" t="str">
        <f t="array" ref="W44">IFERROR(HYPERLINK("#KPI_Master!A"&amp;MATCH(SMALL(IF(KPI_Element_Map!$E$2:$E$287=$A44,KPI_Element_Map!$A$2:$A$287),COLUMNS($J44:W44)),KPI_Master!$A:$A,0)&amp;":P"&amp;MATCH(SMALL(IF(KPI_Element_Map!$E$2:$E$287=$A44,KPI_Element_Map!$A$2:$A$287),COLUMNS($J44:W44)),KPI_Master!$A:$A,0),SMALL(IF(KPI_Element_Map!$E$2:$E$287=$A44,KPI_Element_Map!$A$2:$A$287),COLUMNS($J44:W44))),"")</f>
        <v/>
      </c>
      <c r="X44" s="25" t="str">
        <f t="array" ref="X44">IFERROR(HYPERLINK("#KPI_Master!A"&amp;MATCH(SMALL(IF(KPI_Element_Map!$E$2:$E$287=$A44,KPI_Element_Map!$A$2:$A$287),COLUMNS($J44:X44)),KPI_Master!$A:$A,0)&amp;":P"&amp;MATCH(SMALL(IF(KPI_Element_Map!$E$2:$E$287=$A44,KPI_Element_Map!$A$2:$A$287),COLUMNS($J44:X44)),KPI_Master!$A:$A,0),SMALL(IF(KPI_Element_Map!$E$2:$E$287=$A44,KPI_Element_Map!$A$2:$A$287),COLUMNS($J44:X44))),"")</f>
        <v/>
      </c>
      <c r="Y44" s="25" t="str">
        <f t="array" ref="Y44">IFERROR(HYPERLINK("#KPI_Master!A"&amp;MATCH(SMALL(IF(KPI_Element_Map!$E$2:$E$287=$A44,KPI_Element_Map!$A$2:$A$287),COLUMNS($J44:Y44)),KPI_Master!$A:$A,0)&amp;":P"&amp;MATCH(SMALL(IF(KPI_Element_Map!$E$2:$E$287=$A44,KPI_Element_Map!$A$2:$A$287),COLUMNS($J44:Y44)),KPI_Master!$A:$A,0),SMALL(IF(KPI_Element_Map!$E$2:$E$287=$A44,KPI_Element_Map!$A$2:$A$287),COLUMNS($J44:Y44))),"")</f>
        <v/>
      </c>
      <c r="Z44" s="25" t="str">
        <f t="array" ref="Z44">IFERROR(HYPERLINK("#KPI_Master!A"&amp;MATCH(SMALL(IF(KPI_Element_Map!$E$2:$E$287=$A44,KPI_Element_Map!$A$2:$A$287),COLUMNS($J44:Z44)),KPI_Master!$A:$A,0)&amp;":P"&amp;MATCH(SMALL(IF(KPI_Element_Map!$E$2:$E$287=$A44,KPI_Element_Map!$A$2:$A$287),COLUMNS($J44:Z44)),KPI_Master!$A:$A,0),SMALL(IF(KPI_Element_Map!$E$2:$E$287=$A44,KPI_Element_Map!$A$2:$A$287),COLUMNS($J44:Z44))),"")</f>
        <v/>
      </c>
      <c r="AA44" s="25" t="str">
        <f t="array" ref="AA44">IFERROR(HYPERLINK("#KPI_Master!A"&amp;MATCH(SMALL(IF(KPI_Element_Map!$E$2:$E$287=$A44,KPI_Element_Map!$A$2:$A$287),COLUMNS($J44:AA44)),KPI_Master!$A:$A,0)&amp;":P"&amp;MATCH(SMALL(IF(KPI_Element_Map!$E$2:$E$287=$A44,KPI_Element_Map!$A$2:$A$287),COLUMNS($J44:AA44)),KPI_Master!$A:$A,0),SMALL(IF(KPI_Element_Map!$E$2:$E$287=$A44,KPI_Element_Map!$A$2:$A$287),COLUMNS($J44:AA44))),"")</f>
        <v/>
      </c>
      <c r="AB44" s="25" t="str">
        <f t="array" ref="AB44">IFERROR(HYPERLINK("#KPI_Master!A"&amp;MATCH(SMALL(IF(KPI_Element_Map!$E$2:$E$287=$A44,KPI_Element_Map!$A$2:$A$287),COLUMNS($J44:AB44)),KPI_Master!$A:$A,0)&amp;":P"&amp;MATCH(SMALL(IF(KPI_Element_Map!$E$2:$E$287=$A44,KPI_Element_Map!$A$2:$A$287),COLUMNS($J44:AB44)),KPI_Master!$A:$A,0),SMALL(IF(KPI_Element_Map!$E$2:$E$287=$A44,KPI_Element_Map!$A$2:$A$287),COLUMNS($J44:AB44))),"")</f>
        <v/>
      </c>
      <c r="AC44" s="25" t="str">
        <f t="array" ref="AC44">IFERROR(HYPERLINK("#KPI_Master!A"&amp;MATCH(SMALL(IF(KPI_Element_Map!$E$2:$E$287=$A44,KPI_Element_Map!$A$2:$A$287),COLUMNS($J44:AC44)),KPI_Master!$A:$A,0)&amp;":P"&amp;MATCH(SMALL(IF(KPI_Element_Map!$E$2:$E$287=$A44,KPI_Element_Map!$A$2:$A$287),COLUMNS($J44:AC44)),KPI_Master!$A:$A,0),SMALL(IF(KPI_Element_Map!$E$2:$E$287=$A44,KPI_Element_Map!$A$2:$A$287),COLUMNS($J44:AC44))),"")</f>
        <v/>
      </c>
      <c r="AD44" s="25" t="str">
        <f t="array" ref="AD44">IFERROR(HYPERLINK("#KPI_Master!A"&amp;MATCH(SMALL(IF(KPI_Element_Map!$E$2:$E$287=$A44,KPI_Element_Map!$A$2:$A$287),COLUMNS($J44:AD44)),KPI_Master!$A:$A,0)&amp;":P"&amp;MATCH(SMALL(IF(KPI_Element_Map!$E$2:$E$287=$A44,KPI_Element_Map!$A$2:$A$287),COLUMNS($J44:AD44)),KPI_Master!$A:$A,0),SMALL(IF(KPI_Element_Map!$E$2:$E$287=$A44,KPI_Element_Map!$A$2:$A$287),COLUMNS($J44:AD44))),"")</f>
        <v/>
      </c>
      <c r="AE44" s="25" t="str">
        <f t="array" ref="AE44">IFERROR(HYPERLINK("#KPI_Master!A"&amp;MATCH(SMALL(IF(KPI_Element_Map!$E$2:$E$287=$A44,KPI_Element_Map!$A$2:$A$287),COLUMNS($J44:AE44)),KPI_Master!$A:$A,0)&amp;":P"&amp;MATCH(SMALL(IF(KPI_Element_Map!$E$2:$E$287=$A44,KPI_Element_Map!$A$2:$A$287),COLUMNS($J44:AE44)),KPI_Master!$A:$A,0),SMALL(IF(KPI_Element_Map!$E$2:$E$287=$A44,KPI_Element_Map!$A$2:$A$287),COLUMNS($J44:AE44))),"")</f>
        <v/>
      </c>
      <c r="AF44" s="25" t="str">
        <f t="array" ref="AF44">IFERROR(HYPERLINK("#KPI_Master!A"&amp;MATCH(SMALL(IF(KPI_Element_Map!$E$2:$E$287=$A44,KPI_Element_Map!$A$2:$A$287),COLUMNS($J44:AF44)),KPI_Master!$A:$A,0)&amp;":P"&amp;MATCH(SMALL(IF(KPI_Element_Map!$E$2:$E$287=$A44,KPI_Element_Map!$A$2:$A$287),COLUMNS($J44:AF44)),KPI_Master!$A:$A,0),SMALL(IF(KPI_Element_Map!$E$2:$E$287=$A44,KPI_Element_Map!$A$2:$A$287),COLUMNS($J44:AF44))),"")</f>
        <v/>
      </c>
      <c r="AG44" s="25" t="str">
        <f t="array" ref="AG44">IFERROR(HYPERLINK("#KPI_Master!A"&amp;MATCH(SMALL(IF(KPI_Element_Map!$E$2:$E$287=$A44,KPI_Element_Map!$A$2:$A$287),COLUMNS($J44:AG44)),KPI_Master!$A:$A,0)&amp;":P"&amp;MATCH(SMALL(IF(KPI_Element_Map!$E$2:$E$287=$A44,KPI_Element_Map!$A$2:$A$287),COLUMNS($J44:AG44)),KPI_Master!$A:$A,0),SMALL(IF(KPI_Element_Map!$E$2:$E$287=$A44,KPI_Element_Map!$A$2:$A$287),COLUMNS($J44:AG44))),"")</f>
        <v/>
      </c>
      <c r="AH44" s="25" t="str">
        <f t="array" ref="AH44">IFERROR(HYPERLINK("#KPI_Master!A"&amp;MATCH(SMALL(IF(KPI_Element_Map!$E$2:$E$287=$A44,KPI_Element_Map!$A$2:$A$287),COLUMNS($J44:AH44)),KPI_Master!$A:$A,0)&amp;":P"&amp;MATCH(SMALL(IF(KPI_Element_Map!$E$2:$E$287=$A44,KPI_Element_Map!$A$2:$A$287),COLUMNS($J44:AH44)),KPI_Master!$A:$A,0),SMALL(IF(KPI_Element_Map!$E$2:$E$287=$A44,KPI_Element_Map!$A$2:$A$287),COLUMNS($J44:AH44))),"")</f>
        <v/>
      </c>
    </row>
    <row r="45" spans="1:34">
      <c r="A45" s="21" t="s">
        <v>1063</v>
      </c>
      <c r="B45" s="22" t="s">
        <v>1064</v>
      </c>
      <c r="C45" s="23" t="s">
        <v>1065</v>
      </c>
      <c r="D45" s="23" t="str">
        <f t="array" ref="D45">_xlfn.TEXTJOIN(", ",TRUE(),IF(KPI_Element_Map!$E$2:$E$287=$A45,KPI_Element_Map!$A$2:$A$287,""))</f>
        <v>96, 104</v>
      </c>
      <c r="E45" s="21">
        <f>COUNTIF(KPI_Element_Map!$E$2:$E$287,$A45)</f>
        <v>2</v>
      </c>
      <c r="F45" s="21">
        <f>COUNTIFS(KPI_Element_Map!$E$2:$E$287,$A45,KPI_Element_Map!$D$2:$D$287,"1 - Core")</f>
        <v>0</v>
      </c>
      <c r="G45" s="24" t="s">
        <v>1066</v>
      </c>
      <c r="H45" s="23" t="str">
        <f>INDEX(Minimum_Documents!$B:$B,MATCH($G45,Minimum_Documents!$A:$A,0))</f>
        <v>MDS 3.0 Assessment Export (SNF only)</v>
      </c>
      <c r="J45" s="25">
        <f t="array" ref="J45">IFERROR(HYPERLINK("#KPI_Master!A"&amp;MATCH(SMALL(IF(KPI_Element_Map!$E$2:$E$287=$A45,KPI_Element_Map!$A$2:$A$287),COLUMNS($J45:J45)),KPI_Master!$A:$A,0)&amp;":P"&amp;MATCH(SMALL(IF(KPI_Element_Map!$E$2:$E$287=$A45,KPI_Element_Map!$A$2:$A$287),COLUMNS($J45:J45)),KPI_Master!$A:$A,0),SMALL(IF(KPI_Element_Map!$E$2:$E$287=$A45,KPI_Element_Map!$A$2:$A$287),COLUMNS($J45:J45))),"")</f>
        <v>96</v>
      </c>
      <c r="K45" s="25">
        <f t="array" ref="K45">IFERROR(HYPERLINK("#KPI_Master!A"&amp;MATCH(SMALL(IF(KPI_Element_Map!$E$2:$E$287=$A45,KPI_Element_Map!$A$2:$A$287),COLUMNS($J45:K45)),KPI_Master!$A:$A,0)&amp;":P"&amp;MATCH(SMALL(IF(KPI_Element_Map!$E$2:$E$287=$A45,KPI_Element_Map!$A$2:$A$287),COLUMNS($J45:K45)),KPI_Master!$A:$A,0),SMALL(IF(KPI_Element_Map!$E$2:$E$287=$A45,KPI_Element_Map!$A$2:$A$287),COLUMNS($J45:K45))),"")</f>
        <v>104</v>
      </c>
      <c r="L45" s="25" t="str">
        <f t="array" ref="L45">IFERROR(HYPERLINK("#KPI_Master!A"&amp;MATCH(SMALL(IF(KPI_Element_Map!$E$2:$E$287=$A45,KPI_Element_Map!$A$2:$A$287),COLUMNS($J45:L45)),KPI_Master!$A:$A,0)&amp;":P"&amp;MATCH(SMALL(IF(KPI_Element_Map!$E$2:$E$287=$A45,KPI_Element_Map!$A$2:$A$287),COLUMNS($J45:L45)),KPI_Master!$A:$A,0),SMALL(IF(KPI_Element_Map!$E$2:$E$287=$A45,KPI_Element_Map!$A$2:$A$287),COLUMNS($J45:L45))),"")</f>
        <v/>
      </c>
      <c r="M45" s="25" t="str">
        <f t="array" ref="M45">IFERROR(HYPERLINK("#KPI_Master!A"&amp;MATCH(SMALL(IF(KPI_Element_Map!$E$2:$E$287=$A45,KPI_Element_Map!$A$2:$A$287),COLUMNS($J45:M45)),KPI_Master!$A:$A,0)&amp;":P"&amp;MATCH(SMALL(IF(KPI_Element_Map!$E$2:$E$287=$A45,KPI_Element_Map!$A$2:$A$287),COLUMNS($J45:M45)),KPI_Master!$A:$A,0),SMALL(IF(KPI_Element_Map!$E$2:$E$287=$A45,KPI_Element_Map!$A$2:$A$287),COLUMNS($J45:M45))),"")</f>
        <v/>
      </c>
      <c r="N45" s="25" t="str">
        <f t="array" ref="N45">IFERROR(HYPERLINK("#KPI_Master!A"&amp;MATCH(SMALL(IF(KPI_Element_Map!$E$2:$E$287=$A45,KPI_Element_Map!$A$2:$A$287),COLUMNS($J45:N45)),KPI_Master!$A:$A,0)&amp;":P"&amp;MATCH(SMALL(IF(KPI_Element_Map!$E$2:$E$287=$A45,KPI_Element_Map!$A$2:$A$287),COLUMNS($J45:N45)),KPI_Master!$A:$A,0),SMALL(IF(KPI_Element_Map!$E$2:$E$287=$A45,KPI_Element_Map!$A$2:$A$287),COLUMNS($J45:N45))),"")</f>
        <v/>
      </c>
      <c r="O45" s="25" t="str">
        <f t="array" ref="O45">IFERROR(HYPERLINK("#KPI_Master!A"&amp;MATCH(SMALL(IF(KPI_Element_Map!$E$2:$E$287=$A45,KPI_Element_Map!$A$2:$A$287),COLUMNS($J45:O45)),KPI_Master!$A:$A,0)&amp;":P"&amp;MATCH(SMALL(IF(KPI_Element_Map!$E$2:$E$287=$A45,KPI_Element_Map!$A$2:$A$287),COLUMNS($J45:O45)),KPI_Master!$A:$A,0),SMALL(IF(KPI_Element_Map!$E$2:$E$287=$A45,KPI_Element_Map!$A$2:$A$287),COLUMNS($J45:O45))),"")</f>
        <v/>
      </c>
      <c r="P45" s="25" t="str">
        <f t="array" ref="P45">IFERROR(HYPERLINK("#KPI_Master!A"&amp;MATCH(SMALL(IF(KPI_Element_Map!$E$2:$E$287=$A45,KPI_Element_Map!$A$2:$A$287),COLUMNS($J45:P45)),KPI_Master!$A:$A,0)&amp;":P"&amp;MATCH(SMALL(IF(KPI_Element_Map!$E$2:$E$287=$A45,KPI_Element_Map!$A$2:$A$287),COLUMNS($J45:P45)),KPI_Master!$A:$A,0),SMALL(IF(KPI_Element_Map!$E$2:$E$287=$A45,KPI_Element_Map!$A$2:$A$287),COLUMNS($J45:P45))),"")</f>
        <v/>
      </c>
      <c r="Q45" s="25" t="str">
        <f t="array" ref="Q45">IFERROR(HYPERLINK("#KPI_Master!A"&amp;MATCH(SMALL(IF(KPI_Element_Map!$E$2:$E$287=$A45,KPI_Element_Map!$A$2:$A$287),COLUMNS($J45:Q45)),KPI_Master!$A:$A,0)&amp;":P"&amp;MATCH(SMALL(IF(KPI_Element_Map!$E$2:$E$287=$A45,KPI_Element_Map!$A$2:$A$287),COLUMNS($J45:Q45)),KPI_Master!$A:$A,0),SMALL(IF(KPI_Element_Map!$E$2:$E$287=$A45,KPI_Element_Map!$A$2:$A$287),COLUMNS($J45:Q45))),"")</f>
        <v/>
      </c>
      <c r="R45" s="25" t="str">
        <f t="array" ref="R45">IFERROR(HYPERLINK("#KPI_Master!A"&amp;MATCH(SMALL(IF(KPI_Element_Map!$E$2:$E$287=$A45,KPI_Element_Map!$A$2:$A$287),COLUMNS($J45:R45)),KPI_Master!$A:$A,0)&amp;":P"&amp;MATCH(SMALL(IF(KPI_Element_Map!$E$2:$E$287=$A45,KPI_Element_Map!$A$2:$A$287),COLUMNS($J45:R45)),KPI_Master!$A:$A,0),SMALL(IF(KPI_Element_Map!$E$2:$E$287=$A45,KPI_Element_Map!$A$2:$A$287),COLUMNS($J45:R45))),"")</f>
        <v/>
      </c>
      <c r="S45" s="25" t="str">
        <f t="array" ref="S45">IFERROR(HYPERLINK("#KPI_Master!A"&amp;MATCH(SMALL(IF(KPI_Element_Map!$E$2:$E$287=$A45,KPI_Element_Map!$A$2:$A$287),COLUMNS($J45:S45)),KPI_Master!$A:$A,0)&amp;":P"&amp;MATCH(SMALL(IF(KPI_Element_Map!$E$2:$E$287=$A45,KPI_Element_Map!$A$2:$A$287),COLUMNS($J45:S45)),KPI_Master!$A:$A,0),SMALL(IF(KPI_Element_Map!$E$2:$E$287=$A45,KPI_Element_Map!$A$2:$A$287),COLUMNS($J45:S45))),"")</f>
        <v/>
      </c>
      <c r="T45" s="25" t="str">
        <f t="array" ref="T45">IFERROR(HYPERLINK("#KPI_Master!A"&amp;MATCH(SMALL(IF(KPI_Element_Map!$E$2:$E$287=$A45,KPI_Element_Map!$A$2:$A$287),COLUMNS($J45:T45)),KPI_Master!$A:$A,0)&amp;":P"&amp;MATCH(SMALL(IF(KPI_Element_Map!$E$2:$E$287=$A45,KPI_Element_Map!$A$2:$A$287),COLUMNS($J45:T45)),KPI_Master!$A:$A,0),SMALL(IF(KPI_Element_Map!$E$2:$E$287=$A45,KPI_Element_Map!$A$2:$A$287),COLUMNS($J45:T45))),"")</f>
        <v/>
      </c>
      <c r="U45" s="25" t="str">
        <f t="array" ref="U45">IFERROR(HYPERLINK("#KPI_Master!A"&amp;MATCH(SMALL(IF(KPI_Element_Map!$E$2:$E$287=$A45,KPI_Element_Map!$A$2:$A$287),COLUMNS($J45:U45)),KPI_Master!$A:$A,0)&amp;":P"&amp;MATCH(SMALL(IF(KPI_Element_Map!$E$2:$E$287=$A45,KPI_Element_Map!$A$2:$A$287),COLUMNS($J45:U45)),KPI_Master!$A:$A,0),SMALL(IF(KPI_Element_Map!$E$2:$E$287=$A45,KPI_Element_Map!$A$2:$A$287),COLUMNS($J45:U45))),"")</f>
        <v/>
      </c>
      <c r="V45" s="25" t="str">
        <f t="array" ref="V45">IFERROR(HYPERLINK("#KPI_Master!A"&amp;MATCH(SMALL(IF(KPI_Element_Map!$E$2:$E$287=$A45,KPI_Element_Map!$A$2:$A$287),COLUMNS($J45:V45)),KPI_Master!$A:$A,0)&amp;":P"&amp;MATCH(SMALL(IF(KPI_Element_Map!$E$2:$E$287=$A45,KPI_Element_Map!$A$2:$A$287),COLUMNS($J45:V45)),KPI_Master!$A:$A,0),SMALL(IF(KPI_Element_Map!$E$2:$E$287=$A45,KPI_Element_Map!$A$2:$A$287),COLUMNS($J45:V45))),"")</f>
        <v/>
      </c>
      <c r="W45" s="25" t="str">
        <f t="array" ref="W45">IFERROR(HYPERLINK("#KPI_Master!A"&amp;MATCH(SMALL(IF(KPI_Element_Map!$E$2:$E$287=$A45,KPI_Element_Map!$A$2:$A$287),COLUMNS($J45:W45)),KPI_Master!$A:$A,0)&amp;":P"&amp;MATCH(SMALL(IF(KPI_Element_Map!$E$2:$E$287=$A45,KPI_Element_Map!$A$2:$A$287),COLUMNS($J45:W45)),KPI_Master!$A:$A,0),SMALL(IF(KPI_Element_Map!$E$2:$E$287=$A45,KPI_Element_Map!$A$2:$A$287),COLUMNS($J45:W45))),"")</f>
        <v/>
      </c>
      <c r="X45" s="25" t="str">
        <f t="array" ref="X45">IFERROR(HYPERLINK("#KPI_Master!A"&amp;MATCH(SMALL(IF(KPI_Element_Map!$E$2:$E$287=$A45,KPI_Element_Map!$A$2:$A$287),COLUMNS($J45:X45)),KPI_Master!$A:$A,0)&amp;":P"&amp;MATCH(SMALL(IF(KPI_Element_Map!$E$2:$E$287=$A45,KPI_Element_Map!$A$2:$A$287),COLUMNS($J45:X45)),KPI_Master!$A:$A,0),SMALL(IF(KPI_Element_Map!$E$2:$E$287=$A45,KPI_Element_Map!$A$2:$A$287),COLUMNS($J45:X45))),"")</f>
        <v/>
      </c>
      <c r="Y45" s="25" t="str">
        <f t="array" ref="Y45">IFERROR(HYPERLINK("#KPI_Master!A"&amp;MATCH(SMALL(IF(KPI_Element_Map!$E$2:$E$287=$A45,KPI_Element_Map!$A$2:$A$287),COLUMNS($J45:Y45)),KPI_Master!$A:$A,0)&amp;":P"&amp;MATCH(SMALL(IF(KPI_Element_Map!$E$2:$E$287=$A45,KPI_Element_Map!$A$2:$A$287),COLUMNS($J45:Y45)),KPI_Master!$A:$A,0),SMALL(IF(KPI_Element_Map!$E$2:$E$287=$A45,KPI_Element_Map!$A$2:$A$287),COLUMNS($J45:Y45))),"")</f>
        <v/>
      </c>
      <c r="Z45" s="25" t="str">
        <f t="array" ref="Z45">IFERROR(HYPERLINK("#KPI_Master!A"&amp;MATCH(SMALL(IF(KPI_Element_Map!$E$2:$E$287=$A45,KPI_Element_Map!$A$2:$A$287),COLUMNS($J45:Z45)),KPI_Master!$A:$A,0)&amp;":P"&amp;MATCH(SMALL(IF(KPI_Element_Map!$E$2:$E$287=$A45,KPI_Element_Map!$A$2:$A$287),COLUMNS($J45:Z45)),KPI_Master!$A:$A,0),SMALL(IF(KPI_Element_Map!$E$2:$E$287=$A45,KPI_Element_Map!$A$2:$A$287),COLUMNS($J45:Z45))),"")</f>
        <v/>
      </c>
      <c r="AA45" s="25" t="str">
        <f t="array" ref="AA45">IFERROR(HYPERLINK("#KPI_Master!A"&amp;MATCH(SMALL(IF(KPI_Element_Map!$E$2:$E$287=$A45,KPI_Element_Map!$A$2:$A$287),COLUMNS($J45:AA45)),KPI_Master!$A:$A,0)&amp;":P"&amp;MATCH(SMALL(IF(KPI_Element_Map!$E$2:$E$287=$A45,KPI_Element_Map!$A$2:$A$287),COLUMNS($J45:AA45)),KPI_Master!$A:$A,0),SMALL(IF(KPI_Element_Map!$E$2:$E$287=$A45,KPI_Element_Map!$A$2:$A$287),COLUMNS($J45:AA45))),"")</f>
        <v/>
      </c>
      <c r="AB45" s="25" t="str">
        <f t="array" ref="AB45">IFERROR(HYPERLINK("#KPI_Master!A"&amp;MATCH(SMALL(IF(KPI_Element_Map!$E$2:$E$287=$A45,KPI_Element_Map!$A$2:$A$287),COLUMNS($J45:AB45)),KPI_Master!$A:$A,0)&amp;":P"&amp;MATCH(SMALL(IF(KPI_Element_Map!$E$2:$E$287=$A45,KPI_Element_Map!$A$2:$A$287),COLUMNS($J45:AB45)),KPI_Master!$A:$A,0),SMALL(IF(KPI_Element_Map!$E$2:$E$287=$A45,KPI_Element_Map!$A$2:$A$287),COLUMNS($J45:AB45))),"")</f>
        <v/>
      </c>
      <c r="AC45" s="25" t="str">
        <f t="array" ref="AC45">IFERROR(HYPERLINK("#KPI_Master!A"&amp;MATCH(SMALL(IF(KPI_Element_Map!$E$2:$E$287=$A45,KPI_Element_Map!$A$2:$A$287),COLUMNS($J45:AC45)),KPI_Master!$A:$A,0)&amp;":P"&amp;MATCH(SMALL(IF(KPI_Element_Map!$E$2:$E$287=$A45,KPI_Element_Map!$A$2:$A$287),COLUMNS($J45:AC45)),KPI_Master!$A:$A,0),SMALL(IF(KPI_Element_Map!$E$2:$E$287=$A45,KPI_Element_Map!$A$2:$A$287),COLUMNS($J45:AC45))),"")</f>
        <v/>
      </c>
      <c r="AD45" s="25" t="str">
        <f t="array" ref="AD45">IFERROR(HYPERLINK("#KPI_Master!A"&amp;MATCH(SMALL(IF(KPI_Element_Map!$E$2:$E$287=$A45,KPI_Element_Map!$A$2:$A$287),COLUMNS($J45:AD45)),KPI_Master!$A:$A,0)&amp;":P"&amp;MATCH(SMALL(IF(KPI_Element_Map!$E$2:$E$287=$A45,KPI_Element_Map!$A$2:$A$287),COLUMNS($J45:AD45)),KPI_Master!$A:$A,0),SMALL(IF(KPI_Element_Map!$E$2:$E$287=$A45,KPI_Element_Map!$A$2:$A$287),COLUMNS($J45:AD45))),"")</f>
        <v/>
      </c>
      <c r="AE45" s="25" t="str">
        <f t="array" ref="AE45">IFERROR(HYPERLINK("#KPI_Master!A"&amp;MATCH(SMALL(IF(KPI_Element_Map!$E$2:$E$287=$A45,KPI_Element_Map!$A$2:$A$287),COLUMNS($J45:AE45)),KPI_Master!$A:$A,0)&amp;":P"&amp;MATCH(SMALL(IF(KPI_Element_Map!$E$2:$E$287=$A45,KPI_Element_Map!$A$2:$A$287),COLUMNS($J45:AE45)),KPI_Master!$A:$A,0),SMALL(IF(KPI_Element_Map!$E$2:$E$287=$A45,KPI_Element_Map!$A$2:$A$287),COLUMNS($J45:AE45))),"")</f>
        <v/>
      </c>
      <c r="AF45" s="25" t="str">
        <f t="array" ref="AF45">IFERROR(HYPERLINK("#KPI_Master!A"&amp;MATCH(SMALL(IF(KPI_Element_Map!$E$2:$E$287=$A45,KPI_Element_Map!$A$2:$A$287),COLUMNS($J45:AF45)),KPI_Master!$A:$A,0)&amp;":P"&amp;MATCH(SMALL(IF(KPI_Element_Map!$E$2:$E$287=$A45,KPI_Element_Map!$A$2:$A$287),COLUMNS($J45:AF45)),KPI_Master!$A:$A,0),SMALL(IF(KPI_Element_Map!$E$2:$E$287=$A45,KPI_Element_Map!$A$2:$A$287),COLUMNS($J45:AF45))),"")</f>
        <v/>
      </c>
      <c r="AG45" s="25" t="str">
        <f t="array" ref="AG45">IFERROR(HYPERLINK("#KPI_Master!A"&amp;MATCH(SMALL(IF(KPI_Element_Map!$E$2:$E$287=$A45,KPI_Element_Map!$A$2:$A$287),COLUMNS($J45:AG45)),KPI_Master!$A:$A,0)&amp;":P"&amp;MATCH(SMALL(IF(KPI_Element_Map!$E$2:$E$287=$A45,KPI_Element_Map!$A$2:$A$287),COLUMNS($J45:AG45)),KPI_Master!$A:$A,0),SMALL(IF(KPI_Element_Map!$E$2:$E$287=$A45,KPI_Element_Map!$A$2:$A$287),COLUMNS($J45:AG45))),"")</f>
        <v/>
      </c>
      <c r="AH45" s="25" t="str">
        <f t="array" ref="AH45">IFERROR(HYPERLINK("#KPI_Master!A"&amp;MATCH(SMALL(IF(KPI_Element_Map!$E$2:$E$287=$A45,KPI_Element_Map!$A$2:$A$287),COLUMNS($J45:AH45)),KPI_Master!$A:$A,0)&amp;":P"&amp;MATCH(SMALL(IF(KPI_Element_Map!$E$2:$E$287=$A45,KPI_Element_Map!$A$2:$A$287),COLUMNS($J45:AH45)),KPI_Master!$A:$A,0),SMALL(IF(KPI_Element_Map!$E$2:$E$287=$A45,KPI_Element_Map!$A$2:$A$287),COLUMNS($J45:AH45))),"")</f>
        <v/>
      </c>
    </row>
    <row r="46" spans="1:34" ht="28.5" customHeight="1">
      <c r="A46" s="21" t="s">
        <v>1067</v>
      </c>
      <c r="B46" s="22" t="s">
        <v>1068</v>
      </c>
      <c r="C46" s="23" t="s">
        <v>1069</v>
      </c>
      <c r="D46" s="23" t="str">
        <f t="array" ref="D46">_xlfn.TEXTJOIN(", ",TRUE(),IF(KPI_Element_Map!$E$2:$E$287=$A46,KPI_Element_Map!$A$2:$A$287,""))</f>
        <v>99, 100, 101, 102, 105, 106, 107, 108, 109, 130, 131, 132, 133, 134, 135, 136, 137, 140, 141, 142, 143</v>
      </c>
      <c r="E46" s="21">
        <f>COUNTIF(KPI_Element_Map!$E$2:$E$287,$A46)</f>
        <v>21</v>
      </c>
      <c r="F46" s="21">
        <f>COUNTIFS(KPI_Element_Map!$E$2:$E$287,$A46,KPI_Element_Map!$D$2:$D$287,"1 - Core")</f>
        <v>2</v>
      </c>
      <c r="G46" s="24" t="s">
        <v>1070</v>
      </c>
      <c r="H46" s="23" t="str">
        <f>INDEX(Minimum_Documents!$B:$B,MATCH($G46,Minimum_Documents!$A:$A,0))</f>
        <v>CMS Care Compare Provider Data Download (monthly)</v>
      </c>
      <c r="J46" s="25">
        <f t="array" ref="J46">IFERROR(HYPERLINK("#KPI_Master!A"&amp;MATCH(SMALL(IF(KPI_Element_Map!$E$2:$E$287=$A46,KPI_Element_Map!$A$2:$A$287),COLUMNS($J46:J46)),KPI_Master!$A:$A,0)&amp;":P"&amp;MATCH(SMALL(IF(KPI_Element_Map!$E$2:$E$287=$A46,KPI_Element_Map!$A$2:$A$287),COLUMNS($J46:J46)),KPI_Master!$A:$A,0),SMALL(IF(KPI_Element_Map!$E$2:$E$287=$A46,KPI_Element_Map!$A$2:$A$287),COLUMNS($J46:J46))),"")</f>
        <v>99</v>
      </c>
      <c r="K46" s="25">
        <f t="array" ref="K46">IFERROR(HYPERLINK("#KPI_Master!A"&amp;MATCH(SMALL(IF(KPI_Element_Map!$E$2:$E$287=$A46,KPI_Element_Map!$A$2:$A$287),COLUMNS($J46:K46)),KPI_Master!$A:$A,0)&amp;":P"&amp;MATCH(SMALL(IF(KPI_Element_Map!$E$2:$E$287=$A46,KPI_Element_Map!$A$2:$A$287),COLUMNS($J46:K46)),KPI_Master!$A:$A,0),SMALL(IF(KPI_Element_Map!$E$2:$E$287=$A46,KPI_Element_Map!$A$2:$A$287),COLUMNS($J46:K46))),"")</f>
        <v>100</v>
      </c>
      <c r="L46" s="25">
        <f t="array" ref="L46">IFERROR(HYPERLINK("#KPI_Master!A"&amp;MATCH(SMALL(IF(KPI_Element_Map!$E$2:$E$287=$A46,KPI_Element_Map!$A$2:$A$287),COLUMNS($J46:L46)),KPI_Master!$A:$A,0)&amp;":P"&amp;MATCH(SMALL(IF(KPI_Element_Map!$E$2:$E$287=$A46,KPI_Element_Map!$A$2:$A$287),COLUMNS($J46:L46)),KPI_Master!$A:$A,0),SMALL(IF(KPI_Element_Map!$E$2:$E$287=$A46,KPI_Element_Map!$A$2:$A$287),COLUMNS($J46:L46))),"")</f>
        <v>101</v>
      </c>
      <c r="M46" s="25">
        <f t="array" ref="M46">IFERROR(HYPERLINK("#KPI_Master!A"&amp;MATCH(SMALL(IF(KPI_Element_Map!$E$2:$E$287=$A46,KPI_Element_Map!$A$2:$A$287),COLUMNS($J46:M46)),KPI_Master!$A:$A,0)&amp;":P"&amp;MATCH(SMALL(IF(KPI_Element_Map!$E$2:$E$287=$A46,KPI_Element_Map!$A$2:$A$287),COLUMNS($J46:M46)),KPI_Master!$A:$A,0),SMALL(IF(KPI_Element_Map!$E$2:$E$287=$A46,KPI_Element_Map!$A$2:$A$287),COLUMNS($J46:M46))),"")</f>
        <v>102</v>
      </c>
      <c r="N46" s="25">
        <f t="array" ref="N46">IFERROR(HYPERLINK("#KPI_Master!A"&amp;MATCH(SMALL(IF(KPI_Element_Map!$E$2:$E$287=$A46,KPI_Element_Map!$A$2:$A$287),COLUMNS($J46:N46)),KPI_Master!$A:$A,0)&amp;":P"&amp;MATCH(SMALL(IF(KPI_Element_Map!$E$2:$E$287=$A46,KPI_Element_Map!$A$2:$A$287),COLUMNS($J46:N46)),KPI_Master!$A:$A,0),SMALL(IF(KPI_Element_Map!$E$2:$E$287=$A46,KPI_Element_Map!$A$2:$A$287),COLUMNS($J46:N46))),"")</f>
        <v>105</v>
      </c>
      <c r="O46" s="25">
        <f t="array" ref="O46">IFERROR(HYPERLINK("#KPI_Master!A"&amp;MATCH(SMALL(IF(KPI_Element_Map!$E$2:$E$287=$A46,KPI_Element_Map!$A$2:$A$287),COLUMNS($J46:O46)),KPI_Master!$A:$A,0)&amp;":P"&amp;MATCH(SMALL(IF(KPI_Element_Map!$E$2:$E$287=$A46,KPI_Element_Map!$A$2:$A$287),COLUMNS($J46:O46)),KPI_Master!$A:$A,0),SMALL(IF(KPI_Element_Map!$E$2:$E$287=$A46,KPI_Element_Map!$A$2:$A$287),COLUMNS($J46:O46))),"")</f>
        <v>106</v>
      </c>
      <c r="P46" s="25">
        <f t="array" ref="P46">IFERROR(HYPERLINK("#KPI_Master!A"&amp;MATCH(SMALL(IF(KPI_Element_Map!$E$2:$E$287=$A46,KPI_Element_Map!$A$2:$A$287),COLUMNS($J46:P46)),KPI_Master!$A:$A,0)&amp;":P"&amp;MATCH(SMALL(IF(KPI_Element_Map!$E$2:$E$287=$A46,KPI_Element_Map!$A$2:$A$287),COLUMNS($J46:P46)),KPI_Master!$A:$A,0),SMALL(IF(KPI_Element_Map!$E$2:$E$287=$A46,KPI_Element_Map!$A$2:$A$287),COLUMNS($J46:P46))),"")</f>
        <v>107</v>
      </c>
      <c r="Q46" s="25">
        <f t="array" ref="Q46">IFERROR(HYPERLINK("#KPI_Master!A"&amp;MATCH(SMALL(IF(KPI_Element_Map!$E$2:$E$287=$A46,KPI_Element_Map!$A$2:$A$287),COLUMNS($J46:Q46)),KPI_Master!$A:$A,0)&amp;":P"&amp;MATCH(SMALL(IF(KPI_Element_Map!$E$2:$E$287=$A46,KPI_Element_Map!$A$2:$A$287),COLUMNS($J46:Q46)),KPI_Master!$A:$A,0),SMALL(IF(KPI_Element_Map!$E$2:$E$287=$A46,KPI_Element_Map!$A$2:$A$287),COLUMNS($J46:Q46))),"")</f>
        <v>108</v>
      </c>
      <c r="R46" s="25">
        <f t="array" ref="R46">IFERROR(HYPERLINK("#KPI_Master!A"&amp;MATCH(SMALL(IF(KPI_Element_Map!$E$2:$E$287=$A46,KPI_Element_Map!$A$2:$A$287),COLUMNS($J46:R46)),KPI_Master!$A:$A,0)&amp;":P"&amp;MATCH(SMALL(IF(KPI_Element_Map!$E$2:$E$287=$A46,KPI_Element_Map!$A$2:$A$287),COLUMNS($J46:R46)),KPI_Master!$A:$A,0),SMALL(IF(KPI_Element_Map!$E$2:$E$287=$A46,KPI_Element_Map!$A$2:$A$287),COLUMNS($J46:R46))),"")</f>
        <v>109</v>
      </c>
      <c r="S46" s="25">
        <f t="array" ref="S46">IFERROR(HYPERLINK("#KPI_Master!A"&amp;MATCH(SMALL(IF(KPI_Element_Map!$E$2:$E$287=$A46,KPI_Element_Map!$A$2:$A$287),COLUMNS($J46:S46)),KPI_Master!$A:$A,0)&amp;":P"&amp;MATCH(SMALL(IF(KPI_Element_Map!$E$2:$E$287=$A46,KPI_Element_Map!$A$2:$A$287),COLUMNS($J46:S46)),KPI_Master!$A:$A,0),SMALL(IF(KPI_Element_Map!$E$2:$E$287=$A46,KPI_Element_Map!$A$2:$A$287),COLUMNS($J46:S46))),"")</f>
        <v>130</v>
      </c>
      <c r="T46" s="25">
        <f t="array" ref="T46">IFERROR(HYPERLINK("#KPI_Master!A"&amp;MATCH(SMALL(IF(KPI_Element_Map!$E$2:$E$287=$A46,KPI_Element_Map!$A$2:$A$287),COLUMNS($J46:T46)),KPI_Master!$A:$A,0)&amp;":P"&amp;MATCH(SMALL(IF(KPI_Element_Map!$E$2:$E$287=$A46,KPI_Element_Map!$A$2:$A$287),COLUMNS($J46:T46)),KPI_Master!$A:$A,0),SMALL(IF(KPI_Element_Map!$E$2:$E$287=$A46,KPI_Element_Map!$A$2:$A$287),COLUMNS($J46:T46))),"")</f>
        <v>131</v>
      </c>
      <c r="U46" s="25">
        <f t="array" ref="U46">IFERROR(HYPERLINK("#KPI_Master!A"&amp;MATCH(SMALL(IF(KPI_Element_Map!$E$2:$E$287=$A46,KPI_Element_Map!$A$2:$A$287),COLUMNS($J46:U46)),KPI_Master!$A:$A,0)&amp;":P"&amp;MATCH(SMALL(IF(KPI_Element_Map!$E$2:$E$287=$A46,KPI_Element_Map!$A$2:$A$287),COLUMNS($J46:U46)),KPI_Master!$A:$A,0),SMALL(IF(KPI_Element_Map!$E$2:$E$287=$A46,KPI_Element_Map!$A$2:$A$287),COLUMNS($J46:U46))),"")</f>
        <v>132</v>
      </c>
      <c r="V46" s="25">
        <f t="array" ref="V46">IFERROR(HYPERLINK("#KPI_Master!A"&amp;MATCH(SMALL(IF(KPI_Element_Map!$E$2:$E$287=$A46,KPI_Element_Map!$A$2:$A$287),COLUMNS($J46:V46)),KPI_Master!$A:$A,0)&amp;":P"&amp;MATCH(SMALL(IF(KPI_Element_Map!$E$2:$E$287=$A46,KPI_Element_Map!$A$2:$A$287),COLUMNS($J46:V46)),KPI_Master!$A:$A,0),SMALL(IF(KPI_Element_Map!$E$2:$E$287=$A46,KPI_Element_Map!$A$2:$A$287),COLUMNS($J46:V46))),"")</f>
        <v>133</v>
      </c>
      <c r="W46" s="25">
        <f t="array" ref="W46">IFERROR(HYPERLINK("#KPI_Master!A"&amp;MATCH(SMALL(IF(KPI_Element_Map!$E$2:$E$287=$A46,KPI_Element_Map!$A$2:$A$287),COLUMNS($J46:W46)),KPI_Master!$A:$A,0)&amp;":P"&amp;MATCH(SMALL(IF(KPI_Element_Map!$E$2:$E$287=$A46,KPI_Element_Map!$A$2:$A$287),COLUMNS($J46:W46)),KPI_Master!$A:$A,0),SMALL(IF(KPI_Element_Map!$E$2:$E$287=$A46,KPI_Element_Map!$A$2:$A$287),COLUMNS($J46:W46))),"")</f>
        <v>134</v>
      </c>
      <c r="X46" s="25">
        <f t="array" ref="X46">IFERROR(HYPERLINK("#KPI_Master!A"&amp;MATCH(SMALL(IF(KPI_Element_Map!$E$2:$E$287=$A46,KPI_Element_Map!$A$2:$A$287),COLUMNS($J46:X46)),KPI_Master!$A:$A,0)&amp;":P"&amp;MATCH(SMALL(IF(KPI_Element_Map!$E$2:$E$287=$A46,KPI_Element_Map!$A$2:$A$287),COLUMNS($J46:X46)),KPI_Master!$A:$A,0),SMALL(IF(KPI_Element_Map!$E$2:$E$287=$A46,KPI_Element_Map!$A$2:$A$287),COLUMNS($J46:X46))),"")</f>
        <v>135</v>
      </c>
      <c r="Y46" s="25">
        <f t="array" ref="Y46">IFERROR(HYPERLINK("#KPI_Master!A"&amp;MATCH(SMALL(IF(KPI_Element_Map!$E$2:$E$287=$A46,KPI_Element_Map!$A$2:$A$287),COLUMNS($J46:Y46)),KPI_Master!$A:$A,0)&amp;":P"&amp;MATCH(SMALL(IF(KPI_Element_Map!$E$2:$E$287=$A46,KPI_Element_Map!$A$2:$A$287),COLUMNS($J46:Y46)),KPI_Master!$A:$A,0),SMALL(IF(KPI_Element_Map!$E$2:$E$287=$A46,KPI_Element_Map!$A$2:$A$287),COLUMNS($J46:Y46))),"")</f>
        <v>136</v>
      </c>
      <c r="Z46" s="25">
        <f t="array" ref="Z46">IFERROR(HYPERLINK("#KPI_Master!A"&amp;MATCH(SMALL(IF(KPI_Element_Map!$E$2:$E$287=$A46,KPI_Element_Map!$A$2:$A$287),COLUMNS($J46:Z46)),KPI_Master!$A:$A,0)&amp;":P"&amp;MATCH(SMALL(IF(KPI_Element_Map!$E$2:$E$287=$A46,KPI_Element_Map!$A$2:$A$287),COLUMNS($J46:Z46)),KPI_Master!$A:$A,0),SMALL(IF(KPI_Element_Map!$E$2:$E$287=$A46,KPI_Element_Map!$A$2:$A$287),COLUMNS($J46:Z46))),"")</f>
        <v>137</v>
      </c>
      <c r="AA46" s="25">
        <f t="array" ref="AA46">IFERROR(HYPERLINK("#KPI_Master!A"&amp;MATCH(SMALL(IF(KPI_Element_Map!$E$2:$E$287=$A46,KPI_Element_Map!$A$2:$A$287),COLUMNS($J46:AA46)),KPI_Master!$A:$A,0)&amp;":P"&amp;MATCH(SMALL(IF(KPI_Element_Map!$E$2:$E$287=$A46,KPI_Element_Map!$A$2:$A$287),COLUMNS($J46:AA46)),KPI_Master!$A:$A,0),SMALL(IF(KPI_Element_Map!$E$2:$E$287=$A46,KPI_Element_Map!$A$2:$A$287),COLUMNS($J46:AA46))),"")</f>
        <v>140</v>
      </c>
      <c r="AB46" s="25">
        <f t="array" ref="AB46">IFERROR(HYPERLINK("#KPI_Master!A"&amp;MATCH(SMALL(IF(KPI_Element_Map!$E$2:$E$287=$A46,KPI_Element_Map!$A$2:$A$287),COLUMNS($J46:AB46)),KPI_Master!$A:$A,0)&amp;":P"&amp;MATCH(SMALL(IF(KPI_Element_Map!$E$2:$E$287=$A46,KPI_Element_Map!$A$2:$A$287),COLUMNS($J46:AB46)),KPI_Master!$A:$A,0),SMALL(IF(KPI_Element_Map!$E$2:$E$287=$A46,KPI_Element_Map!$A$2:$A$287),COLUMNS($J46:AB46))),"")</f>
        <v>141</v>
      </c>
      <c r="AC46" s="25">
        <f t="array" ref="AC46">IFERROR(HYPERLINK("#KPI_Master!A"&amp;MATCH(SMALL(IF(KPI_Element_Map!$E$2:$E$287=$A46,KPI_Element_Map!$A$2:$A$287),COLUMNS($J46:AC46)),KPI_Master!$A:$A,0)&amp;":P"&amp;MATCH(SMALL(IF(KPI_Element_Map!$E$2:$E$287=$A46,KPI_Element_Map!$A$2:$A$287),COLUMNS($J46:AC46)),KPI_Master!$A:$A,0),SMALL(IF(KPI_Element_Map!$E$2:$E$287=$A46,KPI_Element_Map!$A$2:$A$287),COLUMNS($J46:AC46))),"")</f>
        <v>142</v>
      </c>
      <c r="AD46" s="25">
        <f t="array" ref="AD46">IFERROR(HYPERLINK("#KPI_Master!A"&amp;MATCH(SMALL(IF(KPI_Element_Map!$E$2:$E$287=$A46,KPI_Element_Map!$A$2:$A$287),COLUMNS($J46:AD46)),KPI_Master!$A:$A,0)&amp;":P"&amp;MATCH(SMALL(IF(KPI_Element_Map!$E$2:$E$287=$A46,KPI_Element_Map!$A$2:$A$287),COLUMNS($J46:AD46)),KPI_Master!$A:$A,0),SMALL(IF(KPI_Element_Map!$E$2:$E$287=$A46,KPI_Element_Map!$A$2:$A$287),COLUMNS($J46:AD46))),"")</f>
        <v>143</v>
      </c>
      <c r="AE46" s="25" t="str">
        <f t="array" ref="AE46">IFERROR(HYPERLINK("#KPI_Master!A"&amp;MATCH(SMALL(IF(KPI_Element_Map!$E$2:$E$287=$A46,KPI_Element_Map!$A$2:$A$287),COLUMNS($J46:AE46)),KPI_Master!$A:$A,0)&amp;":P"&amp;MATCH(SMALL(IF(KPI_Element_Map!$E$2:$E$287=$A46,KPI_Element_Map!$A$2:$A$287),COLUMNS($J46:AE46)),KPI_Master!$A:$A,0),SMALL(IF(KPI_Element_Map!$E$2:$E$287=$A46,KPI_Element_Map!$A$2:$A$287),COLUMNS($J46:AE46))),"")</f>
        <v/>
      </c>
      <c r="AF46" s="25" t="str">
        <f t="array" ref="AF46">IFERROR(HYPERLINK("#KPI_Master!A"&amp;MATCH(SMALL(IF(KPI_Element_Map!$E$2:$E$287=$A46,KPI_Element_Map!$A$2:$A$287),COLUMNS($J46:AF46)),KPI_Master!$A:$A,0)&amp;":P"&amp;MATCH(SMALL(IF(KPI_Element_Map!$E$2:$E$287=$A46,KPI_Element_Map!$A$2:$A$287),COLUMNS($J46:AF46)),KPI_Master!$A:$A,0),SMALL(IF(KPI_Element_Map!$E$2:$E$287=$A46,KPI_Element_Map!$A$2:$A$287),COLUMNS($J46:AF46))),"")</f>
        <v/>
      </c>
      <c r="AG46" s="25" t="str">
        <f t="array" ref="AG46">IFERROR(HYPERLINK("#KPI_Master!A"&amp;MATCH(SMALL(IF(KPI_Element_Map!$E$2:$E$287=$A46,KPI_Element_Map!$A$2:$A$287),COLUMNS($J46:AG46)),KPI_Master!$A:$A,0)&amp;":P"&amp;MATCH(SMALL(IF(KPI_Element_Map!$E$2:$E$287=$A46,KPI_Element_Map!$A$2:$A$287),COLUMNS($J46:AG46)),KPI_Master!$A:$A,0),SMALL(IF(KPI_Element_Map!$E$2:$E$287=$A46,KPI_Element_Map!$A$2:$A$287),COLUMNS($J46:AG46))),"")</f>
        <v/>
      </c>
      <c r="AH46" s="25" t="str">
        <f t="array" ref="AH46">IFERROR(HYPERLINK("#KPI_Master!A"&amp;MATCH(SMALL(IF(KPI_Element_Map!$E$2:$E$287=$A46,KPI_Element_Map!$A$2:$A$287),COLUMNS($J46:AH46)),KPI_Master!$A:$A,0)&amp;":P"&amp;MATCH(SMALL(IF(KPI_Element_Map!$E$2:$E$287=$A46,KPI_Element_Map!$A$2:$A$287),COLUMNS($J46:AH46)),KPI_Master!$A:$A,0),SMALL(IF(KPI_Element_Map!$E$2:$E$287=$A46,KPI_Element_Map!$A$2:$A$287),COLUMNS($J46:AH46))),"")</f>
        <v/>
      </c>
    </row>
    <row r="47" spans="1:34" ht="28.5" customHeight="1">
      <c r="A47" s="21" t="s">
        <v>1071</v>
      </c>
      <c r="B47" s="22" t="s">
        <v>1072</v>
      </c>
      <c r="C47" s="23" t="s">
        <v>1073</v>
      </c>
      <c r="D47" s="23" t="str">
        <f t="array" ref="D47">_xlfn.TEXTJOIN(", ",TRUE(),IF(KPI_Element_Map!$E$2:$E$287=$A47,KPI_Element_Map!$A$2:$A$287,""))</f>
        <v>127, 129, 138, 139</v>
      </c>
      <c r="E47" s="21">
        <f>COUNTIF(KPI_Element_Map!$E$2:$E$287,$A47)</f>
        <v>4</v>
      </c>
      <c r="F47" s="21">
        <f>COUNTIFS(KPI_Element_Map!$E$2:$E$287,$A47,KPI_Element_Map!$D$2:$D$287,"1 - Core")</f>
        <v>3</v>
      </c>
      <c r="G47" s="24" t="s">
        <v>1074</v>
      </c>
      <c r="H47" s="23" t="str">
        <f>INDEX(Minimum_Documents!$B:$B,MATCH($G47,Minimum_Documents!$A:$A,0))</f>
        <v>Regulatory Survey Report (CMS-2567 / State survey, incl. Life Safety)</v>
      </c>
      <c r="J47" s="25">
        <f t="array" ref="J47">IFERROR(HYPERLINK("#KPI_Master!A"&amp;MATCH(SMALL(IF(KPI_Element_Map!$E$2:$E$287=$A47,KPI_Element_Map!$A$2:$A$287),COLUMNS($J47:J47)),KPI_Master!$A:$A,0)&amp;":P"&amp;MATCH(SMALL(IF(KPI_Element_Map!$E$2:$E$287=$A47,KPI_Element_Map!$A$2:$A$287),COLUMNS($J47:J47)),KPI_Master!$A:$A,0),SMALL(IF(KPI_Element_Map!$E$2:$E$287=$A47,KPI_Element_Map!$A$2:$A$287),COLUMNS($J47:J47))),"")</f>
        <v>127</v>
      </c>
      <c r="K47" s="25">
        <f t="array" ref="K47">IFERROR(HYPERLINK("#KPI_Master!A"&amp;MATCH(SMALL(IF(KPI_Element_Map!$E$2:$E$287=$A47,KPI_Element_Map!$A$2:$A$287),COLUMNS($J47:K47)),KPI_Master!$A:$A,0)&amp;":P"&amp;MATCH(SMALL(IF(KPI_Element_Map!$E$2:$E$287=$A47,KPI_Element_Map!$A$2:$A$287),COLUMNS($J47:K47)),KPI_Master!$A:$A,0),SMALL(IF(KPI_Element_Map!$E$2:$E$287=$A47,KPI_Element_Map!$A$2:$A$287),COLUMNS($J47:K47))),"")</f>
        <v>129</v>
      </c>
      <c r="L47" s="25">
        <f t="array" ref="L47">IFERROR(HYPERLINK("#KPI_Master!A"&amp;MATCH(SMALL(IF(KPI_Element_Map!$E$2:$E$287=$A47,KPI_Element_Map!$A$2:$A$287),COLUMNS($J47:L47)),KPI_Master!$A:$A,0)&amp;":P"&amp;MATCH(SMALL(IF(KPI_Element_Map!$E$2:$E$287=$A47,KPI_Element_Map!$A$2:$A$287),COLUMNS($J47:L47)),KPI_Master!$A:$A,0),SMALL(IF(KPI_Element_Map!$E$2:$E$287=$A47,KPI_Element_Map!$A$2:$A$287),COLUMNS($J47:L47))),"")</f>
        <v>138</v>
      </c>
      <c r="M47" s="25">
        <f t="array" ref="M47">IFERROR(HYPERLINK("#KPI_Master!A"&amp;MATCH(SMALL(IF(KPI_Element_Map!$E$2:$E$287=$A47,KPI_Element_Map!$A$2:$A$287),COLUMNS($J47:M47)),KPI_Master!$A:$A,0)&amp;":P"&amp;MATCH(SMALL(IF(KPI_Element_Map!$E$2:$E$287=$A47,KPI_Element_Map!$A$2:$A$287),COLUMNS($J47:M47)),KPI_Master!$A:$A,0),SMALL(IF(KPI_Element_Map!$E$2:$E$287=$A47,KPI_Element_Map!$A$2:$A$287),COLUMNS($J47:M47))),"")</f>
        <v>139</v>
      </c>
      <c r="N47" s="25" t="str">
        <f t="array" ref="N47">IFERROR(HYPERLINK("#KPI_Master!A"&amp;MATCH(SMALL(IF(KPI_Element_Map!$E$2:$E$287=$A47,KPI_Element_Map!$A$2:$A$287),COLUMNS($J47:N47)),KPI_Master!$A:$A,0)&amp;":P"&amp;MATCH(SMALL(IF(KPI_Element_Map!$E$2:$E$287=$A47,KPI_Element_Map!$A$2:$A$287),COLUMNS($J47:N47)),KPI_Master!$A:$A,0),SMALL(IF(KPI_Element_Map!$E$2:$E$287=$A47,KPI_Element_Map!$A$2:$A$287),COLUMNS($J47:N47))),"")</f>
        <v/>
      </c>
      <c r="O47" s="25" t="str">
        <f t="array" ref="O47">IFERROR(HYPERLINK("#KPI_Master!A"&amp;MATCH(SMALL(IF(KPI_Element_Map!$E$2:$E$287=$A47,KPI_Element_Map!$A$2:$A$287),COLUMNS($J47:O47)),KPI_Master!$A:$A,0)&amp;":P"&amp;MATCH(SMALL(IF(KPI_Element_Map!$E$2:$E$287=$A47,KPI_Element_Map!$A$2:$A$287),COLUMNS($J47:O47)),KPI_Master!$A:$A,0),SMALL(IF(KPI_Element_Map!$E$2:$E$287=$A47,KPI_Element_Map!$A$2:$A$287),COLUMNS($J47:O47))),"")</f>
        <v/>
      </c>
      <c r="P47" s="25" t="str">
        <f t="array" ref="P47">IFERROR(HYPERLINK("#KPI_Master!A"&amp;MATCH(SMALL(IF(KPI_Element_Map!$E$2:$E$287=$A47,KPI_Element_Map!$A$2:$A$287),COLUMNS($J47:P47)),KPI_Master!$A:$A,0)&amp;":P"&amp;MATCH(SMALL(IF(KPI_Element_Map!$E$2:$E$287=$A47,KPI_Element_Map!$A$2:$A$287),COLUMNS($J47:P47)),KPI_Master!$A:$A,0),SMALL(IF(KPI_Element_Map!$E$2:$E$287=$A47,KPI_Element_Map!$A$2:$A$287),COLUMNS($J47:P47))),"")</f>
        <v/>
      </c>
      <c r="Q47" s="25" t="str">
        <f t="array" ref="Q47">IFERROR(HYPERLINK("#KPI_Master!A"&amp;MATCH(SMALL(IF(KPI_Element_Map!$E$2:$E$287=$A47,KPI_Element_Map!$A$2:$A$287),COLUMNS($J47:Q47)),KPI_Master!$A:$A,0)&amp;":P"&amp;MATCH(SMALL(IF(KPI_Element_Map!$E$2:$E$287=$A47,KPI_Element_Map!$A$2:$A$287),COLUMNS($J47:Q47)),KPI_Master!$A:$A,0),SMALL(IF(KPI_Element_Map!$E$2:$E$287=$A47,KPI_Element_Map!$A$2:$A$287),COLUMNS($J47:Q47))),"")</f>
        <v/>
      </c>
      <c r="R47" s="25" t="str">
        <f t="array" ref="R47">IFERROR(HYPERLINK("#KPI_Master!A"&amp;MATCH(SMALL(IF(KPI_Element_Map!$E$2:$E$287=$A47,KPI_Element_Map!$A$2:$A$287),COLUMNS($J47:R47)),KPI_Master!$A:$A,0)&amp;":P"&amp;MATCH(SMALL(IF(KPI_Element_Map!$E$2:$E$287=$A47,KPI_Element_Map!$A$2:$A$287),COLUMNS($J47:R47)),KPI_Master!$A:$A,0),SMALL(IF(KPI_Element_Map!$E$2:$E$287=$A47,KPI_Element_Map!$A$2:$A$287),COLUMNS($J47:R47))),"")</f>
        <v/>
      </c>
      <c r="S47" s="25" t="str">
        <f t="array" ref="S47">IFERROR(HYPERLINK("#KPI_Master!A"&amp;MATCH(SMALL(IF(KPI_Element_Map!$E$2:$E$287=$A47,KPI_Element_Map!$A$2:$A$287),COLUMNS($J47:S47)),KPI_Master!$A:$A,0)&amp;":P"&amp;MATCH(SMALL(IF(KPI_Element_Map!$E$2:$E$287=$A47,KPI_Element_Map!$A$2:$A$287),COLUMNS($J47:S47)),KPI_Master!$A:$A,0),SMALL(IF(KPI_Element_Map!$E$2:$E$287=$A47,KPI_Element_Map!$A$2:$A$287),COLUMNS($J47:S47))),"")</f>
        <v/>
      </c>
      <c r="T47" s="25" t="str">
        <f t="array" ref="T47">IFERROR(HYPERLINK("#KPI_Master!A"&amp;MATCH(SMALL(IF(KPI_Element_Map!$E$2:$E$287=$A47,KPI_Element_Map!$A$2:$A$287),COLUMNS($J47:T47)),KPI_Master!$A:$A,0)&amp;":P"&amp;MATCH(SMALL(IF(KPI_Element_Map!$E$2:$E$287=$A47,KPI_Element_Map!$A$2:$A$287),COLUMNS($J47:T47)),KPI_Master!$A:$A,0),SMALL(IF(KPI_Element_Map!$E$2:$E$287=$A47,KPI_Element_Map!$A$2:$A$287),COLUMNS($J47:T47))),"")</f>
        <v/>
      </c>
      <c r="U47" s="25" t="str">
        <f t="array" ref="U47">IFERROR(HYPERLINK("#KPI_Master!A"&amp;MATCH(SMALL(IF(KPI_Element_Map!$E$2:$E$287=$A47,KPI_Element_Map!$A$2:$A$287),COLUMNS($J47:U47)),KPI_Master!$A:$A,0)&amp;":P"&amp;MATCH(SMALL(IF(KPI_Element_Map!$E$2:$E$287=$A47,KPI_Element_Map!$A$2:$A$287),COLUMNS($J47:U47)),KPI_Master!$A:$A,0),SMALL(IF(KPI_Element_Map!$E$2:$E$287=$A47,KPI_Element_Map!$A$2:$A$287),COLUMNS($J47:U47))),"")</f>
        <v/>
      </c>
      <c r="V47" s="25" t="str">
        <f t="array" ref="V47">IFERROR(HYPERLINK("#KPI_Master!A"&amp;MATCH(SMALL(IF(KPI_Element_Map!$E$2:$E$287=$A47,KPI_Element_Map!$A$2:$A$287),COLUMNS($J47:V47)),KPI_Master!$A:$A,0)&amp;":P"&amp;MATCH(SMALL(IF(KPI_Element_Map!$E$2:$E$287=$A47,KPI_Element_Map!$A$2:$A$287),COLUMNS($J47:V47)),KPI_Master!$A:$A,0),SMALL(IF(KPI_Element_Map!$E$2:$E$287=$A47,KPI_Element_Map!$A$2:$A$287),COLUMNS($J47:V47))),"")</f>
        <v/>
      </c>
      <c r="W47" s="25" t="str">
        <f t="array" ref="W47">IFERROR(HYPERLINK("#KPI_Master!A"&amp;MATCH(SMALL(IF(KPI_Element_Map!$E$2:$E$287=$A47,KPI_Element_Map!$A$2:$A$287),COLUMNS($J47:W47)),KPI_Master!$A:$A,0)&amp;":P"&amp;MATCH(SMALL(IF(KPI_Element_Map!$E$2:$E$287=$A47,KPI_Element_Map!$A$2:$A$287),COLUMNS($J47:W47)),KPI_Master!$A:$A,0),SMALL(IF(KPI_Element_Map!$E$2:$E$287=$A47,KPI_Element_Map!$A$2:$A$287),COLUMNS($J47:W47))),"")</f>
        <v/>
      </c>
      <c r="X47" s="25" t="str">
        <f t="array" ref="X47">IFERROR(HYPERLINK("#KPI_Master!A"&amp;MATCH(SMALL(IF(KPI_Element_Map!$E$2:$E$287=$A47,KPI_Element_Map!$A$2:$A$287),COLUMNS($J47:X47)),KPI_Master!$A:$A,0)&amp;":P"&amp;MATCH(SMALL(IF(KPI_Element_Map!$E$2:$E$287=$A47,KPI_Element_Map!$A$2:$A$287),COLUMNS($J47:X47)),KPI_Master!$A:$A,0),SMALL(IF(KPI_Element_Map!$E$2:$E$287=$A47,KPI_Element_Map!$A$2:$A$287),COLUMNS($J47:X47))),"")</f>
        <v/>
      </c>
      <c r="Y47" s="25" t="str">
        <f t="array" ref="Y47">IFERROR(HYPERLINK("#KPI_Master!A"&amp;MATCH(SMALL(IF(KPI_Element_Map!$E$2:$E$287=$A47,KPI_Element_Map!$A$2:$A$287),COLUMNS($J47:Y47)),KPI_Master!$A:$A,0)&amp;":P"&amp;MATCH(SMALL(IF(KPI_Element_Map!$E$2:$E$287=$A47,KPI_Element_Map!$A$2:$A$287),COLUMNS($J47:Y47)),KPI_Master!$A:$A,0),SMALL(IF(KPI_Element_Map!$E$2:$E$287=$A47,KPI_Element_Map!$A$2:$A$287),COLUMNS($J47:Y47))),"")</f>
        <v/>
      </c>
      <c r="Z47" s="25" t="str">
        <f t="array" ref="Z47">IFERROR(HYPERLINK("#KPI_Master!A"&amp;MATCH(SMALL(IF(KPI_Element_Map!$E$2:$E$287=$A47,KPI_Element_Map!$A$2:$A$287),COLUMNS($J47:Z47)),KPI_Master!$A:$A,0)&amp;":P"&amp;MATCH(SMALL(IF(KPI_Element_Map!$E$2:$E$287=$A47,KPI_Element_Map!$A$2:$A$287),COLUMNS($J47:Z47)),KPI_Master!$A:$A,0),SMALL(IF(KPI_Element_Map!$E$2:$E$287=$A47,KPI_Element_Map!$A$2:$A$287),COLUMNS($J47:Z47))),"")</f>
        <v/>
      </c>
      <c r="AA47" s="25" t="str">
        <f t="array" ref="AA47">IFERROR(HYPERLINK("#KPI_Master!A"&amp;MATCH(SMALL(IF(KPI_Element_Map!$E$2:$E$287=$A47,KPI_Element_Map!$A$2:$A$287),COLUMNS($J47:AA47)),KPI_Master!$A:$A,0)&amp;":P"&amp;MATCH(SMALL(IF(KPI_Element_Map!$E$2:$E$287=$A47,KPI_Element_Map!$A$2:$A$287),COLUMNS($J47:AA47)),KPI_Master!$A:$A,0),SMALL(IF(KPI_Element_Map!$E$2:$E$287=$A47,KPI_Element_Map!$A$2:$A$287),COLUMNS($J47:AA47))),"")</f>
        <v/>
      </c>
      <c r="AB47" s="25" t="str">
        <f t="array" ref="AB47">IFERROR(HYPERLINK("#KPI_Master!A"&amp;MATCH(SMALL(IF(KPI_Element_Map!$E$2:$E$287=$A47,KPI_Element_Map!$A$2:$A$287),COLUMNS($J47:AB47)),KPI_Master!$A:$A,0)&amp;":P"&amp;MATCH(SMALL(IF(KPI_Element_Map!$E$2:$E$287=$A47,KPI_Element_Map!$A$2:$A$287),COLUMNS($J47:AB47)),KPI_Master!$A:$A,0),SMALL(IF(KPI_Element_Map!$E$2:$E$287=$A47,KPI_Element_Map!$A$2:$A$287),COLUMNS($J47:AB47))),"")</f>
        <v/>
      </c>
      <c r="AC47" s="25" t="str">
        <f t="array" ref="AC47">IFERROR(HYPERLINK("#KPI_Master!A"&amp;MATCH(SMALL(IF(KPI_Element_Map!$E$2:$E$287=$A47,KPI_Element_Map!$A$2:$A$287),COLUMNS($J47:AC47)),KPI_Master!$A:$A,0)&amp;":P"&amp;MATCH(SMALL(IF(KPI_Element_Map!$E$2:$E$287=$A47,KPI_Element_Map!$A$2:$A$287),COLUMNS($J47:AC47)),KPI_Master!$A:$A,0),SMALL(IF(KPI_Element_Map!$E$2:$E$287=$A47,KPI_Element_Map!$A$2:$A$287),COLUMNS($J47:AC47))),"")</f>
        <v/>
      </c>
      <c r="AD47" s="25" t="str">
        <f t="array" ref="AD47">IFERROR(HYPERLINK("#KPI_Master!A"&amp;MATCH(SMALL(IF(KPI_Element_Map!$E$2:$E$287=$A47,KPI_Element_Map!$A$2:$A$287),COLUMNS($J47:AD47)),KPI_Master!$A:$A,0)&amp;":P"&amp;MATCH(SMALL(IF(KPI_Element_Map!$E$2:$E$287=$A47,KPI_Element_Map!$A$2:$A$287),COLUMNS($J47:AD47)),KPI_Master!$A:$A,0),SMALL(IF(KPI_Element_Map!$E$2:$E$287=$A47,KPI_Element_Map!$A$2:$A$287),COLUMNS($J47:AD47))),"")</f>
        <v/>
      </c>
      <c r="AE47" s="25" t="str">
        <f t="array" ref="AE47">IFERROR(HYPERLINK("#KPI_Master!A"&amp;MATCH(SMALL(IF(KPI_Element_Map!$E$2:$E$287=$A47,KPI_Element_Map!$A$2:$A$287),COLUMNS($J47:AE47)),KPI_Master!$A:$A,0)&amp;":P"&amp;MATCH(SMALL(IF(KPI_Element_Map!$E$2:$E$287=$A47,KPI_Element_Map!$A$2:$A$287),COLUMNS($J47:AE47)),KPI_Master!$A:$A,0),SMALL(IF(KPI_Element_Map!$E$2:$E$287=$A47,KPI_Element_Map!$A$2:$A$287),COLUMNS($J47:AE47))),"")</f>
        <v/>
      </c>
      <c r="AF47" s="25" t="str">
        <f t="array" ref="AF47">IFERROR(HYPERLINK("#KPI_Master!A"&amp;MATCH(SMALL(IF(KPI_Element_Map!$E$2:$E$287=$A47,KPI_Element_Map!$A$2:$A$287),COLUMNS($J47:AF47)),KPI_Master!$A:$A,0)&amp;":P"&amp;MATCH(SMALL(IF(KPI_Element_Map!$E$2:$E$287=$A47,KPI_Element_Map!$A$2:$A$287),COLUMNS($J47:AF47)),KPI_Master!$A:$A,0),SMALL(IF(KPI_Element_Map!$E$2:$E$287=$A47,KPI_Element_Map!$A$2:$A$287),COLUMNS($J47:AF47))),"")</f>
        <v/>
      </c>
      <c r="AG47" s="25" t="str">
        <f t="array" ref="AG47">IFERROR(HYPERLINK("#KPI_Master!A"&amp;MATCH(SMALL(IF(KPI_Element_Map!$E$2:$E$287=$A47,KPI_Element_Map!$A$2:$A$287),COLUMNS($J47:AG47)),KPI_Master!$A:$A,0)&amp;":P"&amp;MATCH(SMALL(IF(KPI_Element_Map!$E$2:$E$287=$A47,KPI_Element_Map!$A$2:$A$287),COLUMNS($J47:AG47)),KPI_Master!$A:$A,0),SMALL(IF(KPI_Element_Map!$E$2:$E$287=$A47,KPI_Element_Map!$A$2:$A$287),COLUMNS($J47:AG47))),"")</f>
        <v/>
      </c>
      <c r="AH47" s="25" t="str">
        <f t="array" ref="AH47">IFERROR(HYPERLINK("#KPI_Master!A"&amp;MATCH(SMALL(IF(KPI_Element_Map!$E$2:$E$287=$A47,KPI_Element_Map!$A$2:$A$287),COLUMNS($J47:AH47)),KPI_Master!$A:$A,0)&amp;":P"&amp;MATCH(SMALL(IF(KPI_Element_Map!$E$2:$E$287=$A47,KPI_Element_Map!$A$2:$A$287),COLUMNS($J47:AH47)),KPI_Master!$A:$A,0),SMALL(IF(KPI_Element_Map!$E$2:$E$287=$A47,KPI_Element_Map!$A$2:$A$287),COLUMNS($J47:AH47))),"")</f>
        <v/>
      </c>
    </row>
    <row r="48" spans="1:34">
      <c r="A48" s="21" t="s">
        <v>1075</v>
      </c>
      <c r="B48" s="22" t="s">
        <v>1076</v>
      </c>
      <c r="C48" s="23" t="s">
        <v>1077</v>
      </c>
      <c r="D48" s="23" t="str">
        <f t="array" ref="D48">_xlfn.TEXTJOIN(", ",TRUE(),IF(KPI_Element_Map!$E$2:$E$287=$A48,KPI_Element_Map!$A$2:$A$287,""))</f>
        <v>88, 89</v>
      </c>
      <c r="E48" s="21">
        <f>COUNTIF(KPI_Element_Map!$E$2:$E$287,$A48)</f>
        <v>2</v>
      </c>
      <c r="F48" s="21">
        <f>COUNTIFS(KPI_Element_Map!$E$2:$E$287,$A48,KPI_Element_Map!$D$2:$D$287,"1 - Core")</f>
        <v>0</v>
      </c>
      <c r="G48" s="24" t="s">
        <v>1078</v>
      </c>
      <c r="H48" s="23" t="str">
        <f>INDEX(Minimum_Documents!$B:$B,MATCH($G48,Minimum_Documents!$A:$A,0))</f>
        <v>Infection Surveillance Line Listing</v>
      </c>
      <c r="J48" s="25">
        <f t="array" ref="J48">IFERROR(HYPERLINK("#KPI_Master!A"&amp;MATCH(SMALL(IF(KPI_Element_Map!$E$2:$E$287=$A48,KPI_Element_Map!$A$2:$A$287),COLUMNS($J48:J48)),KPI_Master!$A:$A,0)&amp;":P"&amp;MATCH(SMALL(IF(KPI_Element_Map!$E$2:$E$287=$A48,KPI_Element_Map!$A$2:$A$287),COLUMNS($J48:J48)),KPI_Master!$A:$A,0),SMALL(IF(KPI_Element_Map!$E$2:$E$287=$A48,KPI_Element_Map!$A$2:$A$287),COLUMNS($J48:J48))),"")</f>
        <v>88</v>
      </c>
      <c r="K48" s="25">
        <f t="array" ref="K48">IFERROR(HYPERLINK("#KPI_Master!A"&amp;MATCH(SMALL(IF(KPI_Element_Map!$E$2:$E$287=$A48,KPI_Element_Map!$A$2:$A$287),COLUMNS($J48:K48)),KPI_Master!$A:$A,0)&amp;":P"&amp;MATCH(SMALL(IF(KPI_Element_Map!$E$2:$E$287=$A48,KPI_Element_Map!$A$2:$A$287),COLUMNS($J48:K48)),KPI_Master!$A:$A,0),SMALL(IF(KPI_Element_Map!$E$2:$E$287=$A48,KPI_Element_Map!$A$2:$A$287),COLUMNS($J48:K48))),"")</f>
        <v>89</v>
      </c>
      <c r="L48" s="25" t="str">
        <f t="array" ref="L48">IFERROR(HYPERLINK("#KPI_Master!A"&amp;MATCH(SMALL(IF(KPI_Element_Map!$E$2:$E$287=$A48,KPI_Element_Map!$A$2:$A$287),COLUMNS($J48:L48)),KPI_Master!$A:$A,0)&amp;":P"&amp;MATCH(SMALL(IF(KPI_Element_Map!$E$2:$E$287=$A48,KPI_Element_Map!$A$2:$A$287),COLUMNS($J48:L48)),KPI_Master!$A:$A,0),SMALL(IF(KPI_Element_Map!$E$2:$E$287=$A48,KPI_Element_Map!$A$2:$A$287),COLUMNS($J48:L48))),"")</f>
        <v/>
      </c>
      <c r="M48" s="25" t="str">
        <f t="array" ref="M48">IFERROR(HYPERLINK("#KPI_Master!A"&amp;MATCH(SMALL(IF(KPI_Element_Map!$E$2:$E$287=$A48,KPI_Element_Map!$A$2:$A$287),COLUMNS($J48:M48)),KPI_Master!$A:$A,0)&amp;":P"&amp;MATCH(SMALL(IF(KPI_Element_Map!$E$2:$E$287=$A48,KPI_Element_Map!$A$2:$A$287),COLUMNS($J48:M48)),KPI_Master!$A:$A,0),SMALL(IF(KPI_Element_Map!$E$2:$E$287=$A48,KPI_Element_Map!$A$2:$A$287),COLUMNS($J48:M48))),"")</f>
        <v/>
      </c>
      <c r="N48" s="25" t="str">
        <f t="array" ref="N48">IFERROR(HYPERLINK("#KPI_Master!A"&amp;MATCH(SMALL(IF(KPI_Element_Map!$E$2:$E$287=$A48,KPI_Element_Map!$A$2:$A$287),COLUMNS($J48:N48)),KPI_Master!$A:$A,0)&amp;":P"&amp;MATCH(SMALL(IF(KPI_Element_Map!$E$2:$E$287=$A48,KPI_Element_Map!$A$2:$A$287),COLUMNS($J48:N48)),KPI_Master!$A:$A,0),SMALL(IF(KPI_Element_Map!$E$2:$E$287=$A48,KPI_Element_Map!$A$2:$A$287),COLUMNS($J48:N48))),"")</f>
        <v/>
      </c>
      <c r="O48" s="25" t="str">
        <f t="array" ref="O48">IFERROR(HYPERLINK("#KPI_Master!A"&amp;MATCH(SMALL(IF(KPI_Element_Map!$E$2:$E$287=$A48,KPI_Element_Map!$A$2:$A$287),COLUMNS($J48:O48)),KPI_Master!$A:$A,0)&amp;":P"&amp;MATCH(SMALL(IF(KPI_Element_Map!$E$2:$E$287=$A48,KPI_Element_Map!$A$2:$A$287),COLUMNS($J48:O48)),KPI_Master!$A:$A,0),SMALL(IF(KPI_Element_Map!$E$2:$E$287=$A48,KPI_Element_Map!$A$2:$A$287),COLUMNS($J48:O48))),"")</f>
        <v/>
      </c>
      <c r="P48" s="25" t="str">
        <f t="array" ref="P48">IFERROR(HYPERLINK("#KPI_Master!A"&amp;MATCH(SMALL(IF(KPI_Element_Map!$E$2:$E$287=$A48,KPI_Element_Map!$A$2:$A$287),COLUMNS($J48:P48)),KPI_Master!$A:$A,0)&amp;":P"&amp;MATCH(SMALL(IF(KPI_Element_Map!$E$2:$E$287=$A48,KPI_Element_Map!$A$2:$A$287),COLUMNS($J48:P48)),KPI_Master!$A:$A,0),SMALL(IF(KPI_Element_Map!$E$2:$E$287=$A48,KPI_Element_Map!$A$2:$A$287),COLUMNS($J48:P48))),"")</f>
        <v/>
      </c>
      <c r="Q48" s="25" t="str">
        <f t="array" ref="Q48">IFERROR(HYPERLINK("#KPI_Master!A"&amp;MATCH(SMALL(IF(KPI_Element_Map!$E$2:$E$287=$A48,KPI_Element_Map!$A$2:$A$287),COLUMNS($J48:Q48)),KPI_Master!$A:$A,0)&amp;":P"&amp;MATCH(SMALL(IF(KPI_Element_Map!$E$2:$E$287=$A48,KPI_Element_Map!$A$2:$A$287),COLUMNS($J48:Q48)),KPI_Master!$A:$A,0),SMALL(IF(KPI_Element_Map!$E$2:$E$287=$A48,KPI_Element_Map!$A$2:$A$287),COLUMNS($J48:Q48))),"")</f>
        <v/>
      </c>
      <c r="R48" s="25" t="str">
        <f t="array" ref="R48">IFERROR(HYPERLINK("#KPI_Master!A"&amp;MATCH(SMALL(IF(KPI_Element_Map!$E$2:$E$287=$A48,KPI_Element_Map!$A$2:$A$287),COLUMNS($J48:R48)),KPI_Master!$A:$A,0)&amp;":P"&amp;MATCH(SMALL(IF(KPI_Element_Map!$E$2:$E$287=$A48,KPI_Element_Map!$A$2:$A$287),COLUMNS($J48:R48)),KPI_Master!$A:$A,0),SMALL(IF(KPI_Element_Map!$E$2:$E$287=$A48,KPI_Element_Map!$A$2:$A$287),COLUMNS($J48:R48))),"")</f>
        <v/>
      </c>
      <c r="S48" s="25" t="str">
        <f t="array" ref="S48">IFERROR(HYPERLINK("#KPI_Master!A"&amp;MATCH(SMALL(IF(KPI_Element_Map!$E$2:$E$287=$A48,KPI_Element_Map!$A$2:$A$287),COLUMNS($J48:S48)),KPI_Master!$A:$A,0)&amp;":P"&amp;MATCH(SMALL(IF(KPI_Element_Map!$E$2:$E$287=$A48,KPI_Element_Map!$A$2:$A$287),COLUMNS($J48:S48)),KPI_Master!$A:$A,0),SMALL(IF(KPI_Element_Map!$E$2:$E$287=$A48,KPI_Element_Map!$A$2:$A$287),COLUMNS($J48:S48))),"")</f>
        <v/>
      </c>
      <c r="T48" s="25" t="str">
        <f t="array" ref="T48">IFERROR(HYPERLINK("#KPI_Master!A"&amp;MATCH(SMALL(IF(KPI_Element_Map!$E$2:$E$287=$A48,KPI_Element_Map!$A$2:$A$287),COLUMNS($J48:T48)),KPI_Master!$A:$A,0)&amp;":P"&amp;MATCH(SMALL(IF(KPI_Element_Map!$E$2:$E$287=$A48,KPI_Element_Map!$A$2:$A$287),COLUMNS($J48:T48)),KPI_Master!$A:$A,0),SMALL(IF(KPI_Element_Map!$E$2:$E$287=$A48,KPI_Element_Map!$A$2:$A$287),COLUMNS($J48:T48))),"")</f>
        <v/>
      </c>
      <c r="U48" s="25" t="str">
        <f t="array" ref="U48">IFERROR(HYPERLINK("#KPI_Master!A"&amp;MATCH(SMALL(IF(KPI_Element_Map!$E$2:$E$287=$A48,KPI_Element_Map!$A$2:$A$287),COLUMNS($J48:U48)),KPI_Master!$A:$A,0)&amp;":P"&amp;MATCH(SMALL(IF(KPI_Element_Map!$E$2:$E$287=$A48,KPI_Element_Map!$A$2:$A$287),COLUMNS($J48:U48)),KPI_Master!$A:$A,0),SMALL(IF(KPI_Element_Map!$E$2:$E$287=$A48,KPI_Element_Map!$A$2:$A$287),COLUMNS($J48:U48))),"")</f>
        <v/>
      </c>
      <c r="V48" s="25" t="str">
        <f t="array" ref="V48">IFERROR(HYPERLINK("#KPI_Master!A"&amp;MATCH(SMALL(IF(KPI_Element_Map!$E$2:$E$287=$A48,KPI_Element_Map!$A$2:$A$287),COLUMNS($J48:V48)),KPI_Master!$A:$A,0)&amp;":P"&amp;MATCH(SMALL(IF(KPI_Element_Map!$E$2:$E$287=$A48,KPI_Element_Map!$A$2:$A$287),COLUMNS($J48:V48)),KPI_Master!$A:$A,0),SMALL(IF(KPI_Element_Map!$E$2:$E$287=$A48,KPI_Element_Map!$A$2:$A$287),COLUMNS($J48:V48))),"")</f>
        <v/>
      </c>
      <c r="W48" s="25" t="str">
        <f t="array" ref="W48">IFERROR(HYPERLINK("#KPI_Master!A"&amp;MATCH(SMALL(IF(KPI_Element_Map!$E$2:$E$287=$A48,KPI_Element_Map!$A$2:$A$287),COLUMNS($J48:W48)),KPI_Master!$A:$A,0)&amp;":P"&amp;MATCH(SMALL(IF(KPI_Element_Map!$E$2:$E$287=$A48,KPI_Element_Map!$A$2:$A$287),COLUMNS($J48:W48)),KPI_Master!$A:$A,0),SMALL(IF(KPI_Element_Map!$E$2:$E$287=$A48,KPI_Element_Map!$A$2:$A$287),COLUMNS($J48:W48))),"")</f>
        <v/>
      </c>
      <c r="X48" s="25" t="str">
        <f t="array" ref="X48">IFERROR(HYPERLINK("#KPI_Master!A"&amp;MATCH(SMALL(IF(KPI_Element_Map!$E$2:$E$287=$A48,KPI_Element_Map!$A$2:$A$287),COLUMNS($J48:X48)),KPI_Master!$A:$A,0)&amp;":P"&amp;MATCH(SMALL(IF(KPI_Element_Map!$E$2:$E$287=$A48,KPI_Element_Map!$A$2:$A$287),COLUMNS($J48:X48)),KPI_Master!$A:$A,0),SMALL(IF(KPI_Element_Map!$E$2:$E$287=$A48,KPI_Element_Map!$A$2:$A$287),COLUMNS($J48:X48))),"")</f>
        <v/>
      </c>
      <c r="Y48" s="25" t="str">
        <f t="array" ref="Y48">IFERROR(HYPERLINK("#KPI_Master!A"&amp;MATCH(SMALL(IF(KPI_Element_Map!$E$2:$E$287=$A48,KPI_Element_Map!$A$2:$A$287),COLUMNS($J48:Y48)),KPI_Master!$A:$A,0)&amp;":P"&amp;MATCH(SMALL(IF(KPI_Element_Map!$E$2:$E$287=$A48,KPI_Element_Map!$A$2:$A$287),COLUMNS($J48:Y48)),KPI_Master!$A:$A,0),SMALL(IF(KPI_Element_Map!$E$2:$E$287=$A48,KPI_Element_Map!$A$2:$A$287),COLUMNS($J48:Y48))),"")</f>
        <v/>
      </c>
      <c r="Z48" s="25" t="str">
        <f t="array" ref="Z48">IFERROR(HYPERLINK("#KPI_Master!A"&amp;MATCH(SMALL(IF(KPI_Element_Map!$E$2:$E$287=$A48,KPI_Element_Map!$A$2:$A$287),COLUMNS($J48:Z48)),KPI_Master!$A:$A,0)&amp;":P"&amp;MATCH(SMALL(IF(KPI_Element_Map!$E$2:$E$287=$A48,KPI_Element_Map!$A$2:$A$287),COLUMNS($J48:Z48)),KPI_Master!$A:$A,0),SMALL(IF(KPI_Element_Map!$E$2:$E$287=$A48,KPI_Element_Map!$A$2:$A$287),COLUMNS($J48:Z48))),"")</f>
        <v/>
      </c>
      <c r="AA48" s="25" t="str">
        <f t="array" ref="AA48">IFERROR(HYPERLINK("#KPI_Master!A"&amp;MATCH(SMALL(IF(KPI_Element_Map!$E$2:$E$287=$A48,KPI_Element_Map!$A$2:$A$287),COLUMNS($J48:AA48)),KPI_Master!$A:$A,0)&amp;":P"&amp;MATCH(SMALL(IF(KPI_Element_Map!$E$2:$E$287=$A48,KPI_Element_Map!$A$2:$A$287),COLUMNS($J48:AA48)),KPI_Master!$A:$A,0),SMALL(IF(KPI_Element_Map!$E$2:$E$287=$A48,KPI_Element_Map!$A$2:$A$287),COLUMNS($J48:AA48))),"")</f>
        <v/>
      </c>
      <c r="AB48" s="25" t="str">
        <f t="array" ref="AB48">IFERROR(HYPERLINK("#KPI_Master!A"&amp;MATCH(SMALL(IF(KPI_Element_Map!$E$2:$E$287=$A48,KPI_Element_Map!$A$2:$A$287),COLUMNS($J48:AB48)),KPI_Master!$A:$A,0)&amp;":P"&amp;MATCH(SMALL(IF(KPI_Element_Map!$E$2:$E$287=$A48,KPI_Element_Map!$A$2:$A$287),COLUMNS($J48:AB48)),KPI_Master!$A:$A,0),SMALL(IF(KPI_Element_Map!$E$2:$E$287=$A48,KPI_Element_Map!$A$2:$A$287),COLUMNS($J48:AB48))),"")</f>
        <v/>
      </c>
      <c r="AC48" s="25" t="str">
        <f t="array" ref="AC48">IFERROR(HYPERLINK("#KPI_Master!A"&amp;MATCH(SMALL(IF(KPI_Element_Map!$E$2:$E$287=$A48,KPI_Element_Map!$A$2:$A$287),COLUMNS($J48:AC48)),KPI_Master!$A:$A,0)&amp;":P"&amp;MATCH(SMALL(IF(KPI_Element_Map!$E$2:$E$287=$A48,KPI_Element_Map!$A$2:$A$287),COLUMNS($J48:AC48)),KPI_Master!$A:$A,0),SMALL(IF(KPI_Element_Map!$E$2:$E$287=$A48,KPI_Element_Map!$A$2:$A$287),COLUMNS($J48:AC48))),"")</f>
        <v/>
      </c>
      <c r="AD48" s="25" t="str">
        <f t="array" ref="AD48">IFERROR(HYPERLINK("#KPI_Master!A"&amp;MATCH(SMALL(IF(KPI_Element_Map!$E$2:$E$287=$A48,KPI_Element_Map!$A$2:$A$287),COLUMNS($J48:AD48)),KPI_Master!$A:$A,0)&amp;":P"&amp;MATCH(SMALL(IF(KPI_Element_Map!$E$2:$E$287=$A48,KPI_Element_Map!$A$2:$A$287),COLUMNS($J48:AD48)),KPI_Master!$A:$A,0),SMALL(IF(KPI_Element_Map!$E$2:$E$287=$A48,KPI_Element_Map!$A$2:$A$287),COLUMNS($J48:AD48))),"")</f>
        <v/>
      </c>
      <c r="AE48" s="25" t="str">
        <f t="array" ref="AE48">IFERROR(HYPERLINK("#KPI_Master!A"&amp;MATCH(SMALL(IF(KPI_Element_Map!$E$2:$E$287=$A48,KPI_Element_Map!$A$2:$A$287),COLUMNS($J48:AE48)),KPI_Master!$A:$A,0)&amp;":P"&amp;MATCH(SMALL(IF(KPI_Element_Map!$E$2:$E$287=$A48,KPI_Element_Map!$A$2:$A$287),COLUMNS($J48:AE48)),KPI_Master!$A:$A,0),SMALL(IF(KPI_Element_Map!$E$2:$E$287=$A48,KPI_Element_Map!$A$2:$A$287),COLUMNS($J48:AE48))),"")</f>
        <v/>
      </c>
      <c r="AF48" s="25" t="str">
        <f t="array" ref="AF48">IFERROR(HYPERLINK("#KPI_Master!A"&amp;MATCH(SMALL(IF(KPI_Element_Map!$E$2:$E$287=$A48,KPI_Element_Map!$A$2:$A$287),COLUMNS($J48:AF48)),KPI_Master!$A:$A,0)&amp;":P"&amp;MATCH(SMALL(IF(KPI_Element_Map!$E$2:$E$287=$A48,KPI_Element_Map!$A$2:$A$287),COLUMNS($J48:AF48)),KPI_Master!$A:$A,0),SMALL(IF(KPI_Element_Map!$E$2:$E$287=$A48,KPI_Element_Map!$A$2:$A$287),COLUMNS($J48:AF48))),"")</f>
        <v/>
      </c>
      <c r="AG48" s="25" t="str">
        <f t="array" ref="AG48">IFERROR(HYPERLINK("#KPI_Master!A"&amp;MATCH(SMALL(IF(KPI_Element_Map!$E$2:$E$287=$A48,KPI_Element_Map!$A$2:$A$287),COLUMNS($J48:AG48)),KPI_Master!$A:$A,0)&amp;":P"&amp;MATCH(SMALL(IF(KPI_Element_Map!$E$2:$E$287=$A48,KPI_Element_Map!$A$2:$A$287),COLUMNS($J48:AG48)),KPI_Master!$A:$A,0),SMALL(IF(KPI_Element_Map!$E$2:$E$287=$A48,KPI_Element_Map!$A$2:$A$287),COLUMNS($J48:AG48))),"")</f>
        <v/>
      </c>
      <c r="AH48" s="25" t="str">
        <f t="array" ref="AH48">IFERROR(HYPERLINK("#KPI_Master!A"&amp;MATCH(SMALL(IF(KPI_Element_Map!$E$2:$E$287=$A48,KPI_Element_Map!$A$2:$A$287),COLUMNS($J48:AH48)),KPI_Master!$A:$A,0)&amp;":P"&amp;MATCH(SMALL(IF(KPI_Element_Map!$E$2:$E$287=$A48,KPI_Element_Map!$A$2:$A$287),COLUMNS($J48:AH48)),KPI_Master!$A:$A,0),SMALL(IF(KPI_Element_Map!$E$2:$E$287=$A48,KPI_Element_Map!$A$2:$A$287),COLUMNS($J48:AH48))),"")</f>
        <v/>
      </c>
    </row>
    <row r="49" spans="1:34">
      <c r="A49" s="21" t="s">
        <v>1079</v>
      </c>
      <c r="B49" s="22" t="s">
        <v>1080</v>
      </c>
      <c r="C49" s="23" t="s">
        <v>1081</v>
      </c>
      <c r="D49" s="23" t="str">
        <f t="array" ref="D49">_xlfn.TEXTJOIN(", ",TRUE(),IF(KPI_Element_Map!$E$2:$E$287=$A49,KPI_Element_Map!$A$2:$A$287,""))</f>
        <v>6, 7, 128</v>
      </c>
      <c r="E49" s="21">
        <f>COUNTIF(KPI_Element_Map!$E$2:$E$287,$A49)</f>
        <v>3</v>
      </c>
      <c r="F49" s="21">
        <f>COUNTIFS(KPI_Element_Map!$E$2:$E$287,$A49,KPI_Element_Map!$D$2:$D$287,"1 - Core")</f>
        <v>0</v>
      </c>
      <c r="G49" s="24" t="s">
        <v>1082</v>
      </c>
      <c r="H49" s="23" t="str">
        <f>INDEX(Minimum_Documents!$B:$B,MATCH($G49,Minimum_Documents!$A:$A,0))</f>
        <v>Quality Audit Tool Export (IP, sanitation, tray-line audits)</v>
      </c>
      <c r="J49" s="25">
        <f t="array" ref="J49">IFERROR(HYPERLINK("#KPI_Master!A"&amp;MATCH(SMALL(IF(KPI_Element_Map!$E$2:$E$287=$A49,KPI_Element_Map!$A$2:$A$287),COLUMNS($J49:J49)),KPI_Master!$A:$A,0)&amp;":P"&amp;MATCH(SMALL(IF(KPI_Element_Map!$E$2:$E$287=$A49,KPI_Element_Map!$A$2:$A$287),COLUMNS($J49:J49)),KPI_Master!$A:$A,0),SMALL(IF(KPI_Element_Map!$E$2:$E$287=$A49,KPI_Element_Map!$A$2:$A$287),COLUMNS($J49:J49))),"")</f>
        <v>6</v>
      </c>
      <c r="K49" s="25">
        <f t="array" ref="K49">IFERROR(HYPERLINK("#KPI_Master!A"&amp;MATCH(SMALL(IF(KPI_Element_Map!$E$2:$E$287=$A49,KPI_Element_Map!$A$2:$A$287),COLUMNS($J49:K49)),KPI_Master!$A:$A,0)&amp;":P"&amp;MATCH(SMALL(IF(KPI_Element_Map!$E$2:$E$287=$A49,KPI_Element_Map!$A$2:$A$287),COLUMNS($J49:K49)),KPI_Master!$A:$A,0),SMALL(IF(KPI_Element_Map!$E$2:$E$287=$A49,KPI_Element_Map!$A$2:$A$287),COLUMNS($J49:K49))),"")</f>
        <v>7</v>
      </c>
      <c r="L49" s="25">
        <f t="array" ref="L49">IFERROR(HYPERLINK("#KPI_Master!A"&amp;MATCH(SMALL(IF(KPI_Element_Map!$E$2:$E$287=$A49,KPI_Element_Map!$A$2:$A$287),COLUMNS($J49:L49)),KPI_Master!$A:$A,0)&amp;":P"&amp;MATCH(SMALL(IF(KPI_Element_Map!$E$2:$E$287=$A49,KPI_Element_Map!$A$2:$A$287),COLUMNS($J49:L49)),KPI_Master!$A:$A,0),SMALL(IF(KPI_Element_Map!$E$2:$E$287=$A49,KPI_Element_Map!$A$2:$A$287),COLUMNS($J49:L49))),"")</f>
        <v>128</v>
      </c>
      <c r="M49" s="25" t="str">
        <f t="array" ref="M49">IFERROR(HYPERLINK("#KPI_Master!A"&amp;MATCH(SMALL(IF(KPI_Element_Map!$E$2:$E$287=$A49,KPI_Element_Map!$A$2:$A$287),COLUMNS($J49:M49)),KPI_Master!$A:$A,0)&amp;":P"&amp;MATCH(SMALL(IF(KPI_Element_Map!$E$2:$E$287=$A49,KPI_Element_Map!$A$2:$A$287),COLUMNS($J49:M49)),KPI_Master!$A:$A,0),SMALL(IF(KPI_Element_Map!$E$2:$E$287=$A49,KPI_Element_Map!$A$2:$A$287),COLUMNS($J49:M49))),"")</f>
        <v/>
      </c>
      <c r="N49" s="25" t="str">
        <f t="array" ref="N49">IFERROR(HYPERLINK("#KPI_Master!A"&amp;MATCH(SMALL(IF(KPI_Element_Map!$E$2:$E$287=$A49,KPI_Element_Map!$A$2:$A$287),COLUMNS($J49:N49)),KPI_Master!$A:$A,0)&amp;":P"&amp;MATCH(SMALL(IF(KPI_Element_Map!$E$2:$E$287=$A49,KPI_Element_Map!$A$2:$A$287),COLUMNS($J49:N49)),KPI_Master!$A:$A,0),SMALL(IF(KPI_Element_Map!$E$2:$E$287=$A49,KPI_Element_Map!$A$2:$A$287),COLUMNS($J49:N49))),"")</f>
        <v/>
      </c>
      <c r="O49" s="25" t="str">
        <f t="array" ref="O49">IFERROR(HYPERLINK("#KPI_Master!A"&amp;MATCH(SMALL(IF(KPI_Element_Map!$E$2:$E$287=$A49,KPI_Element_Map!$A$2:$A$287),COLUMNS($J49:O49)),KPI_Master!$A:$A,0)&amp;":P"&amp;MATCH(SMALL(IF(KPI_Element_Map!$E$2:$E$287=$A49,KPI_Element_Map!$A$2:$A$287),COLUMNS($J49:O49)),KPI_Master!$A:$A,0),SMALL(IF(KPI_Element_Map!$E$2:$E$287=$A49,KPI_Element_Map!$A$2:$A$287),COLUMNS($J49:O49))),"")</f>
        <v/>
      </c>
      <c r="P49" s="25" t="str">
        <f t="array" ref="P49">IFERROR(HYPERLINK("#KPI_Master!A"&amp;MATCH(SMALL(IF(KPI_Element_Map!$E$2:$E$287=$A49,KPI_Element_Map!$A$2:$A$287),COLUMNS($J49:P49)),KPI_Master!$A:$A,0)&amp;":P"&amp;MATCH(SMALL(IF(KPI_Element_Map!$E$2:$E$287=$A49,KPI_Element_Map!$A$2:$A$287),COLUMNS($J49:P49)),KPI_Master!$A:$A,0),SMALL(IF(KPI_Element_Map!$E$2:$E$287=$A49,KPI_Element_Map!$A$2:$A$287),COLUMNS($J49:P49))),"")</f>
        <v/>
      </c>
      <c r="Q49" s="25" t="str">
        <f t="array" ref="Q49">IFERROR(HYPERLINK("#KPI_Master!A"&amp;MATCH(SMALL(IF(KPI_Element_Map!$E$2:$E$287=$A49,KPI_Element_Map!$A$2:$A$287),COLUMNS($J49:Q49)),KPI_Master!$A:$A,0)&amp;":P"&amp;MATCH(SMALL(IF(KPI_Element_Map!$E$2:$E$287=$A49,KPI_Element_Map!$A$2:$A$287),COLUMNS($J49:Q49)),KPI_Master!$A:$A,0),SMALL(IF(KPI_Element_Map!$E$2:$E$287=$A49,KPI_Element_Map!$A$2:$A$287),COLUMNS($J49:Q49))),"")</f>
        <v/>
      </c>
      <c r="R49" s="25" t="str">
        <f t="array" ref="R49">IFERROR(HYPERLINK("#KPI_Master!A"&amp;MATCH(SMALL(IF(KPI_Element_Map!$E$2:$E$287=$A49,KPI_Element_Map!$A$2:$A$287),COLUMNS($J49:R49)),KPI_Master!$A:$A,0)&amp;":P"&amp;MATCH(SMALL(IF(KPI_Element_Map!$E$2:$E$287=$A49,KPI_Element_Map!$A$2:$A$287),COLUMNS($J49:R49)),KPI_Master!$A:$A,0),SMALL(IF(KPI_Element_Map!$E$2:$E$287=$A49,KPI_Element_Map!$A$2:$A$287),COLUMNS($J49:R49))),"")</f>
        <v/>
      </c>
      <c r="S49" s="25" t="str">
        <f t="array" ref="S49">IFERROR(HYPERLINK("#KPI_Master!A"&amp;MATCH(SMALL(IF(KPI_Element_Map!$E$2:$E$287=$A49,KPI_Element_Map!$A$2:$A$287),COLUMNS($J49:S49)),KPI_Master!$A:$A,0)&amp;":P"&amp;MATCH(SMALL(IF(KPI_Element_Map!$E$2:$E$287=$A49,KPI_Element_Map!$A$2:$A$287),COLUMNS($J49:S49)),KPI_Master!$A:$A,0),SMALL(IF(KPI_Element_Map!$E$2:$E$287=$A49,KPI_Element_Map!$A$2:$A$287),COLUMNS($J49:S49))),"")</f>
        <v/>
      </c>
      <c r="T49" s="25" t="str">
        <f t="array" ref="T49">IFERROR(HYPERLINK("#KPI_Master!A"&amp;MATCH(SMALL(IF(KPI_Element_Map!$E$2:$E$287=$A49,KPI_Element_Map!$A$2:$A$287),COLUMNS($J49:T49)),KPI_Master!$A:$A,0)&amp;":P"&amp;MATCH(SMALL(IF(KPI_Element_Map!$E$2:$E$287=$A49,KPI_Element_Map!$A$2:$A$287),COLUMNS($J49:T49)),KPI_Master!$A:$A,0),SMALL(IF(KPI_Element_Map!$E$2:$E$287=$A49,KPI_Element_Map!$A$2:$A$287),COLUMNS($J49:T49))),"")</f>
        <v/>
      </c>
      <c r="U49" s="25" t="str">
        <f t="array" ref="U49">IFERROR(HYPERLINK("#KPI_Master!A"&amp;MATCH(SMALL(IF(KPI_Element_Map!$E$2:$E$287=$A49,KPI_Element_Map!$A$2:$A$287),COLUMNS($J49:U49)),KPI_Master!$A:$A,0)&amp;":P"&amp;MATCH(SMALL(IF(KPI_Element_Map!$E$2:$E$287=$A49,KPI_Element_Map!$A$2:$A$287),COLUMNS($J49:U49)),KPI_Master!$A:$A,0),SMALL(IF(KPI_Element_Map!$E$2:$E$287=$A49,KPI_Element_Map!$A$2:$A$287),COLUMNS($J49:U49))),"")</f>
        <v/>
      </c>
      <c r="V49" s="25" t="str">
        <f t="array" ref="V49">IFERROR(HYPERLINK("#KPI_Master!A"&amp;MATCH(SMALL(IF(KPI_Element_Map!$E$2:$E$287=$A49,KPI_Element_Map!$A$2:$A$287),COLUMNS($J49:V49)),KPI_Master!$A:$A,0)&amp;":P"&amp;MATCH(SMALL(IF(KPI_Element_Map!$E$2:$E$287=$A49,KPI_Element_Map!$A$2:$A$287),COLUMNS($J49:V49)),KPI_Master!$A:$A,0),SMALL(IF(KPI_Element_Map!$E$2:$E$287=$A49,KPI_Element_Map!$A$2:$A$287),COLUMNS($J49:V49))),"")</f>
        <v/>
      </c>
      <c r="W49" s="25" t="str">
        <f t="array" ref="W49">IFERROR(HYPERLINK("#KPI_Master!A"&amp;MATCH(SMALL(IF(KPI_Element_Map!$E$2:$E$287=$A49,KPI_Element_Map!$A$2:$A$287),COLUMNS($J49:W49)),KPI_Master!$A:$A,0)&amp;":P"&amp;MATCH(SMALL(IF(KPI_Element_Map!$E$2:$E$287=$A49,KPI_Element_Map!$A$2:$A$287),COLUMNS($J49:W49)),KPI_Master!$A:$A,0),SMALL(IF(KPI_Element_Map!$E$2:$E$287=$A49,KPI_Element_Map!$A$2:$A$287),COLUMNS($J49:W49))),"")</f>
        <v/>
      </c>
      <c r="X49" s="25" t="str">
        <f t="array" ref="X49">IFERROR(HYPERLINK("#KPI_Master!A"&amp;MATCH(SMALL(IF(KPI_Element_Map!$E$2:$E$287=$A49,KPI_Element_Map!$A$2:$A$287),COLUMNS($J49:X49)),KPI_Master!$A:$A,0)&amp;":P"&amp;MATCH(SMALL(IF(KPI_Element_Map!$E$2:$E$287=$A49,KPI_Element_Map!$A$2:$A$287),COLUMNS($J49:X49)),KPI_Master!$A:$A,0),SMALL(IF(KPI_Element_Map!$E$2:$E$287=$A49,KPI_Element_Map!$A$2:$A$287),COLUMNS($J49:X49))),"")</f>
        <v/>
      </c>
      <c r="Y49" s="25" t="str">
        <f t="array" ref="Y49">IFERROR(HYPERLINK("#KPI_Master!A"&amp;MATCH(SMALL(IF(KPI_Element_Map!$E$2:$E$287=$A49,KPI_Element_Map!$A$2:$A$287),COLUMNS($J49:Y49)),KPI_Master!$A:$A,0)&amp;":P"&amp;MATCH(SMALL(IF(KPI_Element_Map!$E$2:$E$287=$A49,KPI_Element_Map!$A$2:$A$287),COLUMNS($J49:Y49)),KPI_Master!$A:$A,0),SMALL(IF(KPI_Element_Map!$E$2:$E$287=$A49,KPI_Element_Map!$A$2:$A$287),COLUMNS($J49:Y49))),"")</f>
        <v/>
      </c>
      <c r="Z49" s="25" t="str">
        <f t="array" ref="Z49">IFERROR(HYPERLINK("#KPI_Master!A"&amp;MATCH(SMALL(IF(KPI_Element_Map!$E$2:$E$287=$A49,KPI_Element_Map!$A$2:$A$287),COLUMNS($J49:Z49)),KPI_Master!$A:$A,0)&amp;":P"&amp;MATCH(SMALL(IF(KPI_Element_Map!$E$2:$E$287=$A49,KPI_Element_Map!$A$2:$A$287),COLUMNS($J49:Z49)),KPI_Master!$A:$A,0),SMALL(IF(KPI_Element_Map!$E$2:$E$287=$A49,KPI_Element_Map!$A$2:$A$287),COLUMNS($J49:Z49))),"")</f>
        <v/>
      </c>
      <c r="AA49" s="25" t="str">
        <f t="array" ref="AA49">IFERROR(HYPERLINK("#KPI_Master!A"&amp;MATCH(SMALL(IF(KPI_Element_Map!$E$2:$E$287=$A49,KPI_Element_Map!$A$2:$A$287),COLUMNS($J49:AA49)),KPI_Master!$A:$A,0)&amp;":P"&amp;MATCH(SMALL(IF(KPI_Element_Map!$E$2:$E$287=$A49,KPI_Element_Map!$A$2:$A$287),COLUMNS($J49:AA49)),KPI_Master!$A:$A,0),SMALL(IF(KPI_Element_Map!$E$2:$E$287=$A49,KPI_Element_Map!$A$2:$A$287),COLUMNS($J49:AA49))),"")</f>
        <v/>
      </c>
      <c r="AB49" s="25" t="str">
        <f t="array" ref="AB49">IFERROR(HYPERLINK("#KPI_Master!A"&amp;MATCH(SMALL(IF(KPI_Element_Map!$E$2:$E$287=$A49,KPI_Element_Map!$A$2:$A$287),COLUMNS($J49:AB49)),KPI_Master!$A:$A,0)&amp;":P"&amp;MATCH(SMALL(IF(KPI_Element_Map!$E$2:$E$287=$A49,KPI_Element_Map!$A$2:$A$287),COLUMNS($J49:AB49)),KPI_Master!$A:$A,0),SMALL(IF(KPI_Element_Map!$E$2:$E$287=$A49,KPI_Element_Map!$A$2:$A$287),COLUMNS($J49:AB49))),"")</f>
        <v/>
      </c>
      <c r="AC49" s="25" t="str">
        <f t="array" ref="AC49">IFERROR(HYPERLINK("#KPI_Master!A"&amp;MATCH(SMALL(IF(KPI_Element_Map!$E$2:$E$287=$A49,KPI_Element_Map!$A$2:$A$287),COLUMNS($J49:AC49)),KPI_Master!$A:$A,0)&amp;":P"&amp;MATCH(SMALL(IF(KPI_Element_Map!$E$2:$E$287=$A49,KPI_Element_Map!$A$2:$A$287),COLUMNS($J49:AC49)),KPI_Master!$A:$A,0),SMALL(IF(KPI_Element_Map!$E$2:$E$287=$A49,KPI_Element_Map!$A$2:$A$287),COLUMNS($J49:AC49))),"")</f>
        <v/>
      </c>
      <c r="AD49" s="25" t="str">
        <f t="array" ref="AD49">IFERROR(HYPERLINK("#KPI_Master!A"&amp;MATCH(SMALL(IF(KPI_Element_Map!$E$2:$E$287=$A49,KPI_Element_Map!$A$2:$A$287),COLUMNS($J49:AD49)),KPI_Master!$A:$A,0)&amp;":P"&amp;MATCH(SMALL(IF(KPI_Element_Map!$E$2:$E$287=$A49,KPI_Element_Map!$A$2:$A$287),COLUMNS($J49:AD49)),KPI_Master!$A:$A,0),SMALL(IF(KPI_Element_Map!$E$2:$E$287=$A49,KPI_Element_Map!$A$2:$A$287),COLUMNS($J49:AD49))),"")</f>
        <v/>
      </c>
      <c r="AE49" s="25" t="str">
        <f t="array" ref="AE49">IFERROR(HYPERLINK("#KPI_Master!A"&amp;MATCH(SMALL(IF(KPI_Element_Map!$E$2:$E$287=$A49,KPI_Element_Map!$A$2:$A$287),COLUMNS($J49:AE49)),KPI_Master!$A:$A,0)&amp;":P"&amp;MATCH(SMALL(IF(KPI_Element_Map!$E$2:$E$287=$A49,KPI_Element_Map!$A$2:$A$287),COLUMNS($J49:AE49)),KPI_Master!$A:$A,0),SMALL(IF(KPI_Element_Map!$E$2:$E$287=$A49,KPI_Element_Map!$A$2:$A$287),COLUMNS($J49:AE49))),"")</f>
        <v/>
      </c>
      <c r="AF49" s="25" t="str">
        <f t="array" ref="AF49">IFERROR(HYPERLINK("#KPI_Master!A"&amp;MATCH(SMALL(IF(KPI_Element_Map!$E$2:$E$287=$A49,KPI_Element_Map!$A$2:$A$287),COLUMNS($J49:AF49)),KPI_Master!$A:$A,0)&amp;":P"&amp;MATCH(SMALL(IF(KPI_Element_Map!$E$2:$E$287=$A49,KPI_Element_Map!$A$2:$A$287),COLUMNS($J49:AF49)),KPI_Master!$A:$A,0),SMALL(IF(KPI_Element_Map!$E$2:$E$287=$A49,KPI_Element_Map!$A$2:$A$287),COLUMNS($J49:AF49))),"")</f>
        <v/>
      </c>
      <c r="AG49" s="25" t="str">
        <f t="array" ref="AG49">IFERROR(HYPERLINK("#KPI_Master!A"&amp;MATCH(SMALL(IF(KPI_Element_Map!$E$2:$E$287=$A49,KPI_Element_Map!$A$2:$A$287),COLUMNS($J49:AG49)),KPI_Master!$A:$A,0)&amp;":P"&amp;MATCH(SMALL(IF(KPI_Element_Map!$E$2:$E$287=$A49,KPI_Element_Map!$A$2:$A$287),COLUMNS($J49:AG49)),KPI_Master!$A:$A,0),SMALL(IF(KPI_Element_Map!$E$2:$E$287=$A49,KPI_Element_Map!$A$2:$A$287),COLUMNS($J49:AG49))),"")</f>
        <v/>
      </c>
      <c r="AH49" s="25" t="str">
        <f t="array" ref="AH49">IFERROR(HYPERLINK("#KPI_Master!A"&amp;MATCH(SMALL(IF(KPI_Element_Map!$E$2:$E$287=$A49,KPI_Element_Map!$A$2:$A$287),COLUMNS($J49:AH49)),KPI_Master!$A:$A,0)&amp;":P"&amp;MATCH(SMALL(IF(KPI_Element_Map!$E$2:$E$287=$A49,KPI_Element_Map!$A$2:$A$287),COLUMNS($J49:AH49)),KPI_Master!$A:$A,0),SMALL(IF(KPI_Element_Map!$E$2:$E$287=$A49,KPI_Element_Map!$A$2:$A$287),COLUMNS($J49:AH49))),"")</f>
        <v/>
      </c>
    </row>
    <row r="50" spans="1:34">
      <c r="A50" s="21" t="s">
        <v>1083</v>
      </c>
      <c r="B50" s="22" t="s">
        <v>1084</v>
      </c>
      <c r="C50" s="23" t="s">
        <v>1085</v>
      </c>
      <c r="D50" s="23" t="str">
        <f t="array" ref="D50">_xlfn.TEXTJOIN(", ",TRUE(),IF(KPI_Element_Map!$E$2:$E$287=$A50,KPI_Element_Map!$A$2:$A$287,""))</f>
        <v>145</v>
      </c>
      <c r="E50" s="21">
        <f>COUNTIF(KPI_Element_Map!$E$2:$E$287,$A50)</f>
        <v>1</v>
      </c>
      <c r="F50" s="21">
        <f>COUNTIFS(KPI_Element_Map!$E$2:$E$287,$A50,KPI_Element_Map!$D$2:$D$287,"1 - Core")</f>
        <v>1</v>
      </c>
      <c r="G50" s="24" t="s">
        <v>1086</v>
      </c>
      <c r="H50" s="23" t="str">
        <f>INDEX(Minimum_Documents!$B:$B,MATCH($G50,Minimum_Documents!$A:$A,0))</f>
        <v>Therapy Discharge / Functional Outcomes Report</v>
      </c>
      <c r="J50" s="25">
        <f t="array" ref="J50">IFERROR(HYPERLINK("#KPI_Master!A"&amp;MATCH(SMALL(IF(KPI_Element_Map!$E$2:$E$287=$A50,KPI_Element_Map!$A$2:$A$287),COLUMNS($J50:J50)),KPI_Master!$A:$A,0)&amp;":P"&amp;MATCH(SMALL(IF(KPI_Element_Map!$E$2:$E$287=$A50,KPI_Element_Map!$A$2:$A$287),COLUMNS($J50:J50)),KPI_Master!$A:$A,0),SMALL(IF(KPI_Element_Map!$E$2:$E$287=$A50,KPI_Element_Map!$A$2:$A$287),COLUMNS($J50:J50))),"")</f>
        <v>145</v>
      </c>
      <c r="K50" s="25" t="str">
        <f t="array" ref="K50">IFERROR(HYPERLINK("#KPI_Master!A"&amp;MATCH(SMALL(IF(KPI_Element_Map!$E$2:$E$287=$A50,KPI_Element_Map!$A$2:$A$287),COLUMNS($J50:K50)),KPI_Master!$A:$A,0)&amp;":P"&amp;MATCH(SMALL(IF(KPI_Element_Map!$E$2:$E$287=$A50,KPI_Element_Map!$A$2:$A$287),COLUMNS($J50:K50)),KPI_Master!$A:$A,0),SMALL(IF(KPI_Element_Map!$E$2:$E$287=$A50,KPI_Element_Map!$A$2:$A$287),COLUMNS($J50:K50))),"")</f>
        <v/>
      </c>
      <c r="L50" s="25" t="str">
        <f t="array" ref="L50">IFERROR(HYPERLINK("#KPI_Master!A"&amp;MATCH(SMALL(IF(KPI_Element_Map!$E$2:$E$287=$A50,KPI_Element_Map!$A$2:$A$287),COLUMNS($J50:L50)),KPI_Master!$A:$A,0)&amp;":P"&amp;MATCH(SMALL(IF(KPI_Element_Map!$E$2:$E$287=$A50,KPI_Element_Map!$A$2:$A$287),COLUMNS($J50:L50)),KPI_Master!$A:$A,0),SMALL(IF(KPI_Element_Map!$E$2:$E$287=$A50,KPI_Element_Map!$A$2:$A$287),COLUMNS($J50:L50))),"")</f>
        <v/>
      </c>
      <c r="M50" s="25" t="str">
        <f t="array" ref="M50">IFERROR(HYPERLINK("#KPI_Master!A"&amp;MATCH(SMALL(IF(KPI_Element_Map!$E$2:$E$287=$A50,KPI_Element_Map!$A$2:$A$287),COLUMNS($J50:M50)),KPI_Master!$A:$A,0)&amp;":P"&amp;MATCH(SMALL(IF(KPI_Element_Map!$E$2:$E$287=$A50,KPI_Element_Map!$A$2:$A$287),COLUMNS($J50:M50)),KPI_Master!$A:$A,0),SMALL(IF(KPI_Element_Map!$E$2:$E$287=$A50,KPI_Element_Map!$A$2:$A$287),COLUMNS($J50:M50))),"")</f>
        <v/>
      </c>
      <c r="N50" s="25" t="str">
        <f t="array" ref="N50">IFERROR(HYPERLINK("#KPI_Master!A"&amp;MATCH(SMALL(IF(KPI_Element_Map!$E$2:$E$287=$A50,KPI_Element_Map!$A$2:$A$287),COLUMNS($J50:N50)),KPI_Master!$A:$A,0)&amp;":P"&amp;MATCH(SMALL(IF(KPI_Element_Map!$E$2:$E$287=$A50,KPI_Element_Map!$A$2:$A$287),COLUMNS($J50:N50)),KPI_Master!$A:$A,0),SMALL(IF(KPI_Element_Map!$E$2:$E$287=$A50,KPI_Element_Map!$A$2:$A$287),COLUMNS($J50:N50))),"")</f>
        <v/>
      </c>
      <c r="O50" s="25" t="str">
        <f t="array" ref="O50">IFERROR(HYPERLINK("#KPI_Master!A"&amp;MATCH(SMALL(IF(KPI_Element_Map!$E$2:$E$287=$A50,KPI_Element_Map!$A$2:$A$287),COLUMNS($J50:O50)),KPI_Master!$A:$A,0)&amp;":P"&amp;MATCH(SMALL(IF(KPI_Element_Map!$E$2:$E$287=$A50,KPI_Element_Map!$A$2:$A$287),COLUMNS($J50:O50)),KPI_Master!$A:$A,0),SMALL(IF(KPI_Element_Map!$E$2:$E$287=$A50,KPI_Element_Map!$A$2:$A$287),COLUMNS($J50:O50))),"")</f>
        <v/>
      </c>
      <c r="P50" s="25" t="str">
        <f t="array" ref="P50">IFERROR(HYPERLINK("#KPI_Master!A"&amp;MATCH(SMALL(IF(KPI_Element_Map!$E$2:$E$287=$A50,KPI_Element_Map!$A$2:$A$287),COLUMNS($J50:P50)),KPI_Master!$A:$A,0)&amp;":P"&amp;MATCH(SMALL(IF(KPI_Element_Map!$E$2:$E$287=$A50,KPI_Element_Map!$A$2:$A$287),COLUMNS($J50:P50)),KPI_Master!$A:$A,0),SMALL(IF(KPI_Element_Map!$E$2:$E$287=$A50,KPI_Element_Map!$A$2:$A$287),COLUMNS($J50:P50))),"")</f>
        <v/>
      </c>
      <c r="Q50" s="25" t="str">
        <f t="array" ref="Q50">IFERROR(HYPERLINK("#KPI_Master!A"&amp;MATCH(SMALL(IF(KPI_Element_Map!$E$2:$E$287=$A50,KPI_Element_Map!$A$2:$A$287),COLUMNS($J50:Q50)),KPI_Master!$A:$A,0)&amp;":P"&amp;MATCH(SMALL(IF(KPI_Element_Map!$E$2:$E$287=$A50,KPI_Element_Map!$A$2:$A$287),COLUMNS($J50:Q50)),KPI_Master!$A:$A,0),SMALL(IF(KPI_Element_Map!$E$2:$E$287=$A50,KPI_Element_Map!$A$2:$A$287),COLUMNS($J50:Q50))),"")</f>
        <v/>
      </c>
      <c r="R50" s="25" t="str">
        <f t="array" ref="R50">IFERROR(HYPERLINK("#KPI_Master!A"&amp;MATCH(SMALL(IF(KPI_Element_Map!$E$2:$E$287=$A50,KPI_Element_Map!$A$2:$A$287),COLUMNS($J50:R50)),KPI_Master!$A:$A,0)&amp;":P"&amp;MATCH(SMALL(IF(KPI_Element_Map!$E$2:$E$287=$A50,KPI_Element_Map!$A$2:$A$287),COLUMNS($J50:R50)),KPI_Master!$A:$A,0),SMALL(IF(KPI_Element_Map!$E$2:$E$287=$A50,KPI_Element_Map!$A$2:$A$287),COLUMNS($J50:R50))),"")</f>
        <v/>
      </c>
      <c r="S50" s="25" t="str">
        <f t="array" ref="S50">IFERROR(HYPERLINK("#KPI_Master!A"&amp;MATCH(SMALL(IF(KPI_Element_Map!$E$2:$E$287=$A50,KPI_Element_Map!$A$2:$A$287),COLUMNS($J50:S50)),KPI_Master!$A:$A,0)&amp;":P"&amp;MATCH(SMALL(IF(KPI_Element_Map!$E$2:$E$287=$A50,KPI_Element_Map!$A$2:$A$287),COLUMNS($J50:S50)),KPI_Master!$A:$A,0),SMALL(IF(KPI_Element_Map!$E$2:$E$287=$A50,KPI_Element_Map!$A$2:$A$287),COLUMNS($J50:S50))),"")</f>
        <v/>
      </c>
      <c r="T50" s="25" t="str">
        <f t="array" ref="T50">IFERROR(HYPERLINK("#KPI_Master!A"&amp;MATCH(SMALL(IF(KPI_Element_Map!$E$2:$E$287=$A50,KPI_Element_Map!$A$2:$A$287),COLUMNS($J50:T50)),KPI_Master!$A:$A,0)&amp;":P"&amp;MATCH(SMALL(IF(KPI_Element_Map!$E$2:$E$287=$A50,KPI_Element_Map!$A$2:$A$287),COLUMNS($J50:T50)),KPI_Master!$A:$A,0),SMALL(IF(KPI_Element_Map!$E$2:$E$287=$A50,KPI_Element_Map!$A$2:$A$287),COLUMNS($J50:T50))),"")</f>
        <v/>
      </c>
      <c r="U50" s="25" t="str">
        <f t="array" ref="U50">IFERROR(HYPERLINK("#KPI_Master!A"&amp;MATCH(SMALL(IF(KPI_Element_Map!$E$2:$E$287=$A50,KPI_Element_Map!$A$2:$A$287),COLUMNS($J50:U50)),KPI_Master!$A:$A,0)&amp;":P"&amp;MATCH(SMALL(IF(KPI_Element_Map!$E$2:$E$287=$A50,KPI_Element_Map!$A$2:$A$287),COLUMNS($J50:U50)),KPI_Master!$A:$A,0),SMALL(IF(KPI_Element_Map!$E$2:$E$287=$A50,KPI_Element_Map!$A$2:$A$287),COLUMNS($J50:U50))),"")</f>
        <v/>
      </c>
      <c r="V50" s="25" t="str">
        <f t="array" ref="V50">IFERROR(HYPERLINK("#KPI_Master!A"&amp;MATCH(SMALL(IF(KPI_Element_Map!$E$2:$E$287=$A50,KPI_Element_Map!$A$2:$A$287),COLUMNS($J50:V50)),KPI_Master!$A:$A,0)&amp;":P"&amp;MATCH(SMALL(IF(KPI_Element_Map!$E$2:$E$287=$A50,KPI_Element_Map!$A$2:$A$287),COLUMNS($J50:V50)),KPI_Master!$A:$A,0),SMALL(IF(KPI_Element_Map!$E$2:$E$287=$A50,KPI_Element_Map!$A$2:$A$287),COLUMNS($J50:V50))),"")</f>
        <v/>
      </c>
      <c r="W50" s="25" t="str">
        <f t="array" ref="W50">IFERROR(HYPERLINK("#KPI_Master!A"&amp;MATCH(SMALL(IF(KPI_Element_Map!$E$2:$E$287=$A50,KPI_Element_Map!$A$2:$A$287),COLUMNS($J50:W50)),KPI_Master!$A:$A,0)&amp;":P"&amp;MATCH(SMALL(IF(KPI_Element_Map!$E$2:$E$287=$A50,KPI_Element_Map!$A$2:$A$287),COLUMNS($J50:W50)),KPI_Master!$A:$A,0),SMALL(IF(KPI_Element_Map!$E$2:$E$287=$A50,KPI_Element_Map!$A$2:$A$287),COLUMNS($J50:W50))),"")</f>
        <v/>
      </c>
      <c r="X50" s="25" t="str">
        <f t="array" ref="X50">IFERROR(HYPERLINK("#KPI_Master!A"&amp;MATCH(SMALL(IF(KPI_Element_Map!$E$2:$E$287=$A50,KPI_Element_Map!$A$2:$A$287),COLUMNS($J50:X50)),KPI_Master!$A:$A,0)&amp;":P"&amp;MATCH(SMALL(IF(KPI_Element_Map!$E$2:$E$287=$A50,KPI_Element_Map!$A$2:$A$287),COLUMNS($J50:X50)),KPI_Master!$A:$A,0),SMALL(IF(KPI_Element_Map!$E$2:$E$287=$A50,KPI_Element_Map!$A$2:$A$287),COLUMNS($J50:X50))),"")</f>
        <v/>
      </c>
      <c r="Y50" s="25" t="str">
        <f t="array" ref="Y50">IFERROR(HYPERLINK("#KPI_Master!A"&amp;MATCH(SMALL(IF(KPI_Element_Map!$E$2:$E$287=$A50,KPI_Element_Map!$A$2:$A$287),COLUMNS($J50:Y50)),KPI_Master!$A:$A,0)&amp;":P"&amp;MATCH(SMALL(IF(KPI_Element_Map!$E$2:$E$287=$A50,KPI_Element_Map!$A$2:$A$287),COLUMNS($J50:Y50)),KPI_Master!$A:$A,0),SMALL(IF(KPI_Element_Map!$E$2:$E$287=$A50,KPI_Element_Map!$A$2:$A$287),COLUMNS($J50:Y50))),"")</f>
        <v/>
      </c>
      <c r="Z50" s="25" t="str">
        <f t="array" ref="Z50">IFERROR(HYPERLINK("#KPI_Master!A"&amp;MATCH(SMALL(IF(KPI_Element_Map!$E$2:$E$287=$A50,KPI_Element_Map!$A$2:$A$287),COLUMNS($J50:Z50)),KPI_Master!$A:$A,0)&amp;":P"&amp;MATCH(SMALL(IF(KPI_Element_Map!$E$2:$E$287=$A50,KPI_Element_Map!$A$2:$A$287),COLUMNS($J50:Z50)),KPI_Master!$A:$A,0),SMALL(IF(KPI_Element_Map!$E$2:$E$287=$A50,KPI_Element_Map!$A$2:$A$287),COLUMNS($J50:Z50))),"")</f>
        <v/>
      </c>
      <c r="AA50" s="25" t="str">
        <f t="array" ref="AA50">IFERROR(HYPERLINK("#KPI_Master!A"&amp;MATCH(SMALL(IF(KPI_Element_Map!$E$2:$E$287=$A50,KPI_Element_Map!$A$2:$A$287),COLUMNS($J50:AA50)),KPI_Master!$A:$A,0)&amp;":P"&amp;MATCH(SMALL(IF(KPI_Element_Map!$E$2:$E$287=$A50,KPI_Element_Map!$A$2:$A$287),COLUMNS($J50:AA50)),KPI_Master!$A:$A,0),SMALL(IF(KPI_Element_Map!$E$2:$E$287=$A50,KPI_Element_Map!$A$2:$A$287),COLUMNS($J50:AA50))),"")</f>
        <v/>
      </c>
      <c r="AB50" s="25" t="str">
        <f t="array" ref="AB50">IFERROR(HYPERLINK("#KPI_Master!A"&amp;MATCH(SMALL(IF(KPI_Element_Map!$E$2:$E$287=$A50,KPI_Element_Map!$A$2:$A$287),COLUMNS($J50:AB50)),KPI_Master!$A:$A,0)&amp;":P"&amp;MATCH(SMALL(IF(KPI_Element_Map!$E$2:$E$287=$A50,KPI_Element_Map!$A$2:$A$287),COLUMNS($J50:AB50)),KPI_Master!$A:$A,0),SMALL(IF(KPI_Element_Map!$E$2:$E$287=$A50,KPI_Element_Map!$A$2:$A$287),COLUMNS($J50:AB50))),"")</f>
        <v/>
      </c>
      <c r="AC50" s="25" t="str">
        <f t="array" ref="AC50">IFERROR(HYPERLINK("#KPI_Master!A"&amp;MATCH(SMALL(IF(KPI_Element_Map!$E$2:$E$287=$A50,KPI_Element_Map!$A$2:$A$287),COLUMNS($J50:AC50)),KPI_Master!$A:$A,0)&amp;":P"&amp;MATCH(SMALL(IF(KPI_Element_Map!$E$2:$E$287=$A50,KPI_Element_Map!$A$2:$A$287),COLUMNS($J50:AC50)),KPI_Master!$A:$A,0),SMALL(IF(KPI_Element_Map!$E$2:$E$287=$A50,KPI_Element_Map!$A$2:$A$287),COLUMNS($J50:AC50))),"")</f>
        <v/>
      </c>
      <c r="AD50" s="25" t="str">
        <f t="array" ref="AD50">IFERROR(HYPERLINK("#KPI_Master!A"&amp;MATCH(SMALL(IF(KPI_Element_Map!$E$2:$E$287=$A50,KPI_Element_Map!$A$2:$A$287),COLUMNS($J50:AD50)),KPI_Master!$A:$A,0)&amp;":P"&amp;MATCH(SMALL(IF(KPI_Element_Map!$E$2:$E$287=$A50,KPI_Element_Map!$A$2:$A$287),COLUMNS($J50:AD50)),KPI_Master!$A:$A,0),SMALL(IF(KPI_Element_Map!$E$2:$E$287=$A50,KPI_Element_Map!$A$2:$A$287),COLUMNS($J50:AD50))),"")</f>
        <v/>
      </c>
      <c r="AE50" s="25" t="str">
        <f t="array" ref="AE50">IFERROR(HYPERLINK("#KPI_Master!A"&amp;MATCH(SMALL(IF(KPI_Element_Map!$E$2:$E$287=$A50,KPI_Element_Map!$A$2:$A$287),COLUMNS($J50:AE50)),KPI_Master!$A:$A,0)&amp;":P"&amp;MATCH(SMALL(IF(KPI_Element_Map!$E$2:$E$287=$A50,KPI_Element_Map!$A$2:$A$287),COLUMNS($J50:AE50)),KPI_Master!$A:$A,0),SMALL(IF(KPI_Element_Map!$E$2:$E$287=$A50,KPI_Element_Map!$A$2:$A$287),COLUMNS($J50:AE50))),"")</f>
        <v/>
      </c>
      <c r="AF50" s="25" t="str">
        <f t="array" ref="AF50">IFERROR(HYPERLINK("#KPI_Master!A"&amp;MATCH(SMALL(IF(KPI_Element_Map!$E$2:$E$287=$A50,KPI_Element_Map!$A$2:$A$287),COLUMNS($J50:AF50)),KPI_Master!$A:$A,0)&amp;":P"&amp;MATCH(SMALL(IF(KPI_Element_Map!$E$2:$E$287=$A50,KPI_Element_Map!$A$2:$A$287),COLUMNS($J50:AF50)),KPI_Master!$A:$A,0),SMALL(IF(KPI_Element_Map!$E$2:$E$287=$A50,KPI_Element_Map!$A$2:$A$287),COLUMNS($J50:AF50))),"")</f>
        <v/>
      </c>
      <c r="AG50" s="25" t="str">
        <f t="array" ref="AG50">IFERROR(HYPERLINK("#KPI_Master!A"&amp;MATCH(SMALL(IF(KPI_Element_Map!$E$2:$E$287=$A50,KPI_Element_Map!$A$2:$A$287),COLUMNS($J50:AG50)),KPI_Master!$A:$A,0)&amp;":P"&amp;MATCH(SMALL(IF(KPI_Element_Map!$E$2:$E$287=$A50,KPI_Element_Map!$A$2:$A$287),COLUMNS($J50:AG50)),KPI_Master!$A:$A,0),SMALL(IF(KPI_Element_Map!$E$2:$E$287=$A50,KPI_Element_Map!$A$2:$A$287),COLUMNS($J50:AG50))),"")</f>
        <v/>
      </c>
      <c r="AH50" s="25" t="str">
        <f t="array" ref="AH50">IFERROR(HYPERLINK("#KPI_Master!A"&amp;MATCH(SMALL(IF(KPI_Element_Map!$E$2:$E$287=$A50,KPI_Element_Map!$A$2:$A$287),COLUMNS($J50:AH50)),KPI_Master!$A:$A,0)&amp;":P"&amp;MATCH(SMALL(IF(KPI_Element_Map!$E$2:$E$287=$A50,KPI_Element_Map!$A$2:$A$287),COLUMNS($J50:AH50)),KPI_Master!$A:$A,0),SMALL(IF(KPI_Element_Map!$E$2:$E$287=$A50,KPI_Element_Map!$A$2:$A$287),COLUMNS($J50:AH50))),"")</f>
        <v/>
      </c>
    </row>
    <row r="51" spans="1:34">
      <c r="A51" s="21" t="s">
        <v>1087</v>
      </c>
      <c r="B51" s="22" t="s">
        <v>1088</v>
      </c>
      <c r="C51" s="23" t="s">
        <v>1089</v>
      </c>
      <c r="D51" s="23" t="str">
        <f t="array" ref="D51">_xlfn.TEXTJOIN(", ",TRUE(),IF(KPI_Element_Map!$E$2:$E$287=$A51,KPI_Element_Map!$A$2:$A$287,""))</f>
        <v>4, 10, 11</v>
      </c>
      <c r="E51" s="21">
        <f>COUNTIF(KPI_Element_Map!$E$2:$E$287,$A51)</f>
        <v>3</v>
      </c>
      <c r="F51" s="21">
        <f>COUNTIFS(KPI_Element_Map!$E$2:$E$287,$A51,KPI_Element_Map!$D$2:$D$287,"1 - Core")</f>
        <v>0</v>
      </c>
      <c r="G51" s="24" t="s">
        <v>1090</v>
      </c>
      <c r="H51" s="23" t="str">
        <f>INDEX(Minimum_Documents!$B:$B,MATCH($G51,Minimum_Documents!$A:$A,0))</f>
        <v>Meal Count / POS Report</v>
      </c>
      <c r="J51" s="25">
        <f t="array" ref="J51">IFERROR(HYPERLINK("#KPI_Master!A"&amp;MATCH(SMALL(IF(KPI_Element_Map!$E$2:$E$287=$A51,KPI_Element_Map!$A$2:$A$287),COLUMNS($J51:J51)),KPI_Master!$A:$A,0)&amp;":P"&amp;MATCH(SMALL(IF(KPI_Element_Map!$E$2:$E$287=$A51,KPI_Element_Map!$A$2:$A$287),COLUMNS($J51:J51)),KPI_Master!$A:$A,0),SMALL(IF(KPI_Element_Map!$E$2:$E$287=$A51,KPI_Element_Map!$A$2:$A$287),COLUMNS($J51:J51))),"")</f>
        <v>4</v>
      </c>
      <c r="K51" s="25">
        <f t="array" ref="K51">IFERROR(HYPERLINK("#KPI_Master!A"&amp;MATCH(SMALL(IF(KPI_Element_Map!$E$2:$E$287=$A51,KPI_Element_Map!$A$2:$A$287),COLUMNS($J51:K51)),KPI_Master!$A:$A,0)&amp;":P"&amp;MATCH(SMALL(IF(KPI_Element_Map!$E$2:$E$287=$A51,KPI_Element_Map!$A$2:$A$287),COLUMNS($J51:K51)),KPI_Master!$A:$A,0),SMALL(IF(KPI_Element_Map!$E$2:$E$287=$A51,KPI_Element_Map!$A$2:$A$287),COLUMNS($J51:K51))),"")</f>
        <v>10</v>
      </c>
      <c r="L51" s="25">
        <f t="array" ref="L51">IFERROR(HYPERLINK("#KPI_Master!A"&amp;MATCH(SMALL(IF(KPI_Element_Map!$E$2:$E$287=$A51,KPI_Element_Map!$A$2:$A$287),COLUMNS($J51:L51)),KPI_Master!$A:$A,0)&amp;":P"&amp;MATCH(SMALL(IF(KPI_Element_Map!$E$2:$E$287=$A51,KPI_Element_Map!$A$2:$A$287),COLUMNS($J51:L51)),KPI_Master!$A:$A,0),SMALL(IF(KPI_Element_Map!$E$2:$E$287=$A51,KPI_Element_Map!$A$2:$A$287),COLUMNS($J51:L51))),"")</f>
        <v>11</v>
      </c>
      <c r="M51" s="25" t="str">
        <f t="array" ref="M51">IFERROR(HYPERLINK("#KPI_Master!A"&amp;MATCH(SMALL(IF(KPI_Element_Map!$E$2:$E$287=$A51,KPI_Element_Map!$A$2:$A$287),COLUMNS($J51:M51)),KPI_Master!$A:$A,0)&amp;":P"&amp;MATCH(SMALL(IF(KPI_Element_Map!$E$2:$E$287=$A51,KPI_Element_Map!$A$2:$A$287),COLUMNS($J51:M51)),KPI_Master!$A:$A,0),SMALL(IF(KPI_Element_Map!$E$2:$E$287=$A51,KPI_Element_Map!$A$2:$A$287),COLUMNS($J51:M51))),"")</f>
        <v/>
      </c>
      <c r="N51" s="25" t="str">
        <f t="array" ref="N51">IFERROR(HYPERLINK("#KPI_Master!A"&amp;MATCH(SMALL(IF(KPI_Element_Map!$E$2:$E$287=$A51,KPI_Element_Map!$A$2:$A$287),COLUMNS($J51:N51)),KPI_Master!$A:$A,0)&amp;":P"&amp;MATCH(SMALL(IF(KPI_Element_Map!$E$2:$E$287=$A51,KPI_Element_Map!$A$2:$A$287),COLUMNS($J51:N51)),KPI_Master!$A:$A,0),SMALL(IF(KPI_Element_Map!$E$2:$E$287=$A51,KPI_Element_Map!$A$2:$A$287),COLUMNS($J51:N51))),"")</f>
        <v/>
      </c>
      <c r="O51" s="25" t="str">
        <f t="array" ref="O51">IFERROR(HYPERLINK("#KPI_Master!A"&amp;MATCH(SMALL(IF(KPI_Element_Map!$E$2:$E$287=$A51,KPI_Element_Map!$A$2:$A$287),COLUMNS($J51:O51)),KPI_Master!$A:$A,0)&amp;":P"&amp;MATCH(SMALL(IF(KPI_Element_Map!$E$2:$E$287=$A51,KPI_Element_Map!$A$2:$A$287),COLUMNS($J51:O51)),KPI_Master!$A:$A,0),SMALL(IF(KPI_Element_Map!$E$2:$E$287=$A51,KPI_Element_Map!$A$2:$A$287),COLUMNS($J51:O51))),"")</f>
        <v/>
      </c>
      <c r="P51" s="25" t="str">
        <f t="array" ref="P51">IFERROR(HYPERLINK("#KPI_Master!A"&amp;MATCH(SMALL(IF(KPI_Element_Map!$E$2:$E$287=$A51,KPI_Element_Map!$A$2:$A$287),COLUMNS($J51:P51)),KPI_Master!$A:$A,0)&amp;":P"&amp;MATCH(SMALL(IF(KPI_Element_Map!$E$2:$E$287=$A51,KPI_Element_Map!$A$2:$A$287),COLUMNS($J51:P51)),KPI_Master!$A:$A,0),SMALL(IF(KPI_Element_Map!$E$2:$E$287=$A51,KPI_Element_Map!$A$2:$A$287),COLUMNS($J51:P51))),"")</f>
        <v/>
      </c>
      <c r="Q51" s="25" t="str">
        <f t="array" ref="Q51">IFERROR(HYPERLINK("#KPI_Master!A"&amp;MATCH(SMALL(IF(KPI_Element_Map!$E$2:$E$287=$A51,KPI_Element_Map!$A$2:$A$287),COLUMNS($J51:Q51)),KPI_Master!$A:$A,0)&amp;":P"&amp;MATCH(SMALL(IF(KPI_Element_Map!$E$2:$E$287=$A51,KPI_Element_Map!$A$2:$A$287),COLUMNS($J51:Q51)),KPI_Master!$A:$A,0),SMALL(IF(KPI_Element_Map!$E$2:$E$287=$A51,KPI_Element_Map!$A$2:$A$287),COLUMNS($J51:Q51))),"")</f>
        <v/>
      </c>
      <c r="R51" s="25" t="str">
        <f t="array" ref="R51">IFERROR(HYPERLINK("#KPI_Master!A"&amp;MATCH(SMALL(IF(KPI_Element_Map!$E$2:$E$287=$A51,KPI_Element_Map!$A$2:$A$287),COLUMNS($J51:R51)),KPI_Master!$A:$A,0)&amp;":P"&amp;MATCH(SMALL(IF(KPI_Element_Map!$E$2:$E$287=$A51,KPI_Element_Map!$A$2:$A$287),COLUMNS($J51:R51)),KPI_Master!$A:$A,0),SMALL(IF(KPI_Element_Map!$E$2:$E$287=$A51,KPI_Element_Map!$A$2:$A$287),COLUMNS($J51:R51))),"")</f>
        <v/>
      </c>
      <c r="S51" s="25" t="str">
        <f t="array" ref="S51">IFERROR(HYPERLINK("#KPI_Master!A"&amp;MATCH(SMALL(IF(KPI_Element_Map!$E$2:$E$287=$A51,KPI_Element_Map!$A$2:$A$287),COLUMNS($J51:S51)),KPI_Master!$A:$A,0)&amp;":P"&amp;MATCH(SMALL(IF(KPI_Element_Map!$E$2:$E$287=$A51,KPI_Element_Map!$A$2:$A$287),COLUMNS($J51:S51)),KPI_Master!$A:$A,0),SMALL(IF(KPI_Element_Map!$E$2:$E$287=$A51,KPI_Element_Map!$A$2:$A$287),COLUMNS($J51:S51))),"")</f>
        <v/>
      </c>
      <c r="T51" s="25" t="str">
        <f t="array" ref="T51">IFERROR(HYPERLINK("#KPI_Master!A"&amp;MATCH(SMALL(IF(KPI_Element_Map!$E$2:$E$287=$A51,KPI_Element_Map!$A$2:$A$287),COLUMNS($J51:T51)),KPI_Master!$A:$A,0)&amp;":P"&amp;MATCH(SMALL(IF(KPI_Element_Map!$E$2:$E$287=$A51,KPI_Element_Map!$A$2:$A$287),COLUMNS($J51:T51)),KPI_Master!$A:$A,0),SMALL(IF(KPI_Element_Map!$E$2:$E$287=$A51,KPI_Element_Map!$A$2:$A$287),COLUMNS($J51:T51))),"")</f>
        <v/>
      </c>
      <c r="U51" s="25" t="str">
        <f t="array" ref="U51">IFERROR(HYPERLINK("#KPI_Master!A"&amp;MATCH(SMALL(IF(KPI_Element_Map!$E$2:$E$287=$A51,KPI_Element_Map!$A$2:$A$287),COLUMNS($J51:U51)),KPI_Master!$A:$A,0)&amp;":P"&amp;MATCH(SMALL(IF(KPI_Element_Map!$E$2:$E$287=$A51,KPI_Element_Map!$A$2:$A$287),COLUMNS($J51:U51)),KPI_Master!$A:$A,0),SMALL(IF(KPI_Element_Map!$E$2:$E$287=$A51,KPI_Element_Map!$A$2:$A$287),COLUMNS($J51:U51))),"")</f>
        <v/>
      </c>
      <c r="V51" s="25" t="str">
        <f t="array" ref="V51">IFERROR(HYPERLINK("#KPI_Master!A"&amp;MATCH(SMALL(IF(KPI_Element_Map!$E$2:$E$287=$A51,KPI_Element_Map!$A$2:$A$287),COLUMNS($J51:V51)),KPI_Master!$A:$A,0)&amp;":P"&amp;MATCH(SMALL(IF(KPI_Element_Map!$E$2:$E$287=$A51,KPI_Element_Map!$A$2:$A$287),COLUMNS($J51:V51)),KPI_Master!$A:$A,0),SMALL(IF(KPI_Element_Map!$E$2:$E$287=$A51,KPI_Element_Map!$A$2:$A$287),COLUMNS($J51:V51))),"")</f>
        <v/>
      </c>
      <c r="W51" s="25" t="str">
        <f t="array" ref="W51">IFERROR(HYPERLINK("#KPI_Master!A"&amp;MATCH(SMALL(IF(KPI_Element_Map!$E$2:$E$287=$A51,KPI_Element_Map!$A$2:$A$287),COLUMNS($J51:W51)),KPI_Master!$A:$A,0)&amp;":P"&amp;MATCH(SMALL(IF(KPI_Element_Map!$E$2:$E$287=$A51,KPI_Element_Map!$A$2:$A$287),COLUMNS($J51:W51)),KPI_Master!$A:$A,0),SMALL(IF(KPI_Element_Map!$E$2:$E$287=$A51,KPI_Element_Map!$A$2:$A$287),COLUMNS($J51:W51))),"")</f>
        <v/>
      </c>
      <c r="X51" s="25" t="str">
        <f t="array" ref="X51">IFERROR(HYPERLINK("#KPI_Master!A"&amp;MATCH(SMALL(IF(KPI_Element_Map!$E$2:$E$287=$A51,KPI_Element_Map!$A$2:$A$287),COLUMNS($J51:X51)),KPI_Master!$A:$A,0)&amp;":P"&amp;MATCH(SMALL(IF(KPI_Element_Map!$E$2:$E$287=$A51,KPI_Element_Map!$A$2:$A$287),COLUMNS($J51:X51)),KPI_Master!$A:$A,0),SMALL(IF(KPI_Element_Map!$E$2:$E$287=$A51,KPI_Element_Map!$A$2:$A$287),COLUMNS($J51:X51))),"")</f>
        <v/>
      </c>
      <c r="Y51" s="25" t="str">
        <f t="array" ref="Y51">IFERROR(HYPERLINK("#KPI_Master!A"&amp;MATCH(SMALL(IF(KPI_Element_Map!$E$2:$E$287=$A51,KPI_Element_Map!$A$2:$A$287),COLUMNS($J51:Y51)),KPI_Master!$A:$A,0)&amp;":P"&amp;MATCH(SMALL(IF(KPI_Element_Map!$E$2:$E$287=$A51,KPI_Element_Map!$A$2:$A$287),COLUMNS($J51:Y51)),KPI_Master!$A:$A,0),SMALL(IF(KPI_Element_Map!$E$2:$E$287=$A51,KPI_Element_Map!$A$2:$A$287),COLUMNS($J51:Y51))),"")</f>
        <v/>
      </c>
      <c r="Z51" s="25" t="str">
        <f t="array" ref="Z51">IFERROR(HYPERLINK("#KPI_Master!A"&amp;MATCH(SMALL(IF(KPI_Element_Map!$E$2:$E$287=$A51,KPI_Element_Map!$A$2:$A$287),COLUMNS($J51:Z51)),KPI_Master!$A:$A,0)&amp;":P"&amp;MATCH(SMALL(IF(KPI_Element_Map!$E$2:$E$287=$A51,KPI_Element_Map!$A$2:$A$287),COLUMNS($J51:Z51)),KPI_Master!$A:$A,0),SMALL(IF(KPI_Element_Map!$E$2:$E$287=$A51,KPI_Element_Map!$A$2:$A$287),COLUMNS($J51:Z51))),"")</f>
        <v/>
      </c>
      <c r="AA51" s="25" t="str">
        <f t="array" ref="AA51">IFERROR(HYPERLINK("#KPI_Master!A"&amp;MATCH(SMALL(IF(KPI_Element_Map!$E$2:$E$287=$A51,KPI_Element_Map!$A$2:$A$287),COLUMNS($J51:AA51)),KPI_Master!$A:$A,0)&amp;":P"&amp;MATCH(SMALL(IF(KPI_Element_Map!$E$2:$E$287=$A51,KPI_Element_Map!$A$2:$A$287),COLUMNS($J51:AA51)),KPI_Master!$A:$A,0),SMALL(IF(KPI_Element_Map!$E$2:$E$287=$A51,KPI_Element_Map!$A$2:$A$287),COLUMNS($J51:AA51))),"")</f>
        <v/>
      </c>
      <c r="AB51" s="25" t="str">
        <f t="array" ref="AB51">IFERROR(HYPERLINK("#KPI_Master!A"&amp;MATCH(SMALL(IF(KPI_Element_Map!$E$2:$E$287=$A51,KPI_Element_Map!$A$2:$A$287),COLUMNS($J51:AB51)),KPI_Master!$A:$A,0)&amp;":P"&amp;MATCH(SMALL(IF(KPI_Element_Map!$E$2:$E$287=$A51,KPI_Element_Map!$A$2:$A$287),COLUMNS($J51:AB51)),KPI_Master!$A:$A,0),SMALL(IF(KPI_Element_Map!$E$2:$E$287=$A51,KPI_Element_Map!$A$2:$A$287),COLUMNS($J51:AB51))),"")</f>
        <v/>
      </c>
      <c r="AC51" s="25" t="str">
        <f t="array" ref="AC51">IFERROR(HYPERLINK("#KPI_Master!A"&amp;MATCH(SMALL(IF(KPI_Element_Map!$E$2:$E$287=$A51,KPI_Element_Map!$A$2:$A$287),COLUMNS($J51:AC51)),KPI_Master!$A:$A,0)&amp;":P"&amp;MATCH(SMALL(IF(KPI_Element_Map!$E$2:$E$287=$A51,KPI_Element_Map!$A$2:$A$287),COLUMNS($J51:AC51)),KPI_Master!$A:$A,0),SMALL(IF(KPI_Element_Map!$E$2:$E$287=$A51,KPI_Element_Map!$A$2:$A$287),COLUMNS($J51:AC51))),"")</f>
        <v/>
      </c>
      <c r="AD51" s="25" t="str">
        <f t="array" ref="AD51">IFERROR(HYPERLINK("#KPI_Master!A"&amp;MATCH(SMALL(IF(KPI_Element_Map!$E$2:$E$287=$A51,KPI_Element_Map!$A$2:$A$287),COLUMNS($J51:AD51)),KPI_Master!$A:$A,0)&amp;":P"&amp;MATCH(SMALL(IF(KPI_Element_Map!$E$2:$E$287=$A51,KPI_Element_Map!$A$2:$A$287),COLUMNS($J51:AD51)),KPI_Master!$A:$A,0),SMALL(IF(KPI_Element_Map!$E$2:$E$287=$A51,KPI_Element_Map!$A$2:$A$287),COLUMNS($J51:AD51))),"")</f>
        <v/>
      </c>
      <c r="AE51" s="25" t="str">
        <f t="array" ref="AE51">IFERROR(HYPERLINK("#KPI_Master!A"&amp;MATCH(SMALL(IF(KPI_Element_Map!$E$2:$E$287=$A51,KPI_Element_Map!$A$2:$A$287),COLUMNS($J51:AE51)),KPI_Master!$A:$A,0)&amp;":P"&amp;MATCH(SMALL(IF(KPI_Element_Map!$E$2:$E$287=$A51,KPI_Element_Map!$A$2:$A$287),COLUMNS($J51:AE51)),KPI_Master!$A:$A,0),SMALL(IF(KPI_Element_Map!$E$2:$E$287=$A51,KPI_Element_Map!$A$2:$A$287),COLUMNS($J51:AE51))),"")</f>
        <v/>
      </c>
      <c r="AF51" s="25" t="str">
        <f t="array" ref="AF51">IFERROR(HYPERLINK("#KPI_Master!A"&amp;MATCH(SMALL(IF(KPI_Element_Map!$E$2:$E$287=$A51,KPI_Element_Map!$A$2:$A$287),COLUMNS($J51:AF51)),KPI_Master!$A:$A,0)&amp;":P"&amp;MATCH(SMALL(IF(KPI_Element_Map!$E$2:$E$287=$A51,KPI_Element_Map!$A$2:$A$287),COLUMNS($J51:AF51)),KPI_Master!$A:$A,0),SMALL(IF(KPI_Element_Map!$E$2:$E$287=$A51,KPI_Element_Map!$A$2:$A$287),COLUMNS($J51:AF51))),"")</f>
        <v/>
      </c>
      <c r="AG51" s="25" t="str">
        <f t="array" ref="AG51">IFERROR(HYPERLINK("#KPI_Master!A"&amp;MATCH(SMALL(IF(KPI_Element_Map!$E$2:$E$287=$A51,KPI_Element_Map!$A$2:$A$287),COLUMNS($J51:AG51)),KPI_Master!$A:$A,0)&amp;":P"&amp;MATCH(SMALL(IF(KPI_Element_Map!$E$2:$E$287=$A51,KPI_Element_Map!$A$2:$A$287),COLUMNS($J51:AG51)),KPI_Master!$A:$A,0),SMALL(IF(KPI_Element_Map!$E$2:$E$287=$A51,KPI_Element_Map!$A$2:$A$287),COLUMNS($J51:AG51))),"")</f>
        <v/>
      </c>
      <c r="AH51" s="25" t="str">
        <f t="array" ref="AH51">IFERROR(HYPERLINK("#KPI_Master!A"&amp;MATCH(SMALL(IF(KPI_Element_Map!$E$2:$E$287=$A51,KPI_Element_Map!$A$2:$A$287),COLUMNS($J51:AH51)),KPI_Master!$A:$A,0)&amp;":P"&amp;MATCH(SMALL(IF(KPI_Element_Map!$E$2:$E$287=$A51,KPI_Element_Map!$A$2:$A$287),COLUMNS($J51:AH51)),KPI_Master!$A:$A,0),SMALL(IF(KPI_Element_Map!$E$2:$E$287=$A51,KPI_Element_Map!$A$2:$A$287),COLUMNS($J51:AH51))),"")</f>
        <v/>
      </c>
    </row>
    <row r="52" spans="1:34">
      <c r="A52" s="21" t="s">
        <v>1091</v>
      </c>
      <c r="B52" s="22" t="s">
        <v>1092</v>
      </c>
      <c r="C52" s="23" t="s">
        <v>1093</v>
      </c>
      <c r="D52" s="23" t="str">
        <f t="array" ref="D52">_xlfn.TEXTJOIN(", ",TRUE(),IF(KPI_Element_Map!$E$2:$E$287=$A52,KPI_Element_Map!$A$2:$A$287,""))</f>
        <v>43</v>
      </c>
      <c r="E52" s="21">
        <f>COUNTIF(KPI_Element_Map!$E$2:$E$287,$A52)</f>
        <v>1</v>
      </c>
      <c r="F52" s="21">
        <f>COUNTIFS(KPI_Element_Map!$E$2:$E$287,$A52,KPI_Element_Map!$D$2:$D$287,"1 - Core")</f>
        <v>0</v>
      </c>
      <c r="G52" s="24" t="s">
        <v>1094</v>
      </c>
      <c r="H52" s="23" t="str">
        <f>INDEX(Minimum_Documents!$B:$B,MATCH($G52,Minimum_Documents!$A:$A,0))</f>
        <v>Laundry Weight Log</v>
      </c>
      <c r="J52" s="25">
        <f t="array" ref="J52">IFERROR(HYPERLINK("#KPI_Master!A"&amp;MATCH(SMALL(IF(KPI_Element_Map!$E$2:$E$287=$A52,KPI_Element_Map!$A$2:$A$287),COLUMNS($J52:J52)),KPI_Master!$A:$A,0)&amp;":P"&amp;MATCH(SMALL(IF(KPI_Element_Map!$E$2:$E$287=$A52,KPI_Element_Map!$A$2:$A$287),COLUMNS($J52:J52)),KPI_Master!$A:$A,0),SMALL(IF(KPI_Element_Map!$E$2:$E$287=$A52,KPI_Element_Map!$A$2:$A$287),COLUMNS($J52:J52))),"")</f>
        <v>43</v>
      </c>
      <c r="K52" s="25" t="str">
        <f t="array" ref="K52">IFERROR(HYPERLINK("#KPI_Master!A"&amp;MATCH(SMALL(IF(KPI_Element_Map!$E$2:$E$287=$A52,KPI_Element_Map!$A$2:$A$287),COLUMNS($J52:K52)),KPI_Master!$A:$A,0)&amp;":P"&amp;MATCH(SMALL(IF(KPI_Element_Map!$E$2:$E$287=$A52,KPI_Element_Map!$A$2:$A$287),COLUMNS($J52:K52)),KPI_Master!$A:$A,0),SMALL(IF(KPI_Element_Map!$E$2:$E$287=$A52,KPI_Element_Map!$A$2:$A$287),COLUMNS($J52:K52))),"")</f>
        <v/>
      </c>
      <c r="L52" s="25" t="str">
        <f t="array" ref="L52">IFERROR(HYPERLINK("#KPI_Master!A"&amp;MATCH(SMALL(IF(KPI_Element_Map!$E$2:$E$287=$A52,KPI_Element_Map!$A$2:$A$287),COLUMNS($J52:L52)),KPI_Master!$A:$A,0)&amp;":P"&amp;MATCH(SMALL(IF(KPI_Element_Map!$E$2:$E$287=$A52,KPI_Element_Map!$A$2:$A$287),COLUMNS($J52:L52)),KPI_Master!$A:$A,0),SMALL(IF(KPI_Element_Map!$E$2:$E$287=$A52,KPI_Element_Map!$A$2:$A$287),COLUMNS($J52:L52))),"")</f>
        <v/>
      </c>
      <c r="M52" s="25" t="str">
        <f t="array" ref="M52">IFERROR(HYPERLINK("#KPI_Master!A"&amp;MATCH(SMALL(IF(KPI_Element_Map!$E$2:$E$287=$A52,KPI_Element_Map!$A$2:$A$287),COLUMNS($J52:M52)),KPI_Master!$A:$A,0)&amp;":P"&amp;MATCH(SMALL(IF(KPI_Element_Map!$E$2:$E$287=$A52,KPI_Element_Map!$A$2:$A$287),COLUMNS($J52:M52)),KPI_Master!$A:$A,0),SMALL(IF(KPI_Element_Map!$E$2:$E$287=$A52,KPI_Element_Map!$A$2:$A$287),COLUMNS($J52:M52))),"")</f>
        <v/>
      </c>
      <c r="N52" s="25" t="str">
        <f t="array" ref="N52">IFERROR(HYPERLINK("#KPI_Master!A"&amp;MATCH(SMALL(IF(KPI_Element_Map!$E$2:$E$287=$A52,KPI_Element_Map!$A$2:$A$287),COLUMNS($J52:N52)),KPI_Master!$A:$A,0)&amp;":P"&amp;MATCH(SMALL(IF(KPI_Element_Map!$E$2:$E$287=$A52,KPI_Element_Map!$A$2:$A$287),COLUMNS($J52:N52)),KPI_Master!$A:$A,0),SMALL(IF(KPI_Element_Map!$E$2:$E$287=$A52,KPI_Element_Map!$A$2:$A$287),COLUMNS($J52:N52))),"")</f>
        <v/>
      </c>
      <c r="O52" s="25" t="str">
        <f t="array" ref="O52">IFERROR(HYPERLINK("#KPI_Master!A"&amp;MATCH(SMALL(IF(KPI_Element_Map!$E$2:$E$287=$A52,KPI_Element_Map!$A$2:$A$287),COLUMNS($J52:O52)),KPI_Master!$A:$A,0)&amp;":P"&amp;MATCH(SMALL(IF(KPI_Element_Map!$E$2:$E$287=$A52,KPI_Element_Map!$A$2:$A$287),COLUMNS($J52:O52)),KPI_Master!$A:$A,0),SMALL(IF(KPI_Element_Map!$E$2:$E$287=$A52,KPI_Element_Map!$A$2:$A$287),COLUMNS($J52:O52))),"")</f>
        <v/>
      </c>
      <c r="P52" s="25" t="str">
        <f t="array" ref="P52">IFERROR(HYPERLINK("#KPI_Master!A"&amp;MATCH(SMALL(IF(KPI_Element_Map!$E$2:$E$287=$A52,KPI_Element_Map!$A$2:$A$287),COLUMNS($J52:P52)),KPI_Master!$A:$A,0)&amp;":P"&amp;MATCH(SMALL(IF(KPI_Element_Map!$E$2:$E$287=$A52,KPI_Element_Map!$A$2:$A$287),COLUMNS($J52:P52)),KPI_Master!$A:$A,0),SMALL(IF(KPI_Element_Map!$E$2:$E$287=$A52,KPI_Element_Map!$A$2:$A$287),COLUMNS($J52:P52))),"")</f>
        <v/>
      </c>
      <c r="Q52" s="25" t="str">
        <f t="array" ref="Q52">IFERROR(HYPERLINK("#KPI_Master!A"&amp;MATCH(SMALL(IF(KPI_Element_Map!$E$2:$E$287=$A52,KPI_Element_Map!$A$2:$A$287),COLUMNS($J52:Q52)),KPI_Master!$A:$A,0)&amp;":P"&amp;MATCH(SMALL(IF(KPI_Element_Map!$E$2:$E$287=$A52,KPI_Element_Map!$A$2:$A$287),COLUMNS($J52:Q52)),KPI_Master!$A:$A,0),SMALL(IF(KPI_Element_Map!$E$2:$E$287=$A52,KPI_Element_Map!$A$2:$A$287),COLUMNS($J52:Q52))),"")</f>
        <v/>
      </c>
      <c r="R52" s="25" t="str">
        <f t="array" ref="R52">IFERROR(HYPERLINK("#KPI_Master!A"&amp;MATCH(SMALL(IF(KPI_Element_Map!$E$2:$E$287=$A52,KPI_Element_Map!$A$2:$A$287),COLUMNS($J52:R52)),KPI_Master!$A:$A,0)&amp;":P"&amp;MATCH(SMALL(IF(KPI_Element_Map!$E$2:$E$287=$A52,KPI_Element_Map!$A$2:$A$287),COLUMNS($J52:R52)),KPI_Master!$A:$A,0),SMALL(IF(KPI_Element_Map!$E$2:$E$287=$A52,KPI_Element_Map!$A$2:$A$287),COLUMNS($J52:R52))),"")</f>
        <v/>
      </c>
      <c r="S52" s="25" t="str">
        <f t="array" ref="S52">IFERROR(HYPERLINK("#KPI_Master!A"&amp;MATCH(SMALL(IF(KPI_Element_Map!$E$2:$E$287=$A52,KPI_Element_Map!$A$2:$A$287),COLUMNS($J52:S52)),KPI_Master!$A:$A,0)&amp;":P"&amp;MATCH(SMALL(IF(KPI_Element_Map!$E$2:$E$287=$A52,KPI_Element_Map!$A$2:$A$287),COLUMNS($J52:S52)),KPI_Master!$A:$A,0),SMALL(IF(KPI_Element_Map!$E$2:$E$287=$A52,KPI_Element_Map!$A$2:$A$287),COLUMNS($J52:S52))),"")</f>
        <v/>
      </c>
      <c r="T52" s="25" t="str">
        <f t="array" ref="T52">IFERROR(HYPERLINK("#KPI_Master!A"&amp;MATCH(SMALL(IF(KPI_Element_Map!$E$2:$E$287=$A52,KPI_Element_Map!$A$2:$A$287),COLUMNS($J52:T52)),KPI_Master!$A:$A,0)&amp;":P"&amp;MATCH(SMALL(IF(KPI_Element_Map!$E$2:$E$287=$A52,KPI_Element_Map!$A$2:$A$287),COLUMNS($J52:T52)),KPI_Master!$A:$A,0),SMALL(IF(KPI_Element_Map!$E$2:$E$287=$A52,KPI_Element_Map!$A$2:$A$287),COLUMNS($J52:T52))),"")</f>
        <v/>
      </c>
      <c r="U52" s="25" t="str">
        <f t="array" ref="U52">IFERROR(HYPERLINK("#KPI_Master!A"&amp;MATCH(SMALL(IF(KPI_Element_Map!$E$2:$E$287=$A52,KPI_Element_Map!$A$2:$A$287),COLUMNS($J52:U52)),KPI_Master!$A:$A,0)&amp;":P"&amp;MATCH(SMALL(IF(KPI_Element_Map!$E$2:$E$287=$A52,KPI_Element_Map!$A$2:$A$287),COLUMNS($J52:U52)),KPI_Master!$A:$A,0),SMALL(IF(KPI_Element_Map!$E$2:$E$287=$A52,KPI_Element_Map!$A$2:$A$287),COLUMNS($J52:U52))),"")</f>
        <v/>
      </c>
      <c r="V52" s="25" t="str">
        <f t="array" ref="V52">IFERROR(HYPERLINK("#KPI_Master!A"&amp;MATCH(SMALL(IF(KPI_Element_Map!$E$2:$E$287=$A52,KPI_Element_Map!$A$2:$A$287),COLUMNS($J52:V52)),KPI_Master!$A:$A,0)&amp;":P"&amp;MATCH(SMALL(IF(KPI_Element_Map!$E$2:$E$287=$A52,KPI_Element_Map!$A$2:$A$287),COLUMNS($J52:V52)),KPI_Master!$A:$A,0),SMALL(IF(KPI_Element_Map!$E$2:$E$287=$A52,KPI_Element_Map!$A$2:$A$287),COLUMNS($J52:V52))),"")</f>
        <v/>
      </c>
      <c r="W52" s="25" t="str">
        <f t="array" ref="W52">IFERROR(HYPERLINK("#KPI_Master!A"&amp;MATCH(SMALL(IF(KPI_Element_Map!$E$2:$E$287=$A52,KPI_Element_Map!$A$2:$A$287),COLUMNS($J52:W52)),KPI_Master!$A:$A,0)&amp;":P"&amp;MATCH(SMALL(IF(KPI_Element_Map!$E$2:$E$287=$A52,KPI_Element_Map!$A$2:$A$287),COLUMNS($J52:W52)),KPI_Master!$A:$A,0),SMALL(IF(KPI_Element_Map!$E$2:$E$287=$A52,KPI_Element_Map!$A$2:$A$287),COLUMNS($J52:W52))),"")</f>
        <v/>
      </c>
      <c r="X52" s="25" t="str">
        <f t="array" ref="X52">IFERROR(HYPERLINK("#KPI_Master!A"&amp;MATCH(SMALL(IF(KPI_Element_Map!$E$2:$E$287=$A52,KPI_Element_Map!$A$2:$A$287),COLUMNS($J52:X52)),KPI_Master!$A:$A,0)&amp;":P"&amp;MATCH(SMALL(IF(KPI_Element_Map!$E$2:$E$287=$A52,KPI_Element_Map!$A$2:$A$287),COLUMNS($J52:X52)),KPI_Master!$A:$A,0),SMALL(IF(KPI_Element_Map!$E$2:$E$287=$A52,KPI_Element_Map!$A$2:$A$287),COLUMNS($J52:X52))),"")</f>
        <v/>
      </c>
      <c r="Y52" s="25" t="str">
        <f t="array" ref="Y52">IFERROR(HYPERLINK("#KPI_Master!A"&amp;MATCH(SMALL(IF(KPI_Element_Map!$E$2:$E$287=$A52,KPI_Element_Map!$A$2:$A$287),COLUMNS($J52:Y52)),KPI_Master!$A:$A,0)&amp;":P"&amp;MATCH(SMALL(IF(KPI_Element_Map!$E$2:$E$287=$A52,KPI_Element_Map!$A$2:$A$287),COLUMNS($J52:Y52)),KPI_Master!$A:$A,0),SMALL(IF(KPI_Element_Map!$E$2:$E$287=$A52,KPI_Element_Map!$A$2:$A$287),COLUMNS($J52:Y52))),"")</f>
        <v/>
      </c>
      <c r="Z52" s="25" t="str">
        <f t="array" ref="Z52">IFERROR(HYPERLINK("#KPI_Master!A"&amp;MATCH(SMALL(IF(KPI_Element_Map!$E$2:$E$287=$A52,KPI_Element_Map!$A$2:$A$287),COLUMNS($J52:Z52)),KPI_Master!$A:$A,0)&amp;":P"&amp;MATCH(SMALL(IF(KPI_Element_Map!$E$2:$E$287=$A52,KPI_Element_Map!$A$2:$A$287),COLUMNS($J52:Z52)),KPI_Master!$A:$A,0),SMALL(IF(KPI_Element_Map!$E$2:$E$287=$A52,KPI_Element_Map!$A$2:$A$287),COLUMNS($J52:Z52))),"")</f>
        <v/>
      </c>
      <c r="AA52" s="25" t="str">
        <f t="array" ref="AA52">IFERROR(HYPERLINK("#KPI_Master!A"&amp;MATCH(SMALL(IF(KPI_Element_Map!$E$2:$E$287=$A52,KPI_Element_Map!$A$2:$A$287),COLUMNS($J52:AA52)),KPI_Master!$A:$A,0)&amp;":P"&amp;MATCH(SMALL(IF(KPI_Element_Map!$E$2:$E$287=$A52,KPI_Element_Map!$A$2:$A$287),COLUMNS($J52:AA52)),KPI_Master!$A:$A,0),SMALL(IF(KPI_Element_Map!$E$2:$E$287=$A52,KPI_Element_Map!$A$2:$A$287),COLUMNS($J52:AA52))),"")</f>
        <v/>
      </c>
      <c r="AB52" s="25" t="str">
        <f t="array" ref="AB52">IFERROR(HYPERLINK("#KPI_Master!A"&amp;MATCH(SMALL(IF(KPI_Element_Map!$E$2:$E$287=$A52,KPI_Element_Map!$A$2:$A$287),COLUMNS($J52:AB52)),KPI_Master!$A:$A,0)&amp;":P"&amp;MATCH(SMALL(IF(KPI_Element_Map!$E$2:$E$287=$A52,KPI_Element_Map!$A$2:$A$287),COLUMNS($J52:AB52)),KPI_Master!$A:$A,0),SMALL(IF(KPI_Element_Map!$E$2:$E$287=$A52,KPI_Element_Map!$A$2:$A$287),COLUMNS($J52:AB52))),"")</f>
        <v/>
      </c>
      <c r="AC52" s="25" t="str">
        <f t="array" ref="AC52">IFERROR(HYPERLINK("#KPI_Master!A"&amp;MATCH(SMALL(IF(KPI_Element_Map!$E$2:$E$287=$A52,KPI_Element_Map!$A$2:$A$287),COLUMNS($J52:AC52)),KPI_Master!$A:$A,0)&amp;":P"&amp;MATCH(SMALL(IF(KPI_Element_Map!$E$2:$E$287=$A52,KPI_Element_Map!$A$2:$A$287),COLUMNS($J52:AC52)),KPI_Master!$A:$A,0),SMALL(IF(KPI_Element_Map!$E$2:$E$287=$A52,KPI_Element_Map!$A$2:$A$287),COLUMNS($J52:AC52))),"")</f>
        <v/>
      </c>
      <c r="AD52" s="25" t="str">
        <f t="array" ref="AD52">IFERROR(HYPERLINK("#KPI_Master!A"&amp;MATCH(SMALL(IF(KPI_Element_Map!$E$2:$E$287=$A52,KPI_Element_Map!$A$2:$A$287),COLUMNS($J52:AD52)),KPI_Master!$A:$A,0)&amp;":P"&amp;MATCH(SMALL(IF(KPI_Element_Map!$E$2:$E$287=$A52,KPI_Element_Map!$A$2:$A$287),COLUMNS($J52:AD52)),KPI_Master!$A:$A,0),SMALL(IF(KPI_Element_Map!$E$2:$E$287=$A52,KPI_Element_Map!$A$2:$A$287),COLUMNS($J52:AD52))),"")</f>
        <v/>
      </c>
      <c r="AE52" s="25" t="str">
        <f t="array" ref="AE52">IFERROR(HYPERLINK("#KPI_Master!A"&amp;MATCH(SMALL(IF(KPI_Element_Map!$E$2:$E$287=$A52,KPI_Element_Map!$A$2:$A$287),COLUMNS($J52:AE52)),KPI_Master!$A:$A,0)&amp;":P"&amp;MATCH(SMALL(IF(KPI_Element_Map!$E$2:$E$287=$A52,KPI_Element_Map!$A$2:$A$287),COLUMNS($J52:AE52)),KPI_Master!$A:$A,0),SMALL(IF(KPI_Element_Map!$E$2:$E$287=$A52,KPI_Element_Map!$A$2:$A$287),COLUMNS($J52:AE52))),"")</f>
        <v/>
      </c>
      <c r="AF52" s="25" t="str">
        <f t="array" ref="AF52">IFERROR(HYPERLINK("#KPI_Master!A"&amp;MATCH(SMALL(IF(KPI_Element_Map!$E$2:$E$287=$A52,KPI_Element_Map!$A$2:$A$287),COLUMNS($J52:AF52)),KPI_Master!$A:$A,0)&amp;":P"&amp;MATCH(SMALL(IF(KPI_Element_Map!$E$2:$E$287=$A52,KPI_Element_Map!$A$2:$A$287),COLUMNS($J52:AF52)),KPI_Master!$A:$A,0),SMALL(IF(KPI_Element_Map!$E$2:$E$287=$A52,KPI_Element_Map!$A$2:$A$287),COLUMNS($J52:AF52))),"")</f>
        <v/>
      </c>
      <c r="AG52" s="25" t="str">
        <f t="array" ref="AG52">IFERROR(HYPERLINK("#KPI_Master!A"&amp;MATCH(SMALL(IF(KPI_Element_Map!$E$2:$E$287=$A52,KPI_Element_Map!$A$2:$A$287),COLUMNS($J52:AG52)),KPI_Master!$A:$A,0)&amp;":P"&amp;MATCH(SMALL(IF(KPI_Element_Map!$E$2:$E$287=$A52,KPI_Element_Map!$A$2:$A$287),COLUMNS($J52:AG52)),KPI_Master!$A:$A,0),SMALL(IF(KPI_Element_Map!$E$2:$E$287=$A52,KPI_Element_Map!$A$2:$A$287),COLUMNS($J52:AG52))),"")</f>
        <v/>
      </c>
      <c r="AH52" s="25" t="str">
        <f t="array" ref="AH52">IFERROR(HYPERLINK("#KPI_Master!A"&amp;MATCH(SMALL(IF(KPI_Element_Map!$E$2:$E$287=$A52,KPI_Element_Map!$A$2:$A$287),COLUMNS($J52:AH52)),KPI_Master!$A:$A,0)&amp;":P"&amp;MATCH(SMALL(IF(KPI_Element_Map!$E$2:$E$287=$A52,KPI_Element_Map!$A$2:$A$287),COLUMNS($J52:AH52)),KPI_Master!$A:$A,0),SMALL(IF(KPI_Element_Map!$E$2:$E$287=$A52,KPI_Element_Map!$A$2:$A$287),COLUMNS($J52:AH52))),"")</f>
        <v/>
      </c>
    </row>
    <row r="53" spans="1:34">
      <c r="A53" s="21" t="s">
        <v>1095</v>
      </c>
      <c r="B53" s="22" t="s">
        <v>1096</v>
      </c>
      <c r="C53" s="23" t="s">
        <v>1097</v>
      </c>
      <c r="D53" s="23" t="str">
        <f t="array" ref="D53">_xlfn.TEXTJOIN(", ",TRUE(),IF(KPI_Element_Map!$E$2:$E$287=$A53,KPI_Element_Map!$A$2:$A$287,""))</f>
        <v>74, 78, 79, 80</v>
      </c>
      <c r="E53" s="21">
        <f>COUNTIF(KPI_Element_Map!$E$2:$E$287,$A53)</f>
        <v>4</v>
      </c>
      <c r="F53" s="21">
        <f>COUNTIFS(KPI_Element_Map!$E$2:$E$287,$A53,KPI_Element_Map!$D$2:$D$287,"1 - Core")</f>
        <v>1</v>
      </c>
      <c r="G53" s="24" t="s">
        <v>1098</v>
      </c>
      <c r="H53" s="23" t="str">
        <f>INDEX(Minimum_Documents!$B:$B,MATCH($G53,Minimum_Documents!$A:$A,0))</f>
        <v>Activity Calendar &amp; Attendance Report</v>
      </c>
      <c r="J53" s="25">
        <f t="array" ref="J53">IFERROR(HYPERLINK("#KPI_Master!A"&amp;MATCH(SMALL(IF(KPI_Element_Map!$E$2:$E$287=$A53,KPI_Element_Map!$A$2:$A$287),COLUMNS($J53:J53)),KPI_Master!$A:$A,0)&amp;":P"&amp;MATCH(SMALL(IF(KPI_Element_Map!$E$2:$E$287=$A53,KPI_Element_Map!$A$2:$A$287),COLUMNS($J53:J53)),KPI_Master!$A:$A,0),SMALL(IF(KPI_Element_Map!$E$2:$E$287=$A53,KPI_Element_Map!$A$2:$A$287),COLUMNS($J53:J53))),"")</f>
        <v>74</v>
      </c>
      <c r="K53" s="25">
        <f t="array" ref="K53">IFERROR(HYPERLINK("#KPI_Master!A"&amp;MATCH(SMALL(IF(KPI_Element_Map!$E$2:$E$287=$A53,KPI_Element_Map!$A$2:$A$287),COLUMNS($J53:K53)),KPI_Master!$A:$A,0)&amp;":P"&amp;MATCH(SMALL(IF(KPI_Element_Map!$E$2:$E$287=$A53,KPI_Element_Map!$A$2:$A$287),COLUMNS($J53:K53)),KPI_Master!$A:$A,0),SMALL(IF(KPI_Element_Map!$E$2:$E$287=$A53,KPI_Element_Map!$A$2:$A$287),COLUMNS($J53:K53))),"")</f>
        <v>78</v>
      </c>
      <c r="L53" s="25">
        <f t="array" ref="L53">IFERROR(HYPERLINK("#KPI_Master!A"&amp;MATCH(SMALL(IF(KPI_Element_Map!$E$2:$E$287=$A53,KPI_Element_Map!$A$2:$A$287),COLUMNS($J53:L53)),KPI_Master!$A:$A,0)&amp;":P"&amp;MATCH(SMALL(IF(KPI_Element_Map!$E$2:$E$287=$A53,KPI_Element_Map!$A$2:$A$287),COLUMNS($J53:L53)),KPI_Master!$A:$A,0),SMALL(IF(KPI_Element_Map!$E$2:$E$287=$A53,KPI_Element_Map!$A$2:$A$287),COLUMNS($J53:L53))),"")</f>
        <v>79</v>
      </c>
      <c r="M53" s="25">
        <f t="array" ref="M53">IFERROR(HYPERLINK("#KPI_Master!A"&amp;MATCH(SMALL(IF(KPI_Element_Map!$E$2:$E$287=$A53,KPI_Element_Map!$A$2:$A$287),COLUMNS($J53:M53)),KPI_Master!$A:$A,0)&amp;":P"&amp;MATCH(SMALL(IF(KPI_Element_Map!$E$2:$E$287=$A53,KPI_Element_Map!$A$2:$A$287),COLUMNS($J53:M53)),KPI_Master!$A:$A,0),SMALL(IF(KPI_Element_Map!$E$2:$E$287=$A53,KPI_Element_Map!$A$2:$A$287),COLUMNS($J53:M53))),"")</f>
        <v>80</v>
      </c>
      <c r="N53" s="25" t="str">
        <f t="array" ref="N53">IFERROR(HYPERLINK("#KPI_Master!A"&amp;MATCH(SMALL(IF(KPI_Element_Map!$E$2:$E$287=$A53,KPI_Element_Map!$A$2:$A$287),COLUMNS($J53:N53)),KPI_Master!$A:$A,0)&amp;":P"&amp;MATCH(SMALL(IF(KPI_Element_Map!$E$2:$E$287=$A53,KPI_Element_Map!$A$2:$A$287),COLUMNS($J53:N53)),KPI_Master!$A:$A,0),SMALL(IF(KPI_Element_Map!$E$2:$E$287=$A53,KPI_Element_Map!$A$2:$A$287),COLUMNS($J53:N53))),"")</f>
        <v/>
      </c>
      <c r="O53" s="25" t="str">
        <f t="array" ref="O53">IFERROR(HYPERLINK("#KPI_Master!A"&amp;MATCH(SMALL(IF(KPI_Element_Map!$E$2:$E$287=$A53,KPI_Element_Map!$A$2:$A$287),COLUMNS($J53:O53)),KPI_Master!$A:$A,0)&amp;":P"&amp;MATCH(SMALL(IF(KPI_Element_Map!$E$2:$E$287=$A53,KPI_Element_Map!$A$2:$A$287),COLUMNS($J53:O53)),KPI_Master!$A:$A,0),SMALL(IF(KPI_Element_Map!$E$2:$E$287=$A53,KPI_Element_Map!$A$2:$A$287),COLUMNS($J53:O53))),"")</f>
        <v/>
      </c>
      <c r="P53" s="25" t="str">
        <f t="array" ref="P53">IFERROR(HYPERLINK("#KPI_Master!A"&amp;MATCH(SMALL(IF(KPI_Element_Map!$E$2:$E$287=$A53,KPI_Element_Map!$A$2:$A$287),COLUMNS($J53:P53)),KPI_Master!$A:$A,0)&amp;":P"&amp;MATCH(SMALL(IF(KPI_Element_Map!$E$2:$E$287=$A53,KPI_Element_Map!$A$2:$A$287),COLUMNS($J53:P53)),KPI_Master!$A:$A,0),SMALL(IF(KPI_Element_Map!$E$2:$E$287=$A53,KPI_Element_Map!$A$2:$A$287),COLUMNS($J53:P53))),"")</f>
        <v/>
      </c>
      <c r="Q53" s="25" t="str">
        <f t="array" ref="Q53">IFERROR(HYPERLINK("#KPI_Master!A"&amp;MATCH(SMALL(IF(KPI_Element_Map!$E$2:$E$287=$A53,KPI_Element_Map!$A$2:$A$287),COLUMNS($J53:Q53)),KPI_Master!$A:$A,0)&amp;":P"&amp;MATCH(SMALL(IF(KPI_Element_Map!$E$2:$E$287=$A53,KPI_Element_Map!$A$2:$A$287),COLUMNS($J53:Q53)),KPI_Master!$A:$A,0),SMALL(IF(KPI_Element_Map!$E$2:$E$287=$A53,KPI_Element_Map!$A$2:$A$287),COLUMNS($J53:Q53))),"")</f>
        <v/>
      </c>
      <c r="R53" s="25" t="str">
        <f t="array" ref="R53">IFERROR(HYPERLINK("#KPI_Master!A"&amp;MATCH(SMALL(IF(KPI_Element_Map!$E$2:$E$287=$A53,KPI_Element_Map!$A$2:$A$287),COLUMNS($J53:R53)),KPI_Master!$A:$A,0)&amp;":P"&amp;MATCH(SMALL(IF(KPI_Element_Map!$E$2:$E$287=$A53,KPI_Element_Map!$A$2:$A$287),COLUMNS($J53:R53)),KPI_Master!$A:$A,0),SMALL(IF(KPI_Element_Map!$E$2:$E$287=$A53,KPI_Element_Map!$A$2:$A$287),COLUMNS($J53:R53))),"")</f>
        <v/>
      </c>
      <c r="S53" s="25" t="str">
        <f t="array" ref="S53">IFERROR(HYPERLINK("#KPI_Master!A"&amp;MATCH(SMALL(IF(KPI_Element_Map!$E$2:$E$287=$A53,KPI_Element_Map!$A$2:$A$287),COLUMNS($J53:S53)),KPI_Master!$A:$A,0)&amp;":P"&amp;MATCH(SMALL(IF(KPI_Element_Map!$E$2:$E$287=$A53,KPI_Element_Map!$A$2:$A$287),COLUMNS($J53:S53)),KPI_Master!$A:$A,0),SMALL(IF(KPI_Element_Map!$E$2:$E$287=$A53,KPI_Element_Map!$A$2:$A$287),COLUMNS($J53:S53))),"")</f>
        <v/>
      </c>
      <c r="T53" s="25" t="str">
        <f t="array" ref="T53">IFERROR(HYPERLINK("#KPI_Master!A"&amp;MATCH(SMALL(IF(KPI_Element_Map!$E$2:$E$287=$A53,KPI_Element_Map!$A$2:$A$287),COLUMNS($J53:T53)),KPI_Master!$A:$A,0)&amp;":P"&amp;MATCH(SMALL(IF(KPI_Element_Map!$E$2:$E$287=$A53,KPI_Element_Map!$A$2:$A$287),COLUMNS($J53:T53)),KPI_Master!$A:$A,0),SMALL(IF(KPI_Element_Map!$E$2:$E$287=$A53,KPI_Element_Map!$A$2:$A$287),COLUMNS($J53:T53))),"")</f>
        <v/>
      </c>
      <c r="U53" s="25" t="str">
        <f t="array" ref="U53">IFERROR(HYPERLINK("#KPI_Master!A"&amp;MATCH(SMALL(IF(KPI_Element_Map!$E$2:$E$287=$A53,KPI_Element_Map!$A$2:$A$287),COLUMNS($J53:U53)),KPI_Master!$A:$A,0)&amp;":P"&amp;MATCH(SMALL(IF(KPI_Element_Map!$E$2:$E$287=$A53,KPI_Element_Map!$A$2:$A$287),COLUMNS($J53:U53)),KPI_Master!$A:$A,0),SMALL(IF(KPI_Element_Map!$E$2:$E$287=$A53,KPI_Element_Map!$A$2:$A$287),COLUMNS($J53:U53))),"")</f>
        <v/>
      </c>
      <c r="V53" s="25" t="str">
        <f t="array" ref="V53">IFERROR(HYPERLINK("#KPI_Master!A"&amp;MATCH(SMALL(IF(KPI_Element_Map!$E$2:$E$287=$A53,KPI_Element_Map!$A$2:$A$287),COLUMNS($J53:V53)),KPI_Master!$A:$A,0)&amp;":P"&amp;MATCH(SMALL(IF(KPI_Element_Map!$E$2:$E$287=$A53,KPI_Element_Map!$A$2:$A$287),COLUMNS($J53:V53)),KPI_Master!$A:$A,0),SMALL(IF(KPI_Element_Map!$E$2:$E$287=$A53,KPI_Element_Map!$A$2:$A$287),COLUMNS($J53:V53))),"")</f>
        <v/>
      </c>
      <c r="W53" s="25" t="str">
        <f t="array" ref="W53">IFERROR(HYPERLINK("#KPI_Master!A"&amp;MATCH(SMALL(IF(KPI_Element_Map!$E$2:$E$287=$A53,KPI_Element_Map!$A$2:$A$287),COLUMNS($J53:W53)),KPI_Master!$A:$A,0)&amp;":P"&amp;MATCH(SMALL(IF(KPI_Element_Map!$E$2:$E$287=$A53,KPI_Element_Map!$A$2:$A$287),COLUMNS($J53:W53)),KPI_Master!$A:$A,0),SMALL(IF(KPI_Element_Map!$E$2:$E$287=$A53,KPI_Element_Map!$A$2:$A$287),COLUMNS($J53:W53))),"")</f>
        <v/>
      </c>
      <c r="X53" s="25" t="str">
        <f t="array" ref="X53">IFERROR(HYPERLINK("#KPI_Master!A"&amp;MATCH(SMALL(IF(KPI_Element_Map!$E$2:$E$287=$A53,KPI_Element_Map!$A$2:$A$287),COLUMNS($J53:X53)),KPI_Master!$A:$A,0)&amp;":P"&amp;MATCH(SMALL(IF(KPI_Element_Map!$E$2:$E$287=$A53,KPI_Element_Map!$A$2:$A$287),COLUMNS($J53:X53)),KPI_Master!$A:$A,0),SMALL(IF(KPI_Element_Map!$E$2:$E$287=$A53,KPI_Element_Map!$A$2:$A$287),COLUMNS($J53:X53))),"")</f>
        <v/>
      </c>
      <c r="Y53" s="25" t="str">
        <f t="array" ref="Y53">IFERROR(HYPERLINK("#KPI_Master!A"&amp;MATCH(SMALL(IF(KPI_Element_Map!$E$2:$E$287=$A53,KPI_Element_Map!$A$2:$A$287),COLUMNS($J53:Y53)),KPI_Master!$A:$A,0)&amp;":P"&amp;MATCH(SMALL(IF(KPI_Element_Map!$E$2:$E$287=$A53,KPI_Element_Map!$A$2:$A$287),COLUMNS($J53:Y53)),KPI_Master!$A:$A,0),SMALL(IF(KPI_Element_Map!$E$2:$E$287=$A53,KPI_Element_Map!$A$2:$A$287),COLUMNS($J53:Y53))),"")</f>
        <v/>
      </c>
      <c r="Z53" s="25" t="str">
        <f t="array" ref="Z53">IFERROR(HYPERLINK("#KPI_Master!A"&amp;MATCH(SMALL(IF(KPI_Element_Map!$E$2:$E$287=$A53,KPI_Element_Map!$A$2:$A$287),COLUMNS($J53:Z53)),KPI_Master!$A:$A,0)&amp;":P"&amp;MATCH(SMALL(IF(KPI_Element_Map!$E$2:$E$287=$A53,KPI_Element_Map!$A$2:$A$287),COLUMNS($J53:Z53)),KPI_Master!$A:$A,0),SMALL(IF(KPI_Element_Map!$E$2:$E$287=$A53,KPI_Element_Map!$A$2:$A$287),COLUMNS($J53:Z53))),"")</f>
        <v/>
      </c>
      <c r="AA53" s="25" t="str">
        <f t="array" ref="AA53">IFERROR(HYPERLINK("#KPI_Master!A"&amp;MATCH(SMALL(IF(KPI_Element_Map!$E$2:$E$287=$A53,KPI_Element_Map!$A$2:$A$287),COLUMNS($J53:AA53)),KPI_Master!$A:$A,0)&amp;":P"&amp;MATCH(SMALL(IF(KPI_Element_Map!$E$2:$E$287=$A53,KPI_Element_Map!$A$2:$A$287),COLUMNS($J53:AA53)),KPI_Master!$A:$A,0),SMALL(IF(KPI_Element_Map!$E$2:$E$287=$A53,KPI_Element_Map!$A$2:$A$287),COLUMNS($J53:AA53))),"")</f>
        <v/>
      </c>
      <c r="AB53" s="25" t="str">
        <f t="array" ref="AB53">IFERROR(HYPERLINK("#KPI_Master!A"&amp;MATCH(SMALL(IF(KPI_Element_Map!$E$2:$E$287=$A53,KPI_Element_Map!$A$2:$A$287),COLUMNS($J53:AB53)),KPI_Master!$A:$A,0)&amp;":P"&amp;MATCH(SMALL(IF(KPI_Element_Map!$E$2:$E$287=$A53,KPI_Element_Map!$A$2:$A$287),COLUMNS($J53:AB53)),KPI_Master!$A:$A,0),SMALL(IF(KPI_Element_Map!$E$2:$E$287=$A53,KPI_Element_Map!$A$2:$A$287),COLUMNS($J53:AB53))),"")</f>
        <v/>
      </c>
      <c r="AC53" s="25" t="str">
        <f t="array" ref="AC53">IFERROR(HYPERLINK("#KPI_Master!A"&amp;MATCH(SMALL(IF(KPI_Element_Map!$E$2:$E$287=$A53,KPI_Element_Map!$A$2:$A$287),COLUMNS($J53:AC53)),KPI_Master!$A:$A,0)&amp;":P"&amp;MATCH(SMALL(IF(KPI_Element_Map!$E$2:$E$287=$A53,KPI_Element_Map!$A$2:$A$287),COLUMNS($J53:AC53)),KPI_Master!$A:$A,0),SMALL(IF(KPI_Element_Map!$E$2:$E$287=$A53,KPI_Element_Map!$A$2:$A$287),COLUMNS($J53:AC53))),"")</f>
        <v/>
      </c>
      <c r="AD53" s="25" t="str">
        <f t="array" ref="AD53">IFERROR(HYPERLINK("#KPI_Master!A"&amp;MATCH(SMALL(IF(KPI_Element_Map!$E$2:$E$287=$A53,KPI_Element_Map!$A$2:$A$287),COLUMNS($J53:AD53)),KPI_Master!$A:$A,0)&amp;":P"&amp;MATCH(SMALL(IF(KPI_Element_Map!$E$2:$E$287=$A53,KPI_Element_Map!$A$2:$A$287),COLUMNS($J53:AD53)),KPI_Master!$A:$A,0),SMALL(IF(KPI_Element_Map!$E$2:$E$287=$A53,KPI_Element_Map!$A$2:$A$287),COLUMNS($J53:AD53))),"")</f>
        <v/>
      </c>
      <c r="AE53" s="25" t="str">
        <f t="array" ref="AE53">IFERROR(HYPERLINK("#KPI_Master!A"&amp;MATCH(SMALL(IF(KPI_Element_Map!$E$2:$E$287=$A53,KPI_Element_Map!$A$2:$A$287),COLUMNS($J53:AE53)),KPI_Master!$A:$A,0)&amp;":P"&amp;MATCH(SMALL(IF(KPI_Element_Map!$E$2:$E$287=$A53,KPI_Element_Map!$A$2:$A$287),COLUMNS($J53:AE53)),KPI_Master!$A:$A,0),SMALL(IF(KPI_Element_Map!$E$2:$E$287=$A53,KPI_Element_Map!$A$2:$A$287),COLUMNS($J53:AE53))),"")</f>
        <v/>
      </c>
      <c r="AF53" s="25" t="str">
        <f t="array" ref="AF53">IFERROR(HYPERLINK("#KPI_Master!A"&amp;MATCH(SMALL(IF(KPI_Element_Map!$E$2:$E$287=$A53,KPI_Element_Map!$A$2:$A$287),COLUMNS($J53:AF53)),KPI_Master!$A:$A,0)&amp;":P"&amp;MATCH(SMALL(IF(KPI_Element_Map!$E$2:$E$287=$A53,KPI_Element_Map!$A$2:$A$287),COLUMNS($J53:AF53)),KPI_Master!$A:$A,0),SMALL(IF(KPI_Element_Map!$E$2:$E$287=$A53,KPI_Element_Map!$A$2:$A$287),COLUMNS($J53:AF53))),"")</f>
        <v/>
      </c>
      <c r="AG53" s="25" t="str">
        <f t="array" ref="AG53">IFERROR(HYPERLINK("#KPI_Master!A"&amp;MATCH(SMALL(IF(KPI_Element_Map!$E$2:$E$287=$A53,KPI_Element_Map!$A$2:$A$287),COLUMNS($J53:AG53)),KPI_Master!$A:$A,0)&amp;":P"&amp;MATCH(SMALL(IF(KPI_Element_Map!$E$2:$E$287=$A53,KPI_Element_Map!$A$2:$A$287),COLUMNS($J53:AG53)),KPI_Master!$A:$A,0),SMALL(IF(KPI_Element_Map!$E$2:$E$287=$A53,KPI_Element_Map!$A$2:$A$287),COLUMNS($J53:AG53))),"")</f>
        <v/>
      </c>
      <c r="AH53" s="25" t="str">
        <f t="array" ref="AH53">IFERROR(HYPERLINK("#KPI_Master!A"&amp;MATCH(SMALL(IF(KPI_Element_Map!$E$2:$E$287=$A53,KPI_Element_Map!$A$2:$A$287),COLUMNS($J53:AH53)),KPI_Master!$A:$A,0)&amp;":P"&amp;MATCH(SMALL(IF(KPI_Element_Map!$E$2:$E$287=$A53,KPI_Element_Map!$A$2:$A$287),COLUMNS($J53:AH53)),KPI_Master!$A:$A,0),SMALL(IF(KPI_Element_Map!$E$2:$E$287=$A53,KPI_Element_Map!$A$2:$A$287),COLUMNS($J53:AH53))),"")</f>
        <v/>
      </c>
    </row>
    <row r="54" spans="1:34">
      <c r="A54" s="21" t="s">
        <v>1099</v>
      </c>
      <c r="B54" s="22" t="s">
        <v>1100</v>
      </c>
      <c r="C54" s="23" t="s">
        <v>1101</v>
      </c>
      <c r="D54" s="23" t="str">
        <f t="array" ref="D54">_xlfn.TEXTJOIN(", ",TRUE(),IF(KPI_Element_Map!$E$2:$E$287=$A54,KPI_Element_Map!$A$2:$A$287,""))</f>
        <v>74, 75, 77, 79</v>
      </c>
      <c r="E54" s="21">
        <f>COUNTIF(KPI_Element_Map!$E$2:$E$287,$A54)</f>
        <v>4</v>
      </c>
      <c r="F54" s="21">
        <f>COUNTIFS(KPI_Element_Map!$E$2:$E$287,$A54,KPI_Element_Map!$D$2:$D$287,"1 - Core")</f>
        <v>1</v>
      </c>
      <c r="G54" s="24" t="s">
        <v>1098</v>
      </c>
      <c r="H54" s="23" t="str">
        <f>INDEX(Minimum_Documents!$B:$B,MATCH($G54,Minimum_Documents!$A:$A,0))</f>
        <v>Activity Calendar &amp; Attendance Report</v>
      </c>
      <c r="J54" s="25">
        <f t="array" ref="J54">IFERROR(HYPERLINK("#KPI_Master!A"&amp;MATCH(SMALL(IF(KPI_Element_Map!$E$2:$E$287=$A54,KPI_Element_Map!$A$2:$A$287),COLUMNS($J54:J54)),KPI_Master!$A:$A,0)&amp;":P"&amp;MATCH(SMALL(IF(KPI_Element_Map!$E$2:$E$287=$A54,KPI_Element_Map!$A$2:$A$287),COLUMNS($J54:J54)),KPI_Master!$A:$A,0),SMALL(IF(KPI_Element_Map!$E$2:$E$287=$A54,KPI_Element_Map!$A$2:$A$287),COLUMNS($J54:J54))),"")</f>
        <v>74</v>
      </c>
      <c r="K54" s="25">
        <f t="array" ref="K54">IFERROR(HYPERLINK("#KPI_Master!A"&amp;MATCH(SMALL(IF(KPI_Element_Map!$E$2:$E$287=$A54,KPI_Element_Map!$A$2:$A$287),COLUMNS($J54:K54)),KPI_Master!$A:$A,0)&amp;":P"&amp;MATCH(SMALL(IF(KPI_Element_Map!$E$2:$E$287=$A54,KPI_Element_Map!$A$2:$A$287),COLUMNS($J54:K54)),KPI_Master!$A:$A,0),SMALL(IF(KPI_Element_Map!$E$2:$E$287=$A54,KPI_Element_Map!$A$2:$A$287),COLUMNS($J54:K54))),"")</f>
        <v>75</v>
      </c>
      <c r="L54" s="25">
        <f t="array" ref="L54">IFERROR(HYPERLINK("#KPI_Master!A"&amp;MATCH(SMALL(IF(KPI_Element_Map!$E$2:$E$287=$A54,KPI_Element_Map!$A$2:$A$287),COLUMNS($J54:L54)),KPI_Master!$A:$A,0)&amp;":P"&amp;MATCH(SMALL(IF(KPI_Element_Map!$E$2:$E$287=$A54,KPI_Element_Map!$A$2:$A$287),COLUMNS($J54:L54)),KPI_Master!$A:$A,0),SMALL(IF(KPI_Element_Map!$E$2:$E$287=$A54,KPI_Element_Map!$A$2:$A$287),COLUMNS($J54:L54))),"")</f>
        <v>77</v>
      </c>
      <c r="M54" s="25">
        <f t="array" ref="M54">IFERROR(HYPERLINK("#KPI_Master!A"&amp;MATCH(SMALL(IF(KPI_Element_Map!$E$2:$E$287=$A54,KPI_Element_Map!$A$2:$A$287),COLUMNS($J54:M54)),KPI_Master!$A:$A,0)&amp;":P"&amp;MATCH(SMALL(IF(KPI_Element_Map!$E$2:$E$287=$A54,KPI_Element_Map!$A$2:$A$287),COLUMNS($J54:M54)),KPI_Master!$A:$A,0),SMALL(IF(KPI_Element_Map!$E$2:$E$287=$A54,KPI_Element_Map!$A$2:$A$287),COLUMNS($J54:M54))),"")</f>
        <v>79</v>
      </c>
      <c r="N54" s="25" t="str">
        <f t="array" ref="N54">IFERROR(HYPERLINK("#KPI_Master!A"&amp;MATCH(SMALL(IF(KPI_Element_Map!$E$2:$E$287=$A54,KPI_Element_Map!$A$2:$A$287),COLUMNS($J54:N54)),KPI_Master!$A:$A,0)&amp;":P"&amp;MATCH(SMALL(IF(KPI_Element_Map!$E$2:$E$287=$A54,KPI_Element_Map!$A$2:$A$287),COLUMNS($J54:N54)),KPI_Master!$A:$A,0),SMALL(IF(KPI_Element_Map!$E$2:$E$287=$A54,KPI_Element_Map!$A$2:$A$287),COLUMNS($J54:N54))),"")</f>
        <v/>
      </c>
      <c r="O54" s="25" t="str">
        <f t="array" ref="O54">IFERROR(HYPERLINK("#KPI_Master!A"&amp;MATCH(SMALL(IF(KPI_Element_Map!$E$2:$E$287=$A54,KPI_Element_Map!$A$2:$A$287),COLUMNS($J54:O54)),KPI_Master!$A:$A,0)&amp;":P"&amp;MATCH(SMALL(IF(KPI_Element_Map!$E$2:$E$287=$A54,KPI_Element_Map!$A$2:$A$287),COLUMNS($J54:O54)),KPI_Master!$A:$A,0),SMALL(IF(KPI_Element_Map!$E$2:$E$287=$A54,KPI_Element_Map!$A$2:$A$287),COLUMNS($J54:O54))),"")</f>
        <v/>
      </c>
      <c r="P54" s="25" t="str">
        <f t="array" ref="P54">IFERROR(HYPERLINK("#KPI_Master!A"&amp;MATCH(SMALL(IF(KPI_Element_Map!$E$2:$E$287=$A54,KPI_Element_Map!$A$2:$A$287),COLUMNS($J54:P54)),KPI_Master!$A:$A,0)&amp;":P"&amp;MATCH(SMALL(IF(KPI_Element_Map!$E$2:$E$287=$A54,KPI_Element_Map!$A$2:$A$287),COLUMNS($J54:P54)),KPI_Master!$A:$A,0),SMALL(IF(KPI_Element_Map!$E$2:$E$287=$A54,KPI_Element_Map!$A$2:$A$287),COLUMNS($J54:P54))),"")</f>
        <v/>
      </c>
      <c r="Q54" s="25" t="str">
        <f t="array" ref="Q54">IFERROR(HYPERLINK("#KPI_Master!A"&amp;MATCH(SMALL(IF(KPI_Element_Map!$E$2:$E$287=$A54,KPI_Element_Map!$A$2:$A$287),COLUMNS($J54:Q54)),KPI_Master!$A:$A,0)&amp;":P"&amp;MATCH(SMALL(IF(KPI_Element_Map!$E$2:$E$287=$A54,KPI_Element_Map!$A$2:$A$287),COLUMNS($J54:Q54)),KPI_Master!$A:$A,0),SMALL(IF(KPI_Element_Map!$E$2:$E$287=$A54,KPI_Element_Map!$A$2:$A$287),COLUMNS($J54:Q54))),"")</f>
        <v/>
      </c>
      <c r="R54" s="25" t="str">
        <f t="array" ref="R54">IFERROR(HYPERLINK("#KPI_Master!A"&amp;MATCH(SMALL(IF(KPI_Element_Map!$E$2:$E$287=$A54,KPI_Element_Map!$A$2:$A$287),COLUMNS($J54:R54)),KPI_Master!$A:$A,0)&amp;":P"&amp;MATCH(SMALL(IF(KPI_Element_Map!$E$2:$E$287=$A54,KPI_Element_Map!$A$2:$A$287),COLUMNS($J54:R54)),KPI_Master!$A:$A,0),SMALL(IF(KPI_Element_Map!$E$2:$E$287=$A54,KPI_Element_Map!$A$2:$A$287),COLUMNS($J54:R54))),"")</f>
        <v/>
      </c>
      <c r="S54" s="25" t="str">
        <f t="array" ref="S54">IFERROR(HYPERLINK("#KPI_Master!A"&amp;MATCH(SMALL(IF(KPI_Element_Map!$E$2:$E$287=$A54,KPI_Element_Map!$A$2:$A$287),COLUMNS($J54:S54)),KPI_Master!$A:$A,0)&amp;":P"&amp;MATCH(SMALL(IF(KPI_Element_Map!$E$2:$E$287=$A54,KPI_Element_Map!$A$2:$A$287),COLUMNS($J54:S54)),KPI_Master!$A:$A,0),SMALL(IF(KPI_Element_Map!$E$2:$E$287=$A54,KPI_Element_Map!$A$2:$A$287),COLUMNS($J54:S54))),"")</f>
        <v/>
      </c>
      <c r="T54" s="25" t="str">
        <f t="array" ref="T54">IFERROR(HYPERLINK("#KPI_Master!A"&amp;MATCH(SMALL(IF(KPI_Element_Map!$E$2:$E$287=$A54,KPI_Element_Map!$A$2:$A$287),COLUMNS($J54:T54)),KPI_Master!$A:$A,0)&amp;":P"&amp;MATCH(SMALL(IF(KPI_Element_Map!$E$2:$E$287=$A54,KPI_Element_Map!$A$2:$A$287),COLUMNS($J54:T54)),KPI_Master!$A:$A,0),SMALL(IF(KPI_Element_Map!$E$2:$E$287=$A54,KPI_Element_Map!$A$2:$A$287),COLUMNS($J54:T54))),"")</f>
        <v/>
      </c>
      <c r="U54" s="25" t="str">
        <f t="array" ref="U54">IFERROR(HYPERLINK("#KPI_Master!A"&amp;MATCH(SMALL(IF(KPI_Element_Map!$E$2:$E$287=$A54,KPI_Element_Map!$A$2:$A$287),COLUMNS($J54:U54)),KPI_Master!$A:$A,0)&amp;":P"&amp;MATCH(SMALL(IF(KPI_Element_Map!$E$2:$E$287=$A54,KPI_Element_Map!$A$2:$A$287),COLUMNS($J54:U54)),KPI_Master!$A:$A,0),SMALL(IF(KPI_Element_Map!$E$2:$E$287=$A54,KPI_Element_Map!$A$2:$A$287),COLUMNS($J54:U54))),"")</f>
        <v/>
      </c>
      <c r="V54" s="25" t="str">
        <f t="array" ref="V54">IFERROR(HYPERLINK("#KPI_Master!A"&amp;MATCH(SMALL(IF(KPI_Element_Map!$E$2:$E$287=$A54,KPI_Element_Map!$A$2:$A$287),COLUMNS($J54:V54)),KPI_Master!$A:$A,0)&amp;":P"&amp;MATCH(SMALL(IF(KPI_Element_Map!$E$2:$E$287=$A54,KPI_Element_Map!$A$2:$A$287),COLUMNS($J54:V54)),KPI_Master!$A:$A,0),SMALL(IF(KPI_Element_Map!$E$2:$E$287=$A54,KPI_Element_Map!$A$2:$A$287),COLUMNS($J54:V54))),"")</f>
        <v/>
      </c>
      <c r="W54" s="25" t="str">
        <f t="array" ref="W54">IFERROR(HYPERLINK("#KPI_Master!A"&amp;MATCH(SMALL(IF(KPI_Element_Map!$E$2:$E$287=$A54,KPI_Element_Map!$A$2:$A$287),COLUMNS($J54:W54)),KPI_Master!$A:$A,0)&amp;":P"&amp;MATCH(SMALL(IF(KPI_Element_Map!$E$2:$E$287=$A54,KPI_Element_Map!$A$2:$A$287),COLUMNS($J54:W54)),KPI_Master!$A:$A,0),SMALL(IF(KPI_Element_Map!$E$2:$E$287=$A54,KPI_Element_Map!$A$2:$A$287),COLUMNS($J54:W54))),"")</f>
        <v/>
      </c>
      <c r="X54" s="25" t="str">
        <f t="array" ref="X54">IFERROR(HYPERLINK("#KPI_Master!A"&amp;MATCH(SMALL(IF(KPI_Element_Map!$E$2:$E$287=$A54,KPI_Element_Map!$A$2:$A$287),COLUMNS($J54:X54)),KPI_Master!$A:$A,0)&amp;":P"&amp;MATCH(SMALL(IF(KPI_Element_Map!$E$2:$E$287=$A54,KPI_Element_Map!$A$2:$A$287),COLUMNS($J54:X54)),KPI_Master!$A:$A,0),SMALL(IF(KPI_Element_Map!$E$2:$E$287=$A54,KPI_Element_Map!$A$2:$A$287),COLUMNS($J54:X54))),"")</f>
        <v/>
      </c>
      <c r="Y54" s="25" t="str">
        <f t="array" ref="Y54">IFERROR(HYPERLINK("#KPI_Master!A"&amp;MATCH(SMALL(IF(KPI_Element_Map!$E$2:$E$287=$A54,KPI_Element_Map!$A$2:$A$287),COLUMNS($J54:Y54)),KPI_Master!$A:$A,0)&amp;":P"&amp;MATCH(SMALL(IF(KPI_Element_Map!$E$2:$E$287=$A54,KPI_Element_Map!$A$2:$A$287),COLUMNS($J54:Y54)),KPI_Master!$A:$A,0),SMALL(IF(KPI_Element_Map!$E$2:$E$287=$A54,KPI_Element_Map!$A$2:$A$287),COLUMNS($J54:Y54))),"")</f>
        <v/>
      </c>
      <c r="Z54" s="25" t="str">
        <f t="array" ref="Z54">IFERROR(HYPERLINK("#KPI_Master!A"&amp;MATCH(SMALL(IF(KPI_Element_Map!$E$2:$E$287=$A54,KPI_Element_Map!$A$2:$A$287),COLUMNS($J54:Z54)),KPI_Master!$A:$A,0)&amp;":P"&amp;MATCH(SMALL(IF(KPI_Element_Map!$E$2:$E$287=$A54,KPI_Element_Map!$A$2:$A$287),COLUMNS($J54:Z54)),KPI_Master!$A:$A,0),SMALL(IF(KPI_Element_Map!$E$2:$E$287=$A54,KPI_Element_Map!$A$2:$A$287),COLUMNS($J54:Z54))),"")</f>
        <v/>
      </c>
      <c r="AA54" s="25" t="str">
        <f t="array" ref="AA54">IFERROR(HYPERLINK("#KPI_Master!A"&amp;MATCH(SMALL(IF(KPI_Element_Map!$E$2:$E$287=$A54,KPI_Element_Map!$A$2:$A$287),COLUMNS($J54:AA54)),KPI_Master!$A:$A,0)&amp;":P"&amp;MATCH(SMALL(IF(KPI_Element_Map!$E$2:$E$287=$A54,KPI_Element_Map!$A$2:$A$287),COLUMNS($J54:AA54)),KPI_Master!$A:$A,0),SMALL(IF(KPI_Element_Map!$E$2:$E$287=$A54,KPI_Element_Map!$A$2:$A$287),COLUMNS($J54:AA54))),"")</f>
        <v/>
      </c>
      <c r="AB54" s="25" t="str">
        <f t="array" ref="AB54">IFERROR(HYPERLINK("#KPI_Master!A"&amp;MATCH(SMALL(IF(KPI_Element_Map!$E$2:$E$287=$A54,KPI_Element_Map!$A$2:$A$287),COLUMNS($J54:AB54)),KPI_Master!$A:$A,0)&amp;":P"&amp;MATCH(SMALL(IF(KPI_Element_Map!$E$2:$E$287=$A54,KPI_Element_Map!$A$2:$A$287),COLUMNS($J54:AB54)),KPI_Master!$A:$A,0),SMALL(IF(KPI_Element_Map!$E$2:$E$287=$A54,KPI_Element_Map!$A$2:$A$287),COLUMNS($J54:AB54))),"")</f>
        <v/>
      </c>
      <c r="AC54" s="25" t="str">
        <f t="array" ref="AC54">IFERROR(HYPERLINK("#KPI_Master!A"&amp;MATCH(SMALL(IF(KPI_Element_Map!$E$2:$E$287=$A54,KPI_Element_Map!$A$2:$A$287),COLUMNS($J54:AC54)),KPI_Master!$A:$A,0)&amp;":P"&amp;MATCH(SMALL(IF(KPI_Element_Map!$E$2:$E$287=$A54,KPI_Element_Map!$A$2:$A$287),COLUMNS($J54:AC54)),KPI_Master!$A:$A,0),SMALL(IF(KPI_Element_Map!$E$2:$E$287=$A54,KPI_Element_Map!$A$2:$A$287),COLUMNS($J54:AC54))),"")</f>
        <v/>
      </c>
      <c r="AD54" s="25" t="str">
        <f t="array" ref="AD54">IFERROR(HYPERLINK("#KPI_Master!A"&amp;MATCH(SMALL(IF(KPI_Element_Map!$E$2:$E$287=$A54,KPI_Element_Map!$A$2:$A$287),COLUMNS($J54:AD54)),KPI_Master!$A:$A,0)&amp;":P"&amp;MATCH(SMALL(IF(KPI_Element_Map!$E$2:$E$287=$A54,KPI_Element_Map!$A$2:$A$287),COLUMNS($J54:AD54)),KPI_Master!$A:$A,0),SMALL(IF(KPI_Element_Map!$E$2:$E$287=$A54,KPI_Element_Map!$A$2:$A$287),COLUMNS($J54:AD54))),"")</f>
        <v/>
      </c>
      <c r="AE54" s="25" t="str">
        <f t="array" ref="AE54">IFERROR(HYPERLINK("#KPI_Master!A"&amp;MATCH(SMALL(IF(KPI_Element_Map!$E$2:$E$287=$A54,KPI_Element_Map!$A$2:$A$287),COLUMNS($J54:AE54)),KPI_Master!$A:$A,0)&amp;":P"&amp;MATCH(SMALL(IF(KPI_Element_Map!$E$2:$E$287=$A54,KPI_Element_Map!$A$2:$A$287),COLUMNS($J54:AE54)),KPI_Master!$A:$A,0),SMALL(IF(KPI_Element_Map!$E$2:$E$287=$A54,KPI_Element_Map!$A$2:$A$287),COLUMNS($J54:AE54))),"")</f>
        <v/>
      </c>
      <c r="AF54" s="25" t="str">
        <f t="array" ref="AF54">IFERROR(HYPERLINK("#KPI_Master!A"&amp;MATCH(SMALL(IF(KPI_Element_Map!$E$2:$E$287=$A54,KPI_Element_Map!$A$2:$A$287),COLUMNS($J54:AF54)),KPI_Master!$A:$A,0)&amp;":P"&amp;MATCH(SMALL(IF(KPI_Element_Map!$E$2:$E$287=$A54,KPI_Element_Map!$A$2:$A$287),COLUMNS($J54:AF54)),KPI_Master!$A:$A,0),SMALL(IF(KPI_Element_Map!$E$2:$E$287=$A54,KPI_Element_Map!$A$2:$A$287),COLUMNS($J54:AF54))),"")</f>
        <v/>
      </c>
      <c r="AG54" s="25" t="str">
        <f t="array" ref="AG54">IFERROR(HYPERLINK("#KPI_Master!A"&amp;MATCH(SMALL(IF(KPI_Element_Map!$E$2:$E$287=$A54,KPI_Element_Map!$A$2:$A$287),COLUMNS($J54:AG54)),KPI_Master!$A:$A,0)&amp;":P"&amp;MATCH(SMALL(IF(KPI_Element_Map!$E$2:$E$287=$A54,KPI_Element_Map!$A$2:$A$287),COLUMNS($J54:AG54)),KPI_Master!$A:$A,0),SMALL(IF(KPI_Element_Map!$E$2:$E$287=$A54,KPI_Element_Map!$A$2:$A$287),COLUMNS($J54:AG54))),"")</f>
        <v/>
      </c>
      <c r="AH54" s="25" t="str">
        <f t="array" ref="AH54">IFERROR(HYPERLINK("#KPI_Master!A"&amp;MATCH(SMALL(IF(KPI_Element_Map!$E$2:$E$287=$A54,KPI_Element_Map!$A$2:$A$287),COLUMNS($J54:AH54)),KPI_Master!$A:$A,0)&amp;":P"&amp;MATCH(SMALL(IF(KPI_Element_Map!$E$2:$E$287=$A54,KPI_Element_Map!$A$2:$A$287),COLUMNS($J54:AH54)),KPI_Master!$A:$A,0),SMALL(IF(KPI_Element_Map!$E$2:$E$287=$A54,KPI_Element_Map!$A$2:$A$287),COLUMNS($J54:AH54))),"")</f>
        <v/>
      </c>
    </row>
    <row r="55" spans="1:34">
      <c r="A55" s="21" t="s">
        <v>1102</v>
      </c>
      <c r="B55" s="22" t="s">
        <v>1103</v>
      </c>
      <c r="C55" s="23" t="s">
        <v>1104</v>
      </c>
      <c r="D55" s="23" t="str">
        <f t="array" ref="D55">_xlfn.TEXTJOIN(", ",TRUE(),IF(KPI_Element_Map!$E$2:$E$287=$A55,KPI_Element_Map!$A$2:$A$287,""))</f>
        <v>148, 149, 150</v>
      </c>
      <c r="E55" s="21">
        <f>COUNTIF(KPI_Element_Map!$E$2:$E$287,$A55)</f>
        <v>3</v>
      </c>
      <c r="F55" s="21">
        <f>COUNTIFS(KPI_Element_Map!$E$2:$E$287,$A55,KPI_Element_Map!$D$2:$D$287,"1 - Core")</f>
        <v>1</v>
      </c>
      <c r="G55" s="24" t="s">
        <v>1105</v>
      </c>
      <c r="H55" s="23" t="str">
        <f>INDEX(Minimum_Documents!$B:$B,MATCH($G55,Minimum_Documents!$A:$A,0))</f>
        <v>Grievance Log (filed and resolved dates)</v>
      </c>
      <c r="J55" s="25">
        <f t="array" ref="J55">IFERROR(HYPERLINK("#KPI_Master!A"&amp;MATCH(SMALL(IF(KPI_Element_Map!$E$2:$E$287=$A55,KPI_Element_Map!$A$2:$A$287),COLUMNS($J55:J55)),KPI_Master!$A:$A,0)&amp;":P"&amp;MATCH(SMALL(IF(KPI_Element_Map!$E$2:$E$287=$A55,KPI_Element_Map!$A$2:$A$287),COLUMNS($J55:J55)),KPI_Master!$A:$A,0),SMALL(IF(KPI_Element_Map!$E$2:$E$287=$A55,KPI_Element_Map!$A$2:$A$287),COLUMNS($J55:J55))),"")</f>
        <v>148</v>
      </c>
      <c r="K55" s="25">
        <f t="array" ref="K55">IFERROR(HYPERLINK("#KPI_Master!A"&amp;MATCH(SMALL(IF(KPI_Element_Map!$E$2:$E$287=$A55,KPI_Element_Map!$A$2:$A$287),COLUMNS($J55:K55)),KPI_Master!$A:$A,0)&amp;":P"&amp;MATCH(SMALL(IF(KPI_Element_Map!$E$2:$E$287=$A55,KPI_Element_Map!$A$2:$A$287),COLUMNS($J55:K55)),KPI_Master!$A:$A,0),SMALL(IF(KPI_Element_Map!$E$2:$E$287=$A55,KPI_Element_Map!$A$2:$A$287),COLUMNS($J55:K55))),"")</f>
        <v>149</v>
      </c>
      <c r="L55" s="25">
        <f t="array" ref="L55">IFERROR(HYPERLINK("#KPI_Master!A"&amp;MATCH(SMALL(IF(KPI_Element_Map!$E$2:$E$287=$A55,KPI_Element_Map!$A$2:$A$287),COLUMNS($J55:L55)),KPI_Master!$A:$A,0)&amp;":P"&amp;MATCH(SMALL(IF(KPI_Element_Map!$E$2:$E$287=$A55,KPI_Element_Map!$A$2:$A$287),COLUMNS($J55:L55)),KPI_Master!$A:$A,0),SMALL(IF(KPI_Element_Map!$E$2:$E$287=$A55,KPI_Element_Map!$A$2:$A$287),COLUMNS($J55:L55))),"")</f>
        <v>150</v>
      </c>
      <c r="M55" s="25" t="str">
        <f t="array" ref="M55">IFERROR(HYPERLINK("#KPI_Master!A"&amp;MATCH(SMALL(IF(KPI_Element_Map!$E$2:$E$287=$A55,KPI_Element_Map!$A$2:$A$287),COLUMNS($J55:M55)),KPI_Master!$A:$A,0)&amp;":P"&amp;MATCH(SMALL(IF(KPI_Element_Map!$E$2:$E$287=$A55,KPI_Element_Map!$A$2:$A$287),COLUMNS($J55:M55)),KPI_Master!$A:$A,0),SMALL(IF(KPI_Element_Map!$E$2:$E$287=$A55,KPI_Element_Map!$A$2:$A$287),COLUMNS($J55:M55))),"")</f>
        <v/>
      </c>
      <c r="N55" s="25" t="str">
        <f t="array" ref="N55">IFERROR(HYPERLINK("#KPI_Master!A"&amp;MATCH(SMALL(IF(KPI_Element_Map!$E$2:$E$287=$A55,KPI_Element_Map!$A$2:$A$287),COLUMNS($J55:N55)),KPI_Master!$A:$A,0)&amp;":P"&amp;MATCH(SMALL(IF(KPI_Element_Map!$E$2:$E$287=$A55,KPI_Element_Map!$A$2:$A$287),COLUMNS($J55:N55)),KPI_Master!$A:$A,0),SMALL(IF(KPI_Element_Map!$E$2:$E$287=$A55,KPI_Element_Map!$A$2:$A$287),COLUMNS($J55:N55))),"")</f>
        <v/>
      </c>
      <c r="O55" s="25" t="str">
        <f t="array" ref="O55">IFERROR(HYPERLINK("#KPI_Master!A"&amp;MATCH(SMALL(IF(KPI_Element_Map!$E$2:$E$287=$A55,KPI_Element_Map!$A$2:$A$287),COLUMNS($J55:O55)),KPI_Master!$A:$A,0)&amp;":P"&amp;MATCH(SMALL(IF(KPI_Element_Map!$E$2:$E$287=$A55,KPI_Element_Map!$A$2:$A$287),COLUMNS($J55:O55)),KPI_Master!$A:$A,0),SMALL(IF(KPI_Element_Map!$E$2:$E$287=$A55,KPI_Element_Map!$A$2:$A$287),COLUMNS($J55:O55))),"")</f>
        <v/>
      </c>
      <c r="P55" s="25" t="str">
        <f t="array" ref="P55">IFERROR(HYPERLINK("#KPI_Master!A"&amp;MATCH(SMALL(IF(KPI_Element_Map!$E$2:$E$287=$A55,KPI_Element_Map!$A$2:$A$287),COLUMNS($J55:P55)),KPI_Master!$A:$A,0)&amp;":P"&amp;MATCH(SMALL(IF(KPI_Element_Map!$E$2:$E$287=$A55,KPI_Element_Map!$A$2:$A$287),COLUMNS($J55:P55)),KPI_Master!$A:$A,0),SMALL(IF(KPI_Element_Map!$E$2:$E$287=$A55,KPI_Element_Map!$A$2:$A$287),COLUMNS($J55:P55))),"")</f>
        <v/>
      </c>
      <c r="Q55" s="25" t="str">
        <f t="array" ref="Q55">IFERROR(HYPERLINK("#KPI_Master!A"&amp;MATCH(SMALL(IF(KPI_Element_Map!$E$2:$E$287=$A55,KPI_Element_Map!$A$2:$A$287),COLUMNS($J55:Q55)),KPI_Master!$A:$A,0)&amp;":P"&amp;MATCH(SMALL(IF(KPI_Element_Map!$E$2:$E$287=$A55,KPI_Element_Map!$A$2:$A$287),COLUMNS($J55:Q55)),KPI_Master!$A:$A,0),SMALL(IF(KPI_Element_Map!$E$2:$E$287=$A55,KPI_Element_Map!$A$2:$A$287),COLUMNS($J55:Q55))),"")</f>
        <v/>
      </c>
      <c r="R55" s="25" t="str">
        <f t="array" ref="R55">IFERROR(HYPERLINK("#KPI_Master!A"&amp;MATCH(SMALL(IF(KPI_Element_Map!$E$2:$E$287=$A55,KPI_Element_Map!$A$2:$A$287),COLUMNS($J55:R55)),KPI_Master!$A:$A,0)&amp;":P"&amp;MATCH(SMALL(IF(KPI_Element_Map!$E$2:$E$287=$A55,KPI_Element_Map!$A$2:$A$287),COLUMNS($J55:R55)),KPI_Master!$A:$A,0),SMALL(IF(KPI_Element_Map!$E$2:$E$287=$A55,KPI_Element_Map!$A$2:$A$287),COLUMNS($J55:R55))),"")</f>
        <v/>
      </c>
      <c r="S55" s="25" t="str">
        <f t="array" ref="S55">IFERROR(HYPERLINK("#KPI_Master!A"&amp;MATCH(SMALL(IF(KPI_Element_Map!$E$2:$E$287=$A55,KPI_Element_Map!$A$2:$A$287),COLUMNS($J55:S55)),KPI_Master!$A:$A,0)&amp;":P"&amp;MATCH(SMALL(IF(KPI_Element_Map!$E$2:$E$287=$A55,KPI_Element_Map!$A$2:$A$287),COLUMNS($J55:S55)),KPI_Master!$A:$A,0),SMALL(IF(KPI_Element_Map!$E$2:$E$287=$A55,KPI_Element_Map!$A$2:$A$287),COLUMNS($J55:S55))),"")</f>
        <v/>
      </c>
      <c r="T55" s="25" t="str">
        <f t="array" ref="T55">IFERROR(HYPERLINK("#KPI_Master!A"&amp;MATCH(SMALL(IF(KPI_Element_Map!$E$2:$E$287=$A55,KPI_Element_Map!$A$2:$A$287),COLUMNS($J55:T55)),KPI_Master!$A:$A,0)&amp;":P"&amp;MATCH(SMALL(IF(KPI_Element_Map!$E$2:$E$287=$A55,KPI_Element_Map!$A$2:$A$287),COLUMNS($J55:T55)),KPI_Master!$A:$A,0),SMALL(IF(KPI_Element_Map!$E$2:$E$287=$A55,KPI_Element_Map!$A$2:$A$287),COLUMNS($J55:T55))),"")</f>
        <v/>
      </c>
      <c r="U55" s="25" t="str">
        <f t="array" ref="U55">IFERROR(HYPERLINK("#KPI_Master!A"&amp;MATCH(SMALL(IF(KPI_Element_Map!$E$2:$E$287=$A55,KPI_Element_Map!$A$2:$A$287),COLUMNS($J55:U55)),KPI_Master!$A:$A,0)&amp;":P"&amp;MATCH(SMALL(IF(KPI_Element_Map!$E$2:$E$287=$A55,KPI_Element_Map!$A$2:$A$287),COLUMNS($J55:U55)),KPI_Master!$A:$A,0),SMALL(IF(KPI_Element_Map!$E$2:$E$287=$A55,KPI_Element_Map!$A$2:$A$287),COLUMNS($J55:U55))),"")</f>
        <v/>
      </c>
      <c r="V55" s="25" t="str">
        <f t="array" ref="V55">IFERROR(HYPERLINK("#KPI_Master!A"&amp;MATCH(SMALL(IF(KPI_Element_Map!$E$2:$E$287=$A55,KPI_Element_Map!$A$2:$A$287),COLUMNS($J55:V55)),KPI_Master!$A:$A,0)&amp;":P"&amp;MATCH(SMALL(IF(KPI_Element_Map!$E$2:$E$287=$A55,KPI_Element_Map!$A$2:$A$287),COLUMNS($J55:V55)),KPI_Master!$A:$A,0),SMALL(IF(KPI_Element_Map!$E$2:$E$287=$A55,KPI_Element_Map!$A$2:$A$287),COLUMNS($J55:V55))),"")</f>
        <v/>
      </c>
      <c r="W55" s="25" t="str">
        <f t="array" ref="W55">IFERROR(HYPERLINK("#KPI_Master!A"&amp;MATCH(SMALL(IF(KPI_Element_Map!$E$2:$E$287=$A55,KPI_Element_Map!$A$2:$A$287),COLUMNS($J55:W55)),KPI_Master!$A:$A,0)&amp;":P"&amp;MATCH(SMALL(IF(KPI_Element_Map!$E$2:$E$287=$A55,KPI_Element_Map!$A$2:$A$287),COLUMNS($J55:W55)),KPI_Master!$A:$A,0),SMALL(IF(KPI_Element_Map!$E$2:$E$287=$A55,KPI_Element_Map!$A$2:$A$287),COLUMNS($J55:W55))),"")</f>
        <v/>
      </c>
      <c r="X55" s="25" t="str">
        <f t="array" ref="X55">IFERROR(HYPERLINK("#KPI_Master!A"&amp;MATCH(SMALL(IF(KPI_Element_Map!$E$2:$E$287=$A55,KPI_Element_Map!$A$2:$A$287),COLUMNS($J55:X55)),KPI_Master!$A:$A,0)&amp;":P"&amp;MATCH(SMALL(IF(KPI_Element_Map!$E$2:$E$287=$A55,KPI_Element_Map!$A$2:$A$287),COLUMNS($J55:X55)),KPI_Master!$A:$A,0),SMALL(IF(KPI_Element_Map!$E$2:$E$287=$A55,KPI_Element_Map!$A$2:$A$287),COLUMNS($J55:X55))),"")</f>
        <v/>
      </c>
      <c r="Y55" s="25" t="str">
        <f t="array" ref="Y55">IFERROR(HYPERLINK("#KPI_Master!A"&amp;MATCH(SMALL(IF(KPI_Element_Map!$E$2:$E$287=$A55,KPI_Element_Map!$A$2:$A$287),COLUMNS($J55:Y55)),KPI_Master!$A:$A,0)&amp;":P"&amp;MATCH(SMALL(IF(KPI_Element_Map!$E$2:$E$287=$A55,KPI_Element_Map!$A$2:$A$287),COLUMNS($J55:Y55)),KPI_Master!$A:$A,0),SMALL(IF(KPI_Element_Map!$E$2:$E$287=$A55,KPI_Element_Map!$A$2:$A$287),COLUMNS($J55:Y55))),"")</f>
        <v/>
      </c>
      <c r="Z55" s="25" t="str">
        <f t="array" ref="Z55">IFERROR(HYPERLINK("#KPI_Master!A"&amp;MATCH(SMALL(IF(KPI_Element_Map!$E$2:$E$287=$A55,KPI_Element_Map!$A$2:$A$287),COLUMNS($J55:Z55)),KPI_Master!$A:$A,0)&amp;":P"&amp;MATCH(SMALL(IF(KPI_Element_Map!$E$2:$E$287=$A55,KPI_Element_Map!$A$2:$A$287),COLUMNS($J55:Z55)),KPI_Master!$A:$A,0),SMALL(IF(KPI_Element_Map!$E$2:$E$287=$A55,KPI_Element_Map!$A$2:$A$287),COLUMNS($J55:Z55))),"")</f>
        <v/>
      </c>
      <c r="AA55" s="25" t="str">
        <f t="array" ref="AA55">IFERROR(HYPERLINK("#KPI_Master!A"&amp;MATCH(SMALL(IF(KPI_Element_Map!$E$2:$E$287=$A55,KPI_Element_Map!$A$2:$A$287),COLUMNS($J55:AA55)),KPI_Master!$A:$A,0)&amp;":P"&amp;MATCH(SMALL(IF(KPI_Element_Map!$E$2:$E$287=$A55,KPI_Element_Map!$A$2:$A$287),COLUMNS($J55:AA55)),KPI_Master!$A:$A,0),SMALL(IF(KPI_Element_Map!$E$2:$E$287=$A55,KPI_Element_Map!$A$2:$A$287),COLUMNS($J55:AA55))),"")</f>
        <v/>
      </c>
      <c r="AB55" s="25" t="str">
        <f t="array" ref="AB55">IFERROR(HYPERLINK("#KPI_Master!A"&amp;MATCH(SMALL(IF(KPI_Element_Map!$E$2:$E$287=$A55,KPI_Element_Map!$A$2:$A$287),COLUMNS($J55:AB55)),KPI_Master!$A:$A,0)&amp;":P"&amp;MATCH(SMALL(IF(KPI_Element_Map!$E$2:$E$287=$A55,KPI_Element_Map!$A$2:$A$287),COLUMNS($J55:AB55)),KPI_Master!$A:$A,0),SMALL(IF(KPI_Element_Map!$E$2:$E$287=$A55,KPI_Element_Map!$A$2:$A$287),COLUMNS($J55:AB55))),"")</f>
        <v/>
      </c>
      <c r="AC55" s="25" t="str">
        <f t="array" ref="AC55">IFERROR(HYPERLINK("#KPI_Master!A"&amp;MATCH(SMALL(IF(KPI_Element_Map!$E$2:$E$287=$A55,KPI_Element_Map!$A$2:$A$287),COLUMNS($J55:AC55)),KPI_Master!$A:$A,0)&amp;":P"&amp;MATCH(SMALL(IF(KPI_Element_Map!$E$2:$E$287=$A55,KPI_Element_Map!$A$2:$A$287),COLUMNS($J55:AC55)),KPI_Master!$A:$A,0),SMALL(IF(KPI_Element_Map!$E$2:$E$287=$A55,KPI_Element_Map!$A$2:$A$287),COLUMNS($J55:AC55))),"")</f>
        <v/>
      </c>
      <c r="AD55" s="25" t="str">
        <f t="array" ref="AD55">IFERROR(HYPERLINK("#KPI_Master!A"&amp;MATCH(SMALL(IF(KPI_Element_Map!$E$2:$E$287=$A55,KPI_Element_Map!$A$2:$A$287),COLUMNS($J55:AD55)),KPI_Master!$A:$A,0)&amp;":P"&amp;MATCH(SMALL(IF(KPI_Element_Map!$E$2:$E$287=$A55,KPI_Element_Map!$A$2:$A$287),COLUMNS($J55:AD55)),KPI_Master!$A:$A,0),SMALL(IF(KPI_Element_Map!$E$2:$E$287=$A55,KPI_Element_Map!$A$2:$A$287),COLUMNS($J55:AD55))),"")</f>
        <v/>
      </c>
      <c r="AE55" s="25" t="str">
        <f t="array" ref="AE55">IFERROR(HYPERLINK("#KPI_Master!A"&amp;MATCH(SMALL(IF(KPI_Element_Map!$E$2:$E$287=$A55,KPI_Element_Map!$A$2:$A$287),COLUMNS($J55:AE55)),KPI_Master!$A:$A,0)&amp;":P"&amp;MATCH(SMALL(IF(KPI_Element_Map!$E$2:$E$287=$A55,KPI_Element_Map!$A$2:$A$287),COLUMNS($J55:AE55)),KPI_Master!$A:$A,0),SMALL(IF(KPI_Element_Map!$E$2:$E$287=$A55,KPI_Element_Map!$A$2:$A$287),COLUMNS($J55:AE55))),"")</f>
        <v/>
      </c>
      <c r="AF55" s="25" t="str">
        <f t="array" ref="AF55">IFERROR(HYPERLINK("#KPI_Master!A"&amp;MATCH(SMALL(IF(KPI_Element_Map!$E$2:$E$287=$A55,KPI_Element_Map!$A$2:$A$287),COLUMNS($J55:AF55)),KPI_Master!$A:$A,0)&amp;":P"&amp;MATCH(SMALL(IF(KPI_Element_Map!$E$2:$E$287=$A55,KPI_Element_Map!$A$2:$A$287),COLUMNS($J55:AF55)),KPI_Master!$A:$A,0),SMALL(IF(KPI_Element_Map!$E$2:$E$287=$A55,KPI_Element_Map!$A$2:$A$287),COLUMNS($J55:AF55))),"")</f>
        <v/>
      </c>
      <c r="AG55" s="25" t="str">
        <f t="array" ref="AG55">IFERROR(HYPERLINK("#KPI_Master!A"&amp;MATCH(SMALL(IF(KPI_Element_Map!$E$2:$E$287=$A55,KPI_Element_Map!$A$2:$A$287),COLUMNS($J55:AG55)),KPI_Master!$A:$A,0)&amp;":P"&amp;MATCH(SMALL(IF(KPI_Element_Map!$E$2:$E$287=$A55,KPI_Element_Map!$A$2:$A$287),COLUMNS($J55:AG55)),KPI_Master!$A:$A,0),SMALL(IF(KPI_Element_Map!$E$2:$E$287=$A55,KPI_Element_Map!$A$2:$A$287),COLUMNS($J55:AG55))),"")</f>
        <v/>
      </c>
      <c r="AH55" s="25" t="str">
        <f t="array" ref="AH55">IFERROR(HYPERLINK("#KPI_Master!A"&amp;MATCH(SMALL(IF(KPI_Element_Map!$E$2:$E$287=$A55,KPI_Element_Map!$A$2:$A$287),COLUMNS($J55:AH55)),KPI_Master!$A:$A,0)&amp;":P"&amp;MATCH(SMALL(IF(KPI_Element_Map!$E$2:$E$287=$A55,KPI_Element_Map!$A$2:$A$287),COLUMNS($J55:AH55)),KPI_Master!$A:$A,0),SMALL(IF(KPI_Element_Map!$E$2:$E$287=$A55,KPI_Element_Map!$A$2:$A$287),COLUMNS($J55:AH55))),"")</f>
        <v/>
      </c>
    </row>
    <row r="56" spans="1:34">
      <c r="A56" s="21" t="s">
        <v>1106</v>
      </c>
      <c r="B56" s="22" t="s">
        <v>1107</v>
      </c>
      <c r="C56" s="23" t="s">
        <v>1108</v>
      </c>
      <c r="D56" s="23" t="str">
        <f t="array" ref="D56">_xlfn.TEXTJOIN(", ",TRUE(),IF(KPI_Element_Map!$E$2:$E$287=$A56,KPI_Element_Map!$A$2:$A$287,""))</f>
        <v>153</v>
      </c>
      <c r="E56" s="21">
        <f>COUNTIF(KPI_Element_Map!$E$2:$E$287,$A56)</f>
        <v>1</v>
      </c>
      <c r="F56" s="21">
        <f>COUNTIFS(KPI_Element_Map!$E$2:$E$287,$A56,KPI_Element_Map!$D$2:$D$287,"1 - Core")</f>
        <v>0</v>
      </c>
      <c r="G56" s="24" t="s">
        <v>1109</v>
      </c>
      <c r="H56" s="23" t="str">
        <f>INDEX(Minimum_Documents!$B:$B,MATCH($G56,Minimum_Documents!$A:$A,0))</f>
        <v>Resident Engagement Platform Usage Report</v>
      </c>
      <c r="J56" s="25">
        <f t="array" ref="J56">IFERROR(HYPERLINK("#KPI_Master!A"&amp;MATCH(SMALL(IF(KPI_Element_Map!$E$2:$E$287=$A56,KPI_Element_Map!$A$2:$A$287),COLUMNS($J56:J56)),KPI_Master!$A:$A,0)&amp;":P"&amp;MATCH(SMALL(IF(KPI_Element_Map!$E$2:$E$287=$A56,KPI_Element_Map!$A$2:$A$287),COLUMNS($J56:J56)),KPI_Master!$A:$A,0),SMALL(IF(KPI_Element_Map!$E$2:$E$287=$A56,KPI_Element_Map!$A$2:$A$287),COLUMNS($J56:J56))),"")</f>
        <v>153</v>
      </c>
      <c r="K56" s="25" t="str">
        <f t="array" ref="K56">IFERROR(HYPERLINK("#KPI_Master!A"&amp;MATCH(SMALL(IF(KPI_Element_Map!$E$2:$E$287=$A56,KPI_Element_Map!$A$2:$A$287),COLUMNS($J56:K56)),KPI_Master!$A:$A,0)&amp;":P"&amp;MATCH(SMALL(IF(KPI_Element_Map!$E$2:$E$287=$A56,KPI_Element_Map!$A$2:$A$287),COLUMNS($J56:K56)),KPI_Master!$A:$A,0),SMALL(IF(KPI_Element_Map!$E$2:$E$287=$A56,KPI_Element_Map!$A$2:$A$287),COLUMNS($J56:K56))),"")</f>
        <v/>
      </c>
      <c r="L56" s="25" t="str">
        <f t="array" ref="L56">IFERROR(HYPERLINK("#KPI_Master!A"&amp;MATCH(SMALL(IF(KPI_Element_Map!$E$2:$E$287=$A56,KPI_Element_Map!$A$2:$A$287),COLUMNS($J56:L56)),KPI_Master!$A:$A,0)&amp;":P"&amp;MATCH(SMALL(IF(KPI_Element_Map!$E$2:$E$287=$A56,KPI_Element_Map!$A$2:$A$287),COLUMNS($J56:L56)),KPI_Master!$A:$A,0),SMALL(IF(KPI_Element_Map!$E$2:$E$287=$A56,KPI_Element_Map!$A$2:$A$287),COLUMNS($J56:L56))),"")</f>
        <v/>
      </c>
      <c r="M56" s="25" t="str">
        <f t="array" ref="M56">IFERROR(HYPERLINK("#KPI_Master!A"&amp;MATCH(SMALL(IF(KPI_Element_Map!$E$2:$E$287=$A56,KPI_Element_Map!$A$2:$A$287),COLUMNS($J56:M56)),KPI_Master!$A:$A,0)&amp;":P"&amp;MATCH(SMALL(IF(KPI_Element_Map!$E$2:$E$287=$A56,KPI_Element_Map!$A$2:$A$287),COLUMNS($J56:M56)),KPI_Master!$A:$A,0),SMALL(IF(KPI_Element_Map!$E$2:$E$287=$A56,KPI_Element_Map!$A$2:$A$287),COLUMNS($J56:M56))),"")</f>
        <v/>
      </c>
      <c r="N56" s="25" t="str">
        <f t="array" ref="N56">IFERROR(HYPERLINK("#KPI_Master!A"&amp;MATCH(SMALL(IF(KPI_Element_Map!$E$2:$E$287=$A56,KPI_Element_Map!$A$2:$A$287),COLUMNS($J56:N56)),KPI_Master!$A:$A,0)&amp;":P"&amp;MATCH(SMALL(IF(KPI_Element_Map!$E$2:$E$287=$A56,KPI_Element_Map!$A$2:$A$287),COLUMNS($J56:N56)),KPI_Master!$A:$A,0),SMALL(IF(KPI_Element_Map!$E$2:$E$287=$A56,KPI_Element_Map!$A$2:$A$287),COLUMNS($J56:N56))),"")</f>
        <v/>
      </c>
      <c r="O56" s="25" t="str">
        <f t="array" ref="O56">IFERROR(HYPERLINK("#KPI_Master!A"&amp;MATCH(SMALL(IF(KPI_Element_Map!$E$2:$E$287=$A56,KPI_Element_Map!$A$2:$A$287),COLUMNS($J56:O56)),KPI_Master!$A:$A,0)&amp;":P"&amp;MATCH(SMALL(IF(KPI_Element_Map!$E$2:$E$287=$A56,KPI_Element_Map!$A$2:$A$287),COLUMNS($J56:O56)),KPI_Master!$A:$A,0),SMALL(IF(KPI_Element_Map!$E$2:$E$287=$A56,KPI_Element_Map!$A$2:$A$287),COLUMNS($J56:O56))),"")</f>
        <v/>
      </c>
      <c r="P56" s="25" t="str">
        <f t="array" ref="P56">IFERROR(HYPERLINK("#KPI_Master!A"&amp;MATCH(SMALL(IF(KPI_Element_Map!$E$2:$E$287=$A56,KPI_Element_Map!$A$2:$A$287),COLUMNS($J56:P56)),KPI_Master!$A:$A,0)&amp;":P"&amp;MATCH(SMALL(IF(KPI_Element_Map!$E$2:$E$287=$A56,KPI_Element_Map!$A$2:$A$287),COLUMNS($J56:P56)),KPI_Master!$A:$A,0),SMALL(IF(KPI_Element_Map!$E$2:$E$287=$A56,KPI_Element_Map!$A$2:$A$287),COLUMNS($J56:P56))),"")</f>
        <v/>
      </c>
      <c r="Q56" s="25" t="str">
        <f t="array" ref="Q56">IFERROR(HYPERLINK("#KPI_Master!A"&amp;MATCH(SMALL(IF(KPI_Element_Map!$E$2:$E$287=$A56,KPI_Element_Map!$A$2:$A$287),COLUMNS($J56:Q56)),KPI_Master!$A:$A,0)&amp;":P"&amp;MATCH(SMALL(IF(KPI_Element_Map!$E$2:$E$287=$A56,KPI_Element_Map!$A$2:$A$287),COLUMNS($J56:Q56)),KPI_Master!$A:$A,0),SMALL(IF(KPI_Element_Map!$E$2:$E$287=$A56,KPI_Element_Map!$A$2:$A$287),COLUMNS($J56:Q56))),"")</f>
        <v/>
      </c>
      <c r="R56" s="25" t="str">
        <f t="array" ref="R56">IFERROR(HYPERLINK("#KPI_Master!A"&amp;MATCH(SMALL(IF(KPI_Element_Map!$E$2:$E$287=$A56,KPI_Element_Map!$A$2:$A$287),COLUMNS($J56:R56)),KPI_Master!$A:$A,0)&amp;":P"&amp;MATCH(SMALL(IF(KPI_Element_Map!$E$2:$E$287=$A56,KPI_Element_Map!$A$2:$A$287),COLUMNS($J56:R56)),KPI_Master!$A:$A,0),SMALL(IF(KPI_Element_Map!$E$2:$E$287=$A56,KPI_Element_Map!$A$2:$A$287),COLUMNS($J56:R56))),"")</f>
        <v/>
      </c>
      <c r="S56" s="25" t="str">
        <f t="array" ref="S56">IFERROR(HYPERLINK("#KPI_Master!A"&amp;MATCH(SMALL(IF(KPI_Element_Map!$E$2:$E$287=$A56,KPI_Element_Map!$A$2:$A$287),COLUMNS($J56:S56)),KPI_Master!$A:$A,0)&amp;":P"&amp;MATCH(SMALL(IF(KPI_Element_Map!$E$2:$E$287=$A56,KPI_Element_Map!$A$2:$A$287),COLUMNS($J56:S56)),KPI_Master!$A:$A,0),SMALL(IF(KPI_Element_Map!$E$2:$E$287=$A56,KPI_Element_Map!$A$2:$A$287),COLUMNS($J56:S56))),"")</f>
        <v/>
      </c>
      <c r="T56" s="25" t="str">
        <f t="array" ref="T56">IFERROR(HYPERLINK("#KPI_Master!A"&amp;MATCH(SMALL(IF(KPI_Element_Map!$E$2:$E$287=$A56,KPI_Element_Map!$A$2:$A$287),COLUMNS($J56:T56)),KPI_Master!$A:$A,0)&amp;":P"&amp;MATCH(SMALL(IF(KPI_Element_Map!$E$2:$E$287=$A56,KPI_Element_Map!$A$2:$A$287),COLUMNS($J56:T56)),KPI_Master!$A:$A,0),SMALL(IF(KPI_Element_Map!$E$2:$E$287=$A56,KPI_Element_Map!$A$2:$A$287),COLUMNS($J56:T56))),"")</f>
        <v/>
      </c>
      <c r="U56" s="25" t="str">
        <f t="array" ref="U56">IFERROR(HYPERLINK("#KPI_Master!A"&amp;MATCH(SMALL(IF(KPI_Element_Map!$E$2:$E$287=$A56,KPI_Element_Map!$A$2:$A$287),COLUMNS($J56:U56)),KPI_Master!$A:$A,0)&amp;":P"&amp;MATCH(SMALL(IF(KPI_Element_Map!$E$2:$E$287=$A56,KPI_Element_Map!$A$2:$A$287),COLUMNS($J56:U56)),KPI_Master!$A:$A,0),SMALL(IF(KPI_Element_Map!$E$2:$E$287=$A56,KPI_Element_Map!$A$2:$A$287),COLUMNS($J56:U56))),"")</f>
        <v/>
      </c>
      <c r="V56" s="25" t="str">
        <f t="array" ref="V56">IFERROR(HYPERLINK("#KPI_Master!A"&amp;MATCH(SMALL(IF(KPI_Element_Map!$E$2:$E$287=$A56,KPI_Element_Map!$A$2:$A$287),COLUMNS($J56:V56)),KPI_Master!$A:$A,0)&amp;":P"&amp;MATCH(SMALL(IF(KPI_Element_Map!$E$2:$E$287=$A56,KPI_Element_Map!$A$2:$A$287),COLUMNS($J56:V56)),KPI_Master!$A:$A,0),SMALL(IF(KPI_Element_Map!$E$2:$E$287=$A56,KPI_Element_Map!$A$2:$A$287),COLUMNS($J56:V56))),"")</f>
        <v/>
      </c>
      <c r="W56" s="25" t="str">
        <f t="array" ref="W56">IFERROR(HYPERLINK("#KPI_Master!A"&amp;MATCH(SMALL(IF(KPI_Element_Map!$E$2:$E$287=$A56,KPI_Element_Map!$A$2:$A$287),COLUMNS($J56:W56)),KPI_Master!$A:$A,0)&amp;":P"&amp;MATCH(SMALL(IF(KPI_Element_Map!$E$2:$E$287=$A56,KPI_Element_Map!$A$2:$A$287),COLUMNS($J56:W56)),KPI_Master!$A:$A,0),SMALL(IF(KPI_Element_Map!$E$2:$E$287=$A56,KPI_Element_Map!$A$2:$A$287),COLUMNS($J56:W56))),"")</f>
        <v/>
      </c>
      <c r="X56" s="25" t="str">
        <f t="array" ref="X56">IFERROR(HYPERLINK("#KPI_Master!A"&amp;MATCH(SMALL(IF(KPI_Element_Map!$E$2:$E$287=$A56,KPI_Element_Map!$A$2:$A$287),COLUMNS($J56:X56)),KPI_Master!$A:$A,0)&amp;":P"&amp;MATCH(SMALL(IF(KPI_Element_Map!$E$2:$E$287=$A56,KPI_Element_Map!$A$2:$A$287),COLUMNS($J56:X56)),KPI_Master!$A:$A,0),SMALL(IF(KPI_Element_Map!$E$2:$E$287=$A56,KPI_Element_Map!$A$2:$A$287),COLUMNS($J56:X56))),"")</f>
        <v/>
      </c>
      <c r="Y56" s="25" t="str">
        <f t="array" ref="Y56">IFERROR(HYPERLINK("#KPI_Master!A"&amp;MATCH(SMALL(IF(KPI_Element_Map!$E$2:$E$287=$A56,KPI_Element_Map!$A$2:$A$287),COLUMNS($J56:Y56)),KPI_Master!$A:$A,0)&amp;":P"&amp;MATCH(SMALL(IF(KPI_Element_Map!$E$2:$E$287=$A56,KPI_Element_Map!$A$2:$A$287),COLUMNS($J56:Y56)),KPI_Master!$A:$A,0),SMALL(IF(KPI_Element_Map!$E$2:$E$287=$A56,KPI_Element_Map!$A$2:$A$287),COLUMNS($J56:Y56))),"")</f>
        <v/>
      </c>
      <c r="Z56" s="25" t="str">
        <f t="array" ref="Z56">IFERROR(HYPERLINK("#KPI_Master!A"&amp;MATCH(SMALL(IF(KPI_Element_Map!$E$2:$E$287=$A56,KPI_Element_Map!$A$2:$A$287),COLUMNS($J56:Z56)),KPI_Master!$A:$A,0)&amp;":P"&amp;MATCH(SMALL(IF(KPI_Element_Map!$E$2:$E$287=$A56,KPI_Element_Map!$A$2:$A$287),COLUMNS($J56:Z56)),KPI_Master!$A:$A,0),SMALL(IF(KPI_Element_Map!$E$2:$E$287=$A56,KPI_Element_Map!$A$2:$A$287),COLUMNS($J56:Z56))),"")</f>
        <v/>
      </c>
      <c r="AA56" s="25" t="str">
        <f t="array" ref="AA56">IFERROR(HYPERLINK("#KPI_Master!A"&amp;MATCH(SMALL(IF(KPI_Element_Map!$E$2:$E$287=$A56,KPI_Element_Map!$A$2:$A$287),COLUMNS($J56:AA56)),KPI_Master!$A:$A,0)&amp;":P"&amp;MATCH(SMALL(IF(KPI_Element_Map!$E$2:$E$287=$A56,KPI_Element_Map!$A$2:$A$287),COLUMNS($J56:AA56)),KPI_Master!$A:$A,0),SMALL(IF(KPI_Element_Map!$E$2:$E$287=$A56,KPI_Element_Map!$A$2:$A$287),COLUMNS($J56:AA56))),"")</f>
        <v/>
      </c>
      <c r="AB56" s="25" t="str">
        <f t="array" ref="AB56">IFERROR(HYPERLINK("#KPI_Master!A"&amp;MATCH(SMALL(IF(KPI_Element_Map!$E$2:$E$287=$A56,KPI_Element_Map!$A$2:$A$287),COLUMNS($J56:AB56)),KPI_Master!$A:$A,0)&amp;":P"&amp;MATCH(SMALL(IF(KPI_Element_Map!$E$2:$E$287=$A56,KPI_Element_Map!$A$2:$A$287),COLUMNS($J56:AB56)),KPI_Master!$A:$A,0),SMALL(IF(KPI_Element_Map!$E$2:$E$287=$A56,KPI_Element_Map!$A$2:$A$287),COLUMNS($J56:AB56))),"")</f>
        <v/>
      </c>
      <c r="AC56" s="25" t="str">
        <f t="array" ref="AC56">IFERROR(HYPERLINK("#KPI_Master!A"&amp;MATCH(SMALL(IF(KPI_Element_Map!$E$2:$E$287=$A56,KPI_Element_Map!$A$2:$A$287),COLUMNS($J56:AC56)),KPI_Master!$A:$A,0)&amp;":P"&amp;MATCH(SMALL(IF(KPI_Element_Map!$E$2:$E$287=$A56,KPI_Element_Map!$A$2:$A$287),COLUMNS($J56:AC56)),KPI_Master!$A:$A,0),SMALL(IF(KPI_Element_Map!$E$2:$E$287=$A56,KPI_Element_Map!$A$2:$A$287),COLUMNS($J56:AC56))),"")</f>
        <v/>
      </c>
      <c r="AD56" s="25" t="str">
        <f t="array" ref="AD56">IFERROR(HYPERLINK("#KPI_Master!A"&amp;MATCH(SMALL(IF(KPI_Element_Map!$E$2:$E$287=$A56,KPI_Element_Map!$A$2:$A$287),COLUMNS($J56:AD56)),KPI_Master!$A:$A,0)&amp;":P"&amp;MATCH(SMALL(IF(KPI_Element_Map!$E$2:$E$287=$A56,KPI_Element_Map!$A$2:$A$287),COLUMNS($J56:AD56)),KPI_Master!$A:$A,0),SMALL(IF(KPI_Element_Map!$E$2:$E$287=$A56,KPI_Element_Map!$A$2:$A$287),COLUMNS($J56:AD56))),"")</f>
        <v/>
      </c>
      <c r="AE56" s="25" t="str">
        <f t="array" ref="AE56">IFERROR(HYPERLINK("#KPI_Master!A"&amp;MATCH(SMALL(IF(KPI_Element_Map!$E$2:$E$287=$A56,KPI_Element_Map!$A$2:$A$287),COLUMNS($J56:AE56)),KPI_Master!$A:$A,0)&amp;":P"&amp;MATCH(SMALL(IF(KPI_Element_Map!$E$2:$E$287=$A56,KPI_Element_Map!$A$2:$A$287),COLUMNS($J56:AE56)),KPI_Master!$A:$A,0),SMALL(IF(KPI_Element_Map!$E$2:$E$287=$A56,KPI_Element_Map!$A$2:$A$287),COLUMNS($J56:AE56))),"")</f>
        <v/>
      </c>
      <c r="AF56" s="25" t="str">
        <f t="array" ref="AF56">IFERROR(HYPERLINK("#KPI_Master!A"&amp;MATCH(SMALL(IF(KPI_Element_Map!$E$2:$E$287=$A56,KPI_Element_Map!$A$2:$A$287),COLUMNS($J56:AF56)),KPI_Master!$A:$A,0)&amp;":P"&amp;MATCH(SMALL(IF(KPI_Element_Map!$E$2:$E$287=$A56,KPI_Element_Map!$A$2:$A$287),COLUMNS($J56:AF56)),KPI_Master!$A:$A,0),SMALL(IF(KPI_Element_Map!$E$2:$E$287=$A56,KPI_Element_Map!$A$2:$A$287),COLUMNS($J56:AF56))),"")</f>
        <v/>
      </c>
      <c r="AG56" s="25" t="str">
        <f t="array" ref="AG56">IFERROR(HYPERLINK("#KPI_Master!A"&amp;MATCH(SMALL(IF(KPI_Element_Map!$E$2:$E$287=$A56,KPI_Element_Map!$A$2:$A$287),COLUMNS($J56:AG56)),KPI_Master!$A:$A,0)&amp;":P"&amp;MATCH(SMALL(IF(KPI_Element_Map!$E$2:$E$287=$A56,KPI_Element_Map!$A$2:$A$287),COLUMNS($J56:AG56)),KPI_Master!$A:$A,0),SMALL(IF(KPI_Element_Map!$E$2:$E$287=$A56,KPI_Element_Map!$A$2:$A$287),COLUMNS($J56:AG56))),"")</f>
        <v/>
      </c>
      <c r="AH56" s="25" t="str">
        <f t="array" ref="AH56">IFERROR(HYPERLINK("#KPI_Master!A"&amp;MATCH(SMALL(IF(KPI_Element_Map!$E$2:$E$287=$A56,KPI_Element_Map!$A$2:$A$287),COLUMNS($J56:AH56)),KPI_Master!$A:$A,0)&amp;":P"&amp;MATCH(SMALL(IF(KPI_Element_Map!$E$2:$E$287=$A56,KPI_Element_Map!$A$2:$A$287),COLUMNS($J56:AH56)),KPI_Master!$A:$A,0),SMALL(IF(KPI_Element_Map!$E$2:$E$287=$A56,KPI_Element_Map!$A$2:$A$287),COLUMNS($J56:AH56))),"")</f>
        <v/>
      </c>
    </row>
    <row r="57" spans="1:34" ht="28.5" customHeight="1">
      <c r="A57" s="21" t="s">
        <v>1110</v>
      </c>
      <c r="B57" s="22" t="s">
        <v>1111</v>
      </c>
      <c r="C57" s="23" t="s">
        <v>1112</v>
      </c>
      <c r="D57" s="23" t="str">
        <f t="array" ref="D57">_xlfn.TEXTJOIN(", ",TRUE(),IF(KPI_Element_Map!$E$2:$E$287=$A57,KPI_Element_Map!$A$2:$A$287,""))</f>
        <v>154, 155, 156, 157, 160, 161, 166, 168</v>
      </c>
      <c r="E57" s="21">
        <f>COUNTIF(KPI_Element_Map!$E$2:$E$287,$A57)</f>
        <v>8</v>
      </c>
      <c r="F57" s="21">
        <f>COUNTIFS(KPI_Element_Map!$E$2:$E$287,$A57,KPI_Element_Map!$D$2:$D$287,"1 - Core")</f>
        <v>2</v>
      </c>
      <c r="G57" s="24" t="s">
        <v>1113</v>
      </c>
      <c r="H57" s="23" t="str">
        <f>INDEX(Minimum_Documents!$B:$B,MATCH($G57,Minimum_Documents!$A:$A,0))</f>
        <v>CRM Sales Pipeline Report</v>
      </c>
      <c r="J57" s="25">
        <f t="array" ref="J57">IFERROR(HYPERLINK("#KPI_Master!A"&amp;MATCH(SMALL(IF(KPI_Element_Map!$E$2:$E$287=$A57,KPI_Element_Map!$A$2:$A$287),COLUMNS($J57:J57)),KPI_Master!$A:$A,0)&amp;":P"&amp;MATCH(SMALL(IF(KPI_Element_Map!$E$2:$E$287=$A57,KPI_Element_Map!$A$2:$A$287),COLUMNS($J57:J57)),KPI_Master!$A:$A,0),SMALL(IF(KPI_Element_Map!$E$2:$E$287=$A57,KPI_Element_Map!$A$2:$A$287),COLUMNS($J57:J57))),"")</f>
        <v>154</v>
      </c>
      <c r="K57" s="25">
        <f t="array" ref="K57">IFERROR(HYPERLINK("#KPI_Master!A"&amp;MATCH(SMALL(IF(KPI_Element_Map!$E$2:$E$287=$A57,KPI_Element_Map!$A$2:$A$287),COLUMNS($J57:K57)),KPI_Master!$A:$A,0)&amp;":P"&amp;MATCH(SMALL(IF(KPI_Element_Map!$E$2:$E$287=$A57,KPI_Element_Map!$A$2:$A$287),COLUMNS($J57:K57)),KPI_Master!$A:$A,0),SMALL(IF(KPI_Element_Map!$E$2:$E$287=$A57,KPI_Element_Map!$A$2:$A$287),COLUMNS($J57:K57))),"")</f>
        <v>155</v>
      </c>
      <c r="L57" s="25">
        <f t="array" ref="L57">IFERROR(HYPERLINK("#KPI_Master!A"&amp;MATCH(SMALL(IF(KPI_Element_Map!$E$2:$E$287=$A57,KPI_Element_Map!$A$2:$A$287),COLUMNS($J57:L57)),KPI_Master!$A:$A,0)&amp;":P"&amp;MATCH(SMALL(IF(KPI_Element_Map!$E$2:$E$287=$A57,KPI_Element_Map!$A$2:$A$287),COLUMNS($J57:L57)),KPI_Master!$A:$A,0),SMALL(IF(KPI_Element_Map!$E$2:$E$287=$A57,KPI_Element_Map!$A$2:$A$287),COLUMNS($J57:L57))),"")</f>
        <v>156</v>
      </c>
      <c r="M57" s="25">
        <f t="array" ref="M57">IFERROR(HYPERLINK("#KPI_Master!A"&amp;MATCH(SMALL(IF(KPI_Element_Map!$E$2:$E$287=$A57,KPI_Element_Map!$A$2:$A$287),COLUMNS($J57:M57)),KPI_Master!$A:$A,0)&amp;":P"&amp;MATCH(SMALL(IF(KPI_Element_Map!$E$2:$E$287=$A57,KPI_Element_Map!$A$2:$A$287),COLUMNS($J57:M57)),KPI_Master!$A:$A,0),SMALL(IF(KPI_Element_Map!$E$2:$E$287=$A57,KPI_Element_Map!$A$2:$A$287),COLUMNS($J57:M57))),"")</f>
        <v>157</v>
      </c>
      <c r="N57" s="25">
        <f t="array" ref="N57">IFERROR(HYPERLINK("#KPI_Master!A"&amp;MATCH(SMALL(IF(KPI_Element_Map!$E$2:$E$287=$A57,KPI_Element_Map!$A$2:$A$287),COLUMNS($J57:N57)),KPI_Master!$A:$A,0)&amp;":P"&amp;MATCH(SMALL(IF(KPI_Element_Map!$E$2:$E$287=$A57,KPI_Element_Map!$A$2:$A$287),COLUMNS($J57:N57)),KPI_Master!$A:$A,0),SMALL(IF(KPI_Element_Map!$E$2:$E$287=$A57,KPI_Element_Map!$A$2:$A$287),COLUMNS($J57:N57))),"")</f>
        <v>160</v>
      </c>
      <c r="O57" s="25">
        <f t="array" ref="O57">IFERROR(HYPERLINK("#KPI_Master!A"&amp;MATCH(SMALL(IF(KPI_Element_Map!$E$2:$E$287=$A57,KPI_Element_Map!$A$2:$A$287),COLUMNS($J57:O57)),KPI_Master!$A:$A,0)&amp;":P"&amp;MATCH(SMALL(IF(KPI_Element_Map!$E$2:$E$287=$A57,KPI_Element_Map!$A$2:$A$287),COLUMNS($J57:O57)),KPI_Master!$A:$A,0),SMALL(IF(KPI_Element_Map!$E$2:$E$287=$A57,KPI_Element_Map!$A$2:$A$287),COLUMNS($J57:O57))),"")</f>
        <v>161</v>
      </c>
      <c r="P57" s="25">
        <f t="array" ref="P57">IFERROR(HYPERLINK("#KPI_Master!A"&amp;MATCH(SMALL(IF(KPI_Element_Map!$E$2:$E$287=$A57,KPI_Element_Map!$A$2:$A$287),COLUMNS($J57:P57)),KPI_Master!$A:$A,0)&amp;":P"&amp;MATCH(SMALL(IF(KPI_Element_Map!$E$2:$E$287=$A57,KPI_Element_Map!$A$2:$A$287),COLUMNS($J57:P57)),KPI_Master!$A:$A,0),SMALL(IF(KPI_Element_Map!$E$2:$E$287=$A57,KPI_Element_Map!$A$2:$A$287),COLUMNS($J57:P57))),"")</f>
        <v>166</v>
      </c>
      <c r="Q57" s="25">
        <f t="array" ref="Q57">IFERROR(HYPERLINK("#KPI_Master!A"&amp;MATCH(SMALL(IF(KPI_Element_Map!$E$2:$E$287=$A57,KPI_Element_Map!$A$2:$A$287),COLUMNS($J57:Q57)),KPI_Master!$A:$A,0)&amp;":P"&amp;MATCH(SMALL(IF(KPI_Element_Map!$E$2:$E$287=$A57,KPI_Element_Map!$A$2:$A$287),COLUMNS($J57:Q57)),KPI_Master!$A:$A,0),SMALL(IF(KPI_Element_Map!$E$2:$E$287=$A57,KPI_Element_Map!$A$2:$A$287),COLUMNS($J57:Q57))),"")</f>
        <v>168</v>
      </c>
      <c r="R57" s="25" t="str">
        <f t="array" ref="R57">IFERROR(HYPERLINK("#KPI_Master!A"&amp;MATCH(SMALL(IF(KPI_Element_Map!$E$2:$E$287=$A57,KPI_Element_Map!$A$2:$A$287),COLUMNS($J57:R57)),KPI_Master!$A:$A,0)&amp;":P"&amp;MATCH(SMALL(IF(KPI_Element_Map!$E$2:$E$287=$A57,KPI_Element_Map!$A$2:$A$287),COLUMNS($J57:R57)),KPI_Master!$A:$A,0),SMALL(IF(KPI_Element_Map!$E$2:$E$287=$A57,KPI_Element_Map!$A$2:$A$287),COLUMNS($J57:R57))),"")</f>
        <v/>
      </c>
      <c r="S57" s="25" t="str">
        <f t="array" ref="S57">IFERROR(HYPERLINK("#KPI_Master!A"&amp;MATCH(SMALL(IF(KPI_Element_Map!$E$2:$E$287=$A57,KPI_Element_Map!$A$2:$A$287),COLUMNS($J57:S57)),KPI_Master!$A:$A,0)&amp;":P"&amp;MATCH(SMALL(IF(KPI_Element_Map!$E$2:$E$287=$A57,KPI_Element_Map!$A$2:$A$287),COLUMNS($J57:S57)),KPI_Master!$A:$A,0),SMALL(IF(KPI_Element_Map!$E$2:$E$287=$A57,KPI_Element_Map!$A$2:$A$287),COLUMNS($J57:S57))),"")</f>
        <v/>
      </c>
      <c r="T57" s="25" t="str">
        <f t="array" ref="T57">IFERROR(HYPERLINK("#KPI_Master!A"&amp;MATCH(SMALL(IF(KPI_Element_Map!$E$2:$E$287=$A57,KPI_Element_Map!$A$2:$A$287),COLUMNS($J57:T57)),KPI_Master!$A:$A,0)&amp;":P"&amp;MATCH(SMALL(IF(KPI_Element_Map!$E$2:$E$287=$A57,KPI_Element_Map!$A$2:$A$287),COLUMNS($J57:T57)),KPI_Master!$A:$A,0),SMALL(IF(KPI_Element_Map!$E$2:$E$287=$A57,KPI_Element_Map!$A$2:$A$287),COLUMNS($J57:T57))),"")</f>
        <v/>
      </c>
      <c r="U57" s="25" t="str">
        <f t="array" ref="U57">IFERROR(HYPERLINK("#KPI_Master!A"&amp;MATCH(SMALL(IF(KPI_Element_Map!$E$2:$E$287=$A57,KPI_Element_Map!$A$2:$A$287),COLUMNS($J57:U57)),KPI_Master!$A:$A,0)&amp;":P"&amp;MATCH(SMALL(IF(KPI_Element_Map!$E$2:$E$287=$A57,KPI_Element_Map!$A$2:$A$287),COLUMNS($J57:U57)),KPI_Master!$A:$A,0),SMALL(IF(KPI_Element_Map!$E$2:$E$287=$A57,KPI_Element_Map!$A$2:$A$287),COLUMNS($J57:U57))),"")</f>
        <v/>
      </c>
      <c r="V57" s="25" t="str">
        <f t="array" ref="V57">IFERROR(HYPERLINK("#KPI_Master!A"&amp;MATCH(SMALL(IF(KPI_Element_Map!$E$2:$E$287=$A57,KPI_Element_Map!$A$2:$A$287),COLUMNS($J57:V57)),KPI_Master!$A:$A,0)&amp;":P"&amp;MATCH(SMALL(IF(KPI_Element_Map!$E$2:$E$287=$A57,KPI_Element_Map!$A$2:$A$287),COLUMNS($J57:V57)),KPI_Master!$A:$A,0),SMALL(IF(KPI_Element_Map!$E$2:$E$287=$A57,KPI_Element_Map!$A$2:$A$287),COLUMNS($J57:V57))),"")</f>
        <v/>
      </c>
      <c r="W57" s="25" t="str">
        <f t="array" ref="W57">IFERROR(HYPERLINK("#KPI_Master!A"&amp;MATCH(SMALL(IF(KPI_Element_Map!$E$2:$E$287=$A57,KPI_Element_Map!$A$2:$A$287),COLUMNS($J57:W57)),KPI_Master!$A:$A,0)&amp;":P"&amp;MATCH(SMALL(IF(KPI_Element_Map!$E$2:$E$287=$A57,KPI_Element_Map!$A$2:$A$287),COLUMNS($J57:W57)),KPI_Master!$A:$A,0),SMALL(IF(KPI_Element_Map!$E$2:$E$287=$A57,KPI_Element_Map!$A$2:$A$287),COLUMNS($J57:W57))),"")</f>
        <v/>
      </c>
      <c r="X57" s="25" t="str">
        <f t="array" ref="X57">IFERROR(HYPERLINK("#KPI_Master!A"&amp;MATCH(SMALL(IF(KPI_Element_Map!$E$2:$E$287=$A57,KPI_Element_Map!$A$2:$A$287),COLUMNS($J57:X57)),KPI_Master!$A:$A,0)&amp;":P"&amp;MATCH(SMALL(IF(KPI_Element_Map!$E$2:$E$287=$A57,KPI_Element_Map!$A$2:$A$287),COLUMNS($J57:X57)),KPI_Master!$A:$A,0),SMALL(IF(KPI_Element_Map!$E$2:$E$287=$A57,KPI_Element_Map!$A$2:$A$287),COLUMNS($J57:X57))),"")</f>
        <v/>
      </c>
      <c r="Y57" s="25" t="str">
        <f t="array" ref="Y57">IFERROR(HYPERLINK("#KPI_Master!A"&amp;MATCH(SMALL(IF(KPI_Element_Map!$E$2:$E$287=$A57,KPI_Element_Map!$A$2:$A$287),COLUMNS($J57:Y57)),KPI_Master!$A:$A,0)&amp;":P"&amp;MATCH(SMALL(IF(KPI_Element_Map!$E$2:$E$287=$A57,KPI_Element_Map!$A$2:$A$287),COLUMNS($J57:Y57)),KPI_Master!$A:$A,0),SMALL(IF(KPI_Element_Map!$E$2:$E$287=$A57,KPI_Element_Map!$A$2:$A$287),COLUMNS($J57:Y57))),"")</f>
        <v/>
      </c>
      <c r="Z57" s="25" t="str">
        <f t="array" ref="Z57">IFERROR(HYPERLINK("#KPI_Master!A"&amp;MATCH(SMALL(IF(KPI_Element_Map!$E$2:$E$287=$A57,KPI_Element_Map!$A$2:$A$287),COLUMNS($J57:Z57)),KPI_Master!$A:$A,0)&amp;":P"&amp;MATCH(SMALL(IF(KPI_Element_Map!$E$2:$E$287=$A57,KPI_Element_Map!$A$2:$A$287),COLUMNS($J57:Z57)),KPI_Master!$A:$A,0),SMALL(IF(KPI_Element_Map!$E$2:$E$287=$A57,KPI_Element_Map!$A$2:$A$287),COLUMNS($J57:Z57))),"")</f>
        <v/>
      </c>
      <c r="AA57" s="25" t="str">
        <f t="array" ref="AA57">IFERROR(HYPERLINK("#KPI_Master!A"&amp;MATCH(SMALL(IF(KPI_Element_Map!$E$2:$E$287=$A57,KPI_Element_Map!$A$2:$A$287),COLUMNS($J57:AA57)),KPI_Master!$A:$A,0)&amp;":P"&amp;MATCH(SMALL(IF(KPI_Element_Map!$E$2:$E$287=$A57,KPI_Element_Map!$A$2:$A$287),COLUMNS($J57:AA57)),KPI_Master!$A:$A,0),SMALL(IF(KPI_Element_Map!$E$2:$E$287=$A57,KPI_Element_Map!$A$2:$A$287),COLUMNS($J57:AA57))),"")</f>
        <v/>
      </c>
      <c r="AB57" s="25" t="str">
        <f t="array" ref="AB57">IFERROR(HYPERLINK("#KPI_Master!A"&amp;MATCH(SMALL(IF(KPI_Element_Map!$E$2:$E$287=$A57,KPI_Element_Map!$A$2:$A$287),COLUMNS($J57:AB57)),KPI_Master!$A:$A,0)&amp;":P"&amp;MATCH(SMALL(IF(KPI_Element_Map!$E$2:$E$287=$A57,KPI_Element_Map!$A$2:$A$287),COLUMNS($J57:AB57)),KPI_Master!$A:$A,0),SMALL(IF(KPI_Element_Map!$E$2:$E$287=$A57,KPI_Element_Map!$A$2:$A$287),COLUMNS($J57:AB57))),"")</f>
        <v/>
      </c>
      <c r="AC57" s="25" t="str">
        <f t="array" ref="AC57">IFERROR(HYPERLINK("#KPI_Master!A"&amp;MATCH(SMALL(IF(KPI_Element_Map!$E$2:$E$287=$A57,KPI_Element_Map!$A$2:$A$287),COLUMNS($J57:AC57)),KPI_Master!$A:$A,0)&amp;":P"&amp;MATCH(SMALL(IF(KPI_Element_Map!$E$2:$E$287=$A57,KPI_Element_Map!$A$2:$A$287),COLUMNS($J57:AC57)),KPI_Master!$A:$A,0),SMALL(IF(KPI_Element_Map!$E$2:$E$287=$A57,KPI_Element_Map!$A$2:$A$287),COLUMNS($J57:AC57))),"")</f>
        <v/>
      </c>
      <c r="AD57" s="25" t="str">
        <f t="array" ref="AD57">IFERROR(HYPERLINK("#KPI_Master!A"&amp;MATCH(SMALL(IF(KPI_Element_Map!$E$2:$E$287=$A57,KPI_Element_Map!$A$2:$A$287),COLUMNS($J57:AD57)),KPI_Master!$A:$A,0)&amp;":P"&amp;MATCH(SMALL(IF(KPI_Element_Map!$E$2:$E$287=$A57,KPI_Element_Map!$A$2:$A$287),COLUMNS($J57:AD57)),KPI_Master!$A:$A,0),SMALL(IF(KPI_Element_Map!$E$2:$E$287=$A57,KPI_Element_Map!$A$2:$A$287),COLUMNS($J57:AD57))),"")</f>
        <v/>
      </c>
      <c r="AE57" s="25" t="str">
        <f t="array" ref="AE57">IFERROR(HYPERLINK("#KPI_Master!A"&amp;MATCH(SMALL(IF(KPI_Element_Map!$E$2:$E$287=$A57,KPI_Element_Map!$A$2:$A$287),COLUMNS($J57:AE57)),KPI_Master!$A:$A,0)&amp;":P"&amp;MATCH(SMALL(IF(KPI_Element_Map!$E$2:$E$287=$A57,KPI_Element_Map!$A$2:$A$287),COLUMNS($J57:AE57)),KPI_Master!$A:$A,0),SMALL(IF(KPI_Element_Map!$E$2:$E$287=$A57,KPI_Element_Map!$A$2:$A$287),COLUMNS($J57:AE57))),"")</f>
        <v/>
      </c>
      <c r="AF57" s="25" t="str">
        <f t="array" ref="AF57">IFERROR(HYPERLINK("#KPI_Master!A"&amp;MATCH(SMALL(IF(KPI_Element_Map!$E$2:$E$287=$A57,KPI_Element_Map!$A$2:$A$287),COLUMNS($J57:AF57)),KPI_Master!$A:$A,0)&amp;":P"&amp;MATCH(SMALL(IF(KPI_Element_Map!$E$2:$E$287=$A57,KPI_Element_Map!$A$2:$A$287),COLUMNS($J57:AF57)),KPI_Master!$A:$A,0),SMALL(IF(KPI_Element_Map!$E$2:$E$287=$A57,KPI_Element_Map!$A$2:$A$287),COLUMNS($J57:AF57))),"")</f>
        <v/>
      </c>
      <c r="AG57" s="25" t="str">
        <f t="array" ref="AG57">IFERROR(HYPERLINK("#KPI_Master!A"&amp;MATCH(SMALL(IF(KPI_Element_Map!$E$2:$E$287=$A57,KPI_Element_Map!$A$2:$A$287),COLUMNS($J57:AG57)),KPI_Master!$A:$A,0)&amp;":P"&amp;MATCH(SMALL(IF(KPI_Element_Map!$E$2:$E$287=$A57,KPI_Element_Map!$A$2:$A$287),COLUMNS($J57:AG57)),KPI_Master!$A:$A,0),SMALL(IF(KPI_Element_Map!$E$2:$E$287=$A57,KPI_Element_Map!$A$2:$A$287),COLUMNS($J57:AG57))),"")</f>
        <v/>
      </c>
      <c r="AH57" s="25" t="str">
        <f t="array" ref="AH57">IFERROR(HYPERLINK("#KPI_Master!A"&amp;MATCH(SMALL(IF(KPI_Element_Map!$E$2:$E$287=$A57,KPI_Element_Map!$A$2:$A$287),COLUMNS($J57:AH57)),KPI_Master!$A:$A,0)&amp;":P"&amp;MATCH(SMALL(IF(KPI_Element_Map!$E$2:$E$287=$A57,KPI_Element_Map!$A$2:$A$287),COLUMNS($J57:AH57)),KPI_Master!$A:$A,0),SMALL(IF(KPI_Element_Map!$E$2:$E$287=$A57,KPI_Element_Map!$A$2:$A$287),COLUMNS($J57:AH57))),"")</f>
        <v/>
      </c>
    </row>
    <row r="58" spans="1:34">
      <c r="A58" s="21" t="s">
        <v>1114</v>
      </c>
      <c r="B58" s="22" t="s">
        <v>1115</v>
      </c>
      <c r="C58" s="23" t="s">
        <v>1116</v>
      </c>
      <c r="D58" s="23" t="str">
        <f t="array" ref="D58">_xlfn.TEXTJOIN(", ",TRUE(),IF(KPI_Element_Map!$E$2:$E$287=$A58,KPI_Element_Map!$A$2:$A$287,""))</f>
        <v>163</v>
      </c>
      <c r="E58" s="21">
        <f>COUNTIF(KPI_Element_Map!$E$2:$E$287,$A58)</f>
        <v>1</v>
      </c>
      <c r="F58" s="21">
        <f>COUNTIFS(KPI_Element_Map!$E$2:$E$287,$A58,KPI_Element_Map!$D$2:$D$287,"1 - Core")</f>
        <v>0</v>
      </c>
      <c r="G58" s="24" t="s">
        <v>1117</v>
      </c>
      <c r="H58" s="23" t="str">
        <f>INDEX(Minimum_Documents!$B:$B,MATCH($G58,Minimum_Documents!$A:$A,0))</f>
        <v>Online Review Platform Export</v>
      </c>
      <c r="J58" s="25">
        <f t="array" ref="J58">IFERROR(HYPERLINK("#KPI_Master!A"&amp;MATCH(SMALL(IF(KPI_Element_Map!$E$2:$E$287=$A58,KPI_Element_Map!$A$2:$A$287),COLUMNS($J58:J58)),KPI_Master!$A:$A,0)&amp;":P"&amp;MATCH(SMALL(IF(KPI_Element_Map!$E$2:$E$287=$A58,KPI_Element_Map!$A$2:$A$287),COLUMNS($J58:J58)),KPI_Master!$A:$A,0),SMALL(IF(KPI_Element_Map!$E$2:$E$287=$A58,KPI_Element_Map!$A$2:$A$287),COLUMNS($J58:J58))),"")</f>
        <v>163</v>
      </c>
      <c r="K58" s="25" t="str">
        <f t="array" ref="K58">IFERROR(HYPERLINK("#KPI_Master!A"&amp;MATCH(SMALL(IF(KPI_Element_Map!$E$2:$E$287=$A58,KPI_Element_Map!$A$2:$A$287),COLUMNS($J58:K58)),KPI_Master!$A:$A,0)&amp;":P"&amp;MATCH(SMALL(IF(KPI_Element_Map!$E$2:$E$287=$A58,KPI_Element_Map!$A$2:$A$287),COLUMNS($J58:K58)),KPI_Master!$A:$A,0),SMALL(IF(KPI_Element_Map!$E$2:$E$287=$A58,KPI_Element_Map!$A$2:$A$287),COLUMNS($J58:K58))),"")</f>
        <v/>
      </c>
      <c r="L58" s="25" t="str">
        <f t="array" ref="L58">IFERROR(HYPERLINK("#KPI_Master!A"&amp;MATCH(SMALL(IF(KPI_Element_Map!$E$2:$E$287=$A58,KPI_Element_Map!$A$2:$A$287),COLUMNS($J58:L58)),KPI_Master!$A:$A,0)&amp;":P"&amp;MATCH(SMALL(IF(KPI_Element_Map!$E$2:$E$287=$A58,KPI_Element_Map!$A$2:$A$287),COLUMNS($J58:L58)),KPI_Master!$A:$A,0),SMALL(IF(KPI_Element_Map!$E$2:$E$287=$A58,KPI_Element_Map!$A$2:$A$287),COLUMNS($J58:L58))),"")</f>
        <v/>
      </c>
      <c r="M58" s="25" t="str">
        <f t="array" ref="M58">IFERROR(HYPERLINK("#KPI_Master!A"&amp;MATCH(SMALL(IF(KPI_Element_Map!$E$2:$E$287=$A58,KPI_Element_Map!$A$2:$A$287),COLUMNS($J58:M58)),KPI_Master!$A:$A,0)&amp;":P"&amp;MATCH(SMALL(IF(KPI_Element_Map!$E$2:$E$287=$A58,KPI_Element_Map!$A$2:$A$287),COLUMNS($J58:M58)),KPI_Master!$A:$A,0),SMALL(IF(KPI_Element_Map!$E$2:$E$287=$A58,KPI_Element_Map!$A$2:$A$287),COLUMNS($J58:M58))),"")</f>
        <v/>
      </c>
      <c r="N58" s="25" t="str">
        <f t="array" ref="N58">IFERROR(HYPERLINK("#KPI_Master!A"&amp;MATCH(SMALL(IF(KPI_Element_Map!$E$2:$E$287=$A58,KPI_Element_Map!$A$2:$A$287),COLUMNS($J58:N58)),KPI_Master!$A:$A,0)&amp;":P"&amp;MATCH(SMALL(IF(KPI_Element_Map!$E$2:$E$287=$A58,KPI_Element_Map!$A$2:$A$287),COLUMNS($J58:N58)),KPI_Master!$A:$A,0),SMALL(IF(KPI_Element_Map!$E$2:$E$287=$A58,KPI_Element_Map!$A$2:$A$287),COLUMNS($J58:N58))),"")</f>
        <v/>
      </c>
      <c r="O58" s="25" t="str">
        <f t="array" ref="O58">IFERROR(HYPERLINK("#KPI_Master!A"&amp;MATCH(SMALL(IF(KPI_Element_Map!$E$2:$E$287=$A58,KPI_Element_Map!$A$2:$A$287),COLUMNS($J58:O58)),KPI_Master!$A:$A,0)&amp;":P"&amp;MATCH(SMALL(IF(KPI_Element_Map!$E$2:$E$287=$A58,KPI_Element_Map!$A$2:$A$287),COLUMNS($J58:O58)),KPI_Master!$A:$A,0),SMALL(IF(KPI_Element_Map!$E$2:$E$287=$A58,KPI_Element_Map!$A$2:$A$287),COLUMNS($J58:O58))),"")</f>
        <v/>
      </c>
      <c r="P58" s="25" t="str">
        <f t="array" ref="P58">IFERROR(HYPERLINK("#KPI_Master!A"&amp;MATCH(SMALL(IF(KPI_Element_Map!$E$2:$E$287=$A58,KPI_Element_Map!$A$2:$A$287),COLUMNS($J58:P58)),KPI_Master!$A:$A,0)&amp;":P"&amp;MATCH(SMALL(IF(KPI_Element_Map!$E$2:$E$287=$A58,KPI_Element_Map!$A$2:$A$287),COLUMNS($J58:P58)),KPI_Master!$A:$A,0),SMALL(IF(KPI_Element_Map!$E$2:$E$287=$A58,KPI_Element_Map!$A$2:$A$287),COLUMNS($J58:P58))),"")</f>
        <v/>
      </c>
      <c r="Q58" s="25" t="str">
        <f t="array" ref="Q58">IFERROR(HYPERLINK("#KPI_Master!A"&amp;MATCH(SMALL(IF(KPI_Element_Map!$E$2:$E$287=$A58,KPI_Element_Map!$A$2:$A$287),COLUMNS($J58:Q58)),KPI_Master!$A:$A,0)&amp;":P"&amp;MATCH(SMALL(IF(KPI_Element_Map!$E$2:$E$287=$A58,KPI_Element_Map!$A$2:$A$287),COLUMNS($J58:Q58)),KPI_Master!$A:$A,0),SMALL(IF(KPI_Element_Map!$E$2:$E$287=$A58,KPI_Element_Map!$A$2:$A$287),COLUMNS($J58:Q58))),"")</f>
        <v/>
      </c>
      <c r="R58" s="25" t="str">
        <f t="array" ref="R58">IFERROR(HYPERLINK("#KPI_Master!A"&amp;MATCH(SMALL(IF(KPI_Element_Map!$E$2:$E$287=$A58,KPI_Element_Map!$A$2:$A$287),COLUMNS($J58:R58)),KPI_Master!$A:$A,0)&amp;":P"&amp;MATCH(SMALL(IF(KPI_Element_Map!$E$2:$E$287=$A58,KPI_Element_Map!$A$2:$A$287),COLUMNS($J58:R58)),KPI_Master!$A:$A,0),SMALL(IF(KPI_Element_Map!$E$2:$E$287=$A58,KPI_Element_Map!$A$2:$A$287),COLUMNS($J58:R58))),"")</f>
        <v/>
      </c>
      <c r="S58" s="25" t="str">
        <f t="array" ref="S58">IFERROR(HYPERLINK("#KPI_Master!A"&amp;MATCH(SMALL(IF(KPI_Element_Map!$E$2:$E$287=$A58,KPI_Element_Map!$A$2:$A$287),COLUMNS($J58:S58)),KPI_Master!$A:$A,0)&amp;":P"&amp;MATCH(SMALL(IF(KPI_Element_Map!$E$2:$E$287=$A58,KPI_Element_Map!$A$2:$A$287),COLUMNS($J58:S58)),KPI_Master!$A:$A,0),SMALL(IF(KPI_Element_Map!$E$2:$E$287=$A58,KPI_Element_Map!$A$2:$A$287),COLUMNS($J58:S58))),"")</f>
        <v/>
      </c>
      <c r="T58" s="25" t="str">
        <f t="array" ref="T58">IFERROR(HYPERLINK("#KPI_Master!A"&amp;MATCH(SMALL(IF(KPI_Element_Map!$E$2:$E$287=$A58,KPI_Element_Map!$A$2:$A$287),COLUMNS($J58:T58)),KPI_Master!$A:$A,0)&amp;":P"&amp;MATCH(SMALL(IF(KPI_Element_Map!$E$2:$E$287=$A58,KPI_Element_Map!$A$2:$A$287),COLUMNS($J58:T58)),KPI_Master!$A:$A,0),SMALL(IF(KPI_Element_Map!$E$2:$E$287=$A58,KPI_Element_Map!$A$2:$A$287),COLUMNS($J58:T58))),"")</f>
        <v/>
      </c>
      <c r="U58" s="25" t="str">
        <f t="array" ref="U58">IFERROR(HYPERLINK("#KPI_Master!A"&amp;MATCH(SMALL(IF(KPI_Element_Map!$E$2:$E$287=$A58,KPI_Element_Map!$A$2:$A$287),COLUMNS($J58:U58)),KPI_Master!$A:$A,0)&amp;":P"&amp;MATCH(SMALL(IF(KPI_Element_Map!$E$2:$E$287=$A58,KPI_Element_Map!$A$2:$A$287),COLUMNS($J58:U58)),KPI_Master!$A:$A,0),SMALL(IF(KPI_Element_Map!$E$2:$E$287=$A58,KPI_Element_Map!$A$2:$A$287),COLUMNS($J58:U58))),"")</f>
        <v/>
      </c>
      <c r="V58" s="25" t="str">
        <f t="array" ref="V58">IFERROR(HYPERLINK("#KPI_Master!A"&amp;MATCH(SMALL(IF(KPI_Element_Map!$E$2:$E$287=$A58,KPI_Element_Map!$A$2:$A$287),COLUMNS($J58:V58)),KPI_Master!$A:$A,0)&amp;":P"&amp;MATCH(SMALL(IF(KPI_Element_Map!$E$2:$E$287=$A58,KPI_Element_Map!$A$2:$A$287),COLUMNS($J58:V58)),KPI_Master!$A:$A,0),SMALL(IF(KPI_Element_Map!$E$2:$E$287=$A58,KPI_Element_Map!$A$2:$A$287),COLUMNS($J58:V58))),"")</f>
        <v/>
      </c>
      <c r="W58" s="25" t="str">
        <f t="array" ref="W58">IFERROR(HYPERLINK("#KPI_Master!A"&amp;MATCH(SMALL(IF(KPI_Element_Map!$E$2:$E$287=$A58,KPI_Element_Map!$A$2:$A$287),COLUMNS($J58:W58)),KPI_Master!$A:$A,0)&amp;":P"&amp;MATCH(SMALL(IF(KPI_Element_Map!$E$2:$E$287=$A58,KPI_Element_Map!$A$2:$A$287),COLUMNS($J58:W58)),KPI_Master!$A:$A,0),SMALL(IF(KPI_Element_Map!$E$2:$E$287=$A58,KPI_Element_Map!$A$2:$A$287),COLUMNS($J58:W58))),"")</f>
        <v/>
      </c>
      <c r="X58" s="25" t="str">
        <f t="array" ref="X58">IFERROR(HYPERLINK("#KPI_Master!A"&amp;MATCH(SMALL(IF(KPI_Element_Map!$E$2:$E$287=$A58,KPI_Element_Map!$A$2:$A$287),COLUMNS($J58:X58)),KPI_Master!$A:$A,0)&amp;":P"&amp;MATCH(SMALL(IF(KPI_Element_Map!$E$2:$E$287=$A58,KPI_Element_Map!$A$2:$A$287),COLUMNS($J58:X58)),KPI_Master!$A:$A,0),SMALL(IF(KPI_Element_Map!$E$2:$E$287=$A58,KPI_Element_Map!$A$2:$A$287),COLUMNS($J58:X58))),"")</f>
        <v/>
      </c>
      <c r="Y58" s="25" t="str">
        <f t="array" ref="Y58">IFERROR(HYPERLINK("#KPI_Master!A"&amp;MATCH(SMALL(IF(KPI_Element_Map!$E$2:$E$287=$A58,KPI_Element_Map!$A$2:$A$287),COLUMNS($J58:Y58)),KPI_Master!$A:$A,0)&amp;":P"&amp;MATCH(SMALL(IF(KPI_Element_Map!$E$2:$E$287=$A58,KPI_Element_Map!$A$2:$A$287),COLUMNS($J58:Y58)),KPI_Master!$A:$A,0),SMALL(IF(KPI_Element_Map!$E$2:$E$287=$A58,KPI_Element_Map!$A$2:$A$287),COLUMNS($J58:Y58))),"")</f>
        <v/>
      </c>
      <c r="Z58" s="25" t="str">
        <f t="array" ref="Z58">IFERROR(HYPERLINK("#KPI_Master!A"&amp;MATCH(SMALL(IF(KPI_Element_Map!$E$2:$E$287=$A58,KPI_Element_Map!$A$2:$A$287),COLUMNS($J58:Z58)),KPI_Master!$A:$A,0)&amp;":P"&amp;MATCH(SMALL(IF(KPI_Element_Map!$E$2:$E$287=$A58,KPI_Element_Map!$A$2:$A$287),COLUMNS($J58:Z58)),KPI_Master!$A:$A,0),SMALL(IF(KPI_Element_Map!$E$2:$E$287=$A58,KPI_Element_Map!$A$2:$A$287),COLUMNS($J58:Z58))),"")</f>
        <v/>
      </c>
      <c r="AA58" s="25" t="str">
        <f t="array" ref="AA58">IFERROR(HYPERLINK("#KPI_Master!A"&amp;MATCH(SMALL(IF(KPI_Element_Map!$E$2:$E$287=$A58,KPI_Element_Map!$A$2:$A$287),COLUMNS($J58:AA58)),KPI_Master!$A:$A,0)&amp;":P"&amp;MATCH(SMALL(IF(KPI_Element_Map!$E$2:$E$287=$A58,KPI_Element_Map!$A$2:$A$287),COLUMNS($J58:AA58)),KPI_Master!$A:$A,0),SMALL(IF(KPI_Element_Map!$E$2:$E$287=$A58,KPI_Element_Map!$A$2:$A$287),COLUMNS($J58:AA58))),"")</f>
        <v/>
      </c>
      <c r="AB58" s="25" t="str">
        <f t="array" ref="AB58">IFERROR(HYPERLINK("#KPI_Master!A"&amp;MATCH(SMALL(IF(KPI_Element_Map!$E$2:$E$287=$A58,KPI_Element_Map!$A$2:$A$287),COLUMNS($J58:AB58)),KPI_Master!$A:$A,0)&amp;":P"&amp;MATCH(SMALL(IF(KPI_Element_Map!$E$2:$E$287=$A58,KPI_Element_Map!$A$2:$A$287),COLUMNS($J58:AB58)),KPI_Master!$A:$A,0),SMALL(IF(KPI_Element_Map!$E$2:$E$287=$A58,KPI_Element_Map!$A$2:$A$287),COLUMNS($J58:AB58))),"")</f>
        <v/>
      </c>
      <c r="AC58" s="25" t="str">
        <f t="array" ref="AC58">IFERROR(HYPERLINK("#KPI_Master!A"&amp;MATCH(SMALL(IF(KPI_Element_Map!$E$2:$E$287=$A58,KPI_Element_Map!$A$2:$A$287),COLUMNS($J58:AC58)),KPI_Master!$A:$A,0)&amp;":P"&amp;MATCH(SMALL(IF(KPI_Element_Map!$E$2:$E$287=$A58,KPI_Element_Map!$A$2:$A$287),COLUMNS($J58:AC58)),KPI_Master!$A:$A,0),SMALL(IF(KPI_Element_Map!$E$2:$E$287=$A58,KPI_Element_Map!$A$2:$A$287),COLUMNS($J58:AC58))),"")</f>
        <v/>
      </c>
      <c r="AD58" s="25" t="str">
        <f t="array" ref="AD58">IFERROR(HYPERLINK("#KPI_Master!A"&amp;MATCH(SMALL(IF(KPI_Element_Map!$E$2:$E$287=$A58,KPI_Element_Map!$A$2:$A$287),COLUMNS($J58:AD58)),KPI_Master!$A:$A,0)&amp;":P"&amp;MATCH(SMALL(IF(KPI_Element_Map!$E$2:$E$287=$A58,KPI_Element_Map!$A$2:$A$287),COLUMNS($J58:AD58)),KPI_Master!$A:$A,0),SMALL(IF(KPI_Element_Map!$E$2:$E$287=$A58,KPI_Element_Map!$A$2:$A$287),COLUMNS($J58:AD58))),"")</f>
        <v/>
      </c>
      <c r="AE58" s="25" t="str">
        <f t="array" ref="AE58">IFERROR(HYPERLINK("#KPI_Master!A"&amp;MATCH(SMALL(IF(KPI_Element_Map!$E$2:$E$287=$A58,KPI_Element_Map!$A$2:$A$287),COLUMNS($J58:AE58)),KPI_Master!$A:$A,0)&amp;":P"&amp;MATCH(SMALL(IF(KPI_Element_Map!$E$2:$E$287=$A58,KPI_Element_Map!$A$2:$A$287),COLUMNS($J58:AE58)),KPI_Master!$A:$A,0),SMALL(IF(KPI_Element_Map!$E$2:$E$287=$A58,KPI_Element_Map!$A$2:$A$287),COLUMNS($J58:AE58))),"")</f>
        <v/>
      </c>
      <c r="AF58" s="25" t="str">
        <f t="array" ref="AF58">IFERROR(HYPERLINK("#KPI_Master!A"&amp;MATCH(SMALL(IF(KPI_Element_Map!$E$2:$E$287=$A58,KPI_Element_Map!$A$2:$A$287),COLUMNS($J58:AF58)),KPI_Master!$A:$A,0)&amp;":P"&amp;MATCH(SMALL(IF(KPI_Element_Map!$E$2:$E$287=$A58,KPI_Element_Map!$A$2:$A$287),COLUMNS($J58:AF58)),KPI_Master!$A:$A,0),SMALL(IF(KPI_Element_Map!$E$2:$E$287=$A58,KPI_Element_Map!$A$2:$A$287),COLUMNS($J58:AF58))),"")</f>
        <v/>
      </c>
      <c r="AG58" s="25" t="str">
        <f t="array" ref="AG58">IFERROR(HYPERLINK("#KPI_Master!A"&amp;MATCH(SMALL(IF(KPI_Element_Map!$E$2:$E$287=$A58,KPI_Element_Map!$A$2:$A$287),COLUMNS($J58:AG58)),KPI_Master!$A:$A,0)&amp;":P"&amp;MATCH(SMALL(IF(KPI_Element_Map!$E$2:$E$287=$A58,KPI_Element_Map!$A$2:$A$287),COLUMNS($J58:AG58)),KPI_Master!$A:$A,0),SMALL(IF(KPI_Element_Map!$E$2:$E$287=$A58,KPI_Element_Map!$A$2:$A$287),COLUMNS($J58:AG58))),"")</f>
        <v/>
      </c>
      <c r="AH58" s="25" t="str">
        <f t="array" ref="AH58">IFERROR(HYPERLINK("#KPI_Master!A"&amp;MATCH(SMALL(IF(KPI_Element_Map!$E$2:$E$287=$A58,KPI_Element_Map!$A$2:$A$287),COLUMNS($J58:AH58)),KPI_Master!$A:$A,0)&amp;":P"&amp;MATCH(SMALL(IF(KPI_Element_Map!$E$2:$E$287=$A58,KPI_Element_Map!$A$2:$A$287),COLUMNS($J58:AH58)),KPI_Master!$A:$A,0),SMALL(IF(KPI_Element_Map!$E$2:$E$287=$A58,KPI_Element_Map!$A$2:$A$287),COLUMNS($J58:AH58))),"")</f>
        <v/>
      </c>
    </row>
    <row r="59" spans="1:34" ht="28.5" customHeight="1">
      <c r="A59" s="21" t="s">
        <v>1118</v>
      </c>
      <c r="B59" s="22" t="s">
        <v>1119</v>
      </c>
      <c r="C59" s="23" t="s">
        <v>1120</v>
      </c>
      <c r="D59" s="23" t="str">
        <f t="array" ref="D59">_xlfn.TEXTJOIN(", ",TRUE(),IF(KPI_Element_Map!$E$2:$E$287=$A59,KPI_Element_Map!$A$2:$A$287,""))</f>
        <v>111, 112, 116, 118, 121, 122, 123, 124, 125, 126, 171</v>
      </c>
      <c r="E59" s="21">
        <f>COUNTIF(KPI_Element_Map!$E$2:$E$287,$A59)</f>
        <v>11</v>
      </c>
      <c r="F59" s="21">
        <f>COUNTIFS(KPI_Element_Map!$E$2:$E$287,$A59,KPI_Element_Map!$D$2:$D$287,"1 - Core")</f>
        <v>3</v>
      </c>
      <c r="G59" s="24" t="s">
        <v>1121</v>
      </c>
      <c r="H59" s="23" t="str">
        <f>INDEX(Minimum_Documents!$B:$B,MATCH($G59,Minimum_Documents!$A:$A,0))</f>
        <v>CMMS Work Order &amp; PM Report (incl. life-safety and vehicle PM tasks)</v>
      </c>
      <c r="J59" s="25">
        <f t="array" ref="J59">IFERROR(HYPERLINK("#KPI_Master!A"&amp;MATCH(SMALL(IF(KPI_Element_Map!$E$2:$E$287=$A59,KPI_Element_Map!$A$2:$A$287),COLUMNS($J59:J59)),KPI_Master!$A:$A,0)&amp;":P"&amp;MATCH(SMALL(IF(KPI_Element_Map!$E$2:$E$287=$A59,KPI_Element_Map!$A$2:$A$287),COLUMNS($J59:J59)),KPI_Master!$A:$A,0),SMALL(IF(KPI_Element_Map!$E$2:$E$287=$A59,KPI_Element_Map!$A$2:$A$287),COLUMNS($J59:J59))),"")</f>
        <v>111</v>
      </c>
      <c r="K59" s="25">
        <f t="array" ref="K59">IFERROR(HYPERLINK("#KPI_Master!A"&amp;MATCH(SMALL(IF(KPI_Element_Map!$E$2:$E$287=$A59,KPI_Element_Map!$A$2:$A$287),COLUMNS($J59:K59)),KPI_Master!$A:$A,0)&amp;":P"&amp;MATCH(SMALL(IF(KPI_Element_Map!$E$2:$E$287=$A59,KPI_Element_Map!$A$2:$A$287),COLUMNS($J59:K59)),KPI_Master!$A:$A,0),SMALL(IF(KPI_Element_Map!$E$2:$E$287=$A59,KPI_Element_Map!$A$2:$A$287),COLUMNS($J59:K59))),"")</f>
        <v>112</v>
      </c>
      <c r="L59" s="25">
        <f t="array" ref="L59">IFERROR(HYPERLINK("#KPI_Master!A"&amp;MATCH(SMALL(IF(KPI_Element_Map!$E$2:$E$287=$A59,KPI_Element_Map!$A$2:$A$287),COLUMNS($J59:L59)),KPI_Master!$A:$A,0)&amp;":P"&amp;MATCH(SMALL(IF(KPI_Element_Map!$E$2:$E$287=$A59,KPI_Element_Map!$A$2:$A$287),COLUMNS($J59:L59)),KPI_Master!$A:$A,0),SMALL(IF(KPI_Element_Map!$E$2:$E$287=$A59,KPI_Element_Map!$A$2:$A$287),COLUMNS($J59:L59))),"")</f>
        <v>116</v>
      </c>
      <c r="M59" s="25">
        <f t="array" ref="M59">IFERROR(HYPERLINK("#KPI_Master!A"&amp;MATCH(SMALL(IF(KPI_Element_Map!$E$2:$E$287=$A59,KPI_Element_Map!$A$2:$A$287),COLUMNS($J59:M59)),KPI_Master!$A:$A,0)&amp;":P"&amp;MATCH(SMALL(IF(KPI_Element_Map!$E$2:$E$287=$A59,KPI_Element_Map!$A$2:$A$287),COLUMNS($J59:M59)),KPI_Master!$A:$A,0),SMALL(IF(KPI_Element_Map!$E$2:$E$287=$A59,KPI_Element_Map!$A$2:$A$287),COLUMNS($J59:M59))),"")</f>
        <v>118</v>
      </c>
      <c r="N59" s="25">
        <f t="array" ref="N59">IFERROR(HYPERLINK("#KPI_Master!A"&amp;MATCH(SMALL(IF(KPI_Element_Map!$E$2:$E$287=$A59,KPI_Element_Map!$A$2:$A$287),COLUMNS($J59:N59)),KPI_Master!$A:$A,0)&amp;":P"&amp;MATCH(SMALL(IF(KPI_Element_Map!$E$2:$E$287=$A59,KPI_Element_Map!$A$2:$A$287),COLUMNS($J59:N59)),KPI_Master!$A:$A,0),SMALL(IF(KPI_Element_Map!$E$2:$E$287=$A59,KPI_Element_Map!$A$2:$A$287),COLUMNS($J59:N59))),"")</f>
        <v>121</v>
      </c>
      <c r="O59" s="25">
        <f t="array" ref="O59">IFERROR(HYPERLINK("#KPI_Master!A"&amp;MATCH(SMALL(IF(KPI_Element_Map!$E$2:$E$287=$A59,KPI_Element_Map!$A$2:$A$287),COLUMNS($J59:O59)),KPI_Master!$A:$A,0)&amp;":P"&amp;MATCH(SMALL(IF(KPI_Element_Map!$E$2:$E$287=$A59,KPI_Element_Map!$A$2:$A$287),COLUMNS($J59:O59)),KPI_Master!$A:$A,0),SMALL(IF(KPI_Element_Map!$E$2:$E$287=$A59,KPI_Element_Map!$A$2:$A$287),COLUMNS($J59:O59))),"")</f>
        <v>122</v>
      </c>
      <c r="P59" s="25">
        <f t="array" ref="P59">IFERROR(HYPERLINK("#KPI_Master!A"&amp;MATCH(SMALL(IF(KPI_Element_Map!$E$2:$E$287=$A59,KPI_Element_Map!$A$2:$A$287),COLUMNS($J59:P59)),KPI_Master!$A:$A,0)&amp;":P"&amp;MATCH(SMALL(IF(KPI_Element_Map!$E$2:$E$287=$A59,KPI_Element_Map!$A$2:$A$287),COLUMNS($J59:P59)),KPI_Master!$A:$A,0),SMALL(IF(KPI_Element_Map!$E$2:$E$287=$A59,KPI_Element_Map!$A$2:$A$287),COLUMNS($J59:P59))),"")</f>
        <v>123</v>
      </c>
      <c r="Q59" s="25">
        <f t="array" ref="Q59">IFERROR(HYPERLINK("#KPI_Master!A"&amp;MATCH(SMALL(IF(KPI_Element_Map!$E$2:$E$287=$A59,KPI_Element_Map!$A$2:$A$287),COLUMNS($J59:Q59)),KPI_Master!$A:$A,0)&amp;":P"&amp;MATCH(SMALL(IF(KPI_Element_Map!$E$2:$E$287=$A59,KPI_Element_Map!$A$2:$A$287),COLUMNS($J59:Q59)),KPI_Master!$A:$A,0),SMALL(IF(KPI_Element_Map!$E$2:$E$287=$A59,KPI_Element_Map!$A$2:$A$287),COLUMNS($J59:Q59))),"")</f>
        <v>124</v>
      </c>
      <c r="R59" s="25">
        <f t="array" ref="R59">IFERROR(HYPERLINK("#KPI_Master!A"&amp;MATCH(SMALL(IF(KPI_Element_Map!$E$2:$E$287=$A59,KPI_Element_Map!$A$2:$A$287),COLUMNS($J59:R59)),KPI_Master!$A:$A,0)&amp;":P"&amp;MATCH(SMALL(IF(KPI_Element_Map!$E$2:$E$287=$A59,KPI_Element_Map!$A$2:$A$287),COLUMNS($J59:R59)),KPI_Master!$A:$A,0),SMALL(IF(KPI_Element_Map!$E$2:$E$287=$A59,KPI_Element_Map!$A$2:$A$287),COLUMNS($J59:R59))),"")</f>
        <v>125</v>
      </c>
      <c r="S59" s="25">
        <f t="array" ref="S59">IFERROR(HYPERLINK("#KPI_Master!A"&amp;MATCH(SMALL(IF(KPI_Element_Map!$E$2:$E$287=$A59,KPI_Element_Map!$A$2:$A$287),COLUMNS($J59:S59)),KPI_Master!$A:$A,0)&amp;":P"&amp;MATCH(SMALL(IF(KPI_Element_Map!$E$2:$E$287=$A59,KPI_Element_Map!$A$2:$A$287),COLUMNS($J59:S59)),KPI_Master!$A:$A,0),SMALL(IF(KPI_Element_Map!$E$2:$E$287=$A59,KPI_Element_Map!$A$2:$A$287),COLUMNS($J59:S59))),"")</f>
        <v>126</v>
      </c>
      <c r="T59" s="25">
        <f t="array" ref="T59">IFERROR(HYPERLINK("#KPI_Master!A"&amp;MATCH(SMALL(IF(KPI_Element_Map!$E$2:$E$287=$A59,KPI_Element_Map!$A$2:$A$287),COLUMNS($J59:T59)),KPI_Master!$A:$A,0)&amp;":P"&amp;MATCH(SMALL(IF(KPI_Element_Map!$E$2:$E$287=$A59,KPI_Element_Map!$A$2:$A$287),COLUMNS($J59:T59)),KPI_Master!$A:$A,0),SMALL(IF(KPI_Element_Map!$E$2:$E$287=$A59,KPI_Element_Map!$A$2:$A$287),COLUMNS($J59:T59))),"")</f>
        <v>171</v>
      </c>
      <c r="U59" s="25" t="str">
        <f t="array" ref="U59">IFERROR(HYPERLINK("#KPI_Master!A"&amp;MATCH(SMALL(IF(KPI_Element_Map!$E$2:$E$287=$A59,KPI_Element_Map!$A$2:$A$287),COLUMNS($J59:U59)),KPI_Master!$A:$A,0)&amp;":P"&amp;MATCH(SMALL(IF(KPI_Element_Map!$E$2:$E$287=$A59,KPI_Element_Map!$A$2:$A$287),COLUMNS($J59:U59)),KPI_Master!$A:$A,0),SMALL(IF(KPI_Element_Map!$E$2:$E$287=$A59,KPI_Element_Map!$A$2:$A$287),COLUMNS($J59:U59))),"")</f>
        <v/>
      </c>
      <c r="V59" s="25" t="str">
        <f t="array" ref="V59">IFERROR(HYPERLINK("#KPI_Master!A"&amp;MATCH(SMALL(IF(KPI_Element_Map!$E$2:$E$287=$A59,KPI_Element_Map!$A$2:$A$287),COLUMNS($J59:V59)),KPI_Master!$A:$A,0)&amp;":P"&amp;MATCH(SMALL(IF(KPI_Element_Map!$E$2:$E$287=$A59,KPI_Element_Map!$A$2:$A$287),COLUMNS($J59:V59)),KPI_Master!$A:$A,0),SMALL(IF(KPI_Element_Map!$E$2:$E$287=$A59,KPI_Element_Map!$A$2:$A$287),COLUMNS($J59:V59))),"")</f>
        <v/>
      </c>
      <c r="W59" s="25" t="str">
        <f t="array" ref="W59">IFERROR(HYPERLINK("#KPI_Master!A"&amp;MATCH(SMALL(IF(KPI_Element_Map!$E$2:$E$287=$A59,KPI_Element_Map!$A$2:$A$287),COLUMNS($J59:W59)),KPI_Master!$A:$A,0)&amp;":P"&amp;MATCH(SMALL(IF(KPI_Element_Map!$E$2:$E$287=$A59,KPI_Element_Map!$A$2:$A$287),COLUMNS($J59:W59)),KPI_Master!$A:$A,0),SMALL(IF(KPI_Element_Map!$E$2:$E$287=$A59,KPI_Element_Map!$A$2:$A$287),COLUMNS($J59:W59))),"")</f>
        <v/>
      </c>
      <c r="X59" s="25" t="str">
        <f t="array" ref="X59">IFERROR(HYPERLINK("#KPI_Master!A"&amp;MATCH(SMALL(IF(KPI_Element_Map!$E$2:$E$287=$A59,KPI_Element_Map!$A$2:$A$287),COLUMNS($J59:X59)),KPI_Master!$A:$A,0)&amp;":P"&amp;MATCH(SMALL(IF(KPI_Element_Map!$E$2:$E$287=$A59,KPI_Element_Map!$A$2:$A$287),COLUMNS($J59:X59)),KPI_Master!$A:$A,0),SMALL(IF(KPI_Element_Map!$E$2:$E$287=$A59,KPI_Element_Map!$A$2:$A$287),COLUMNS($J59:X59))),"")</f>
        <v/>
      </c>
      <c r="Y59" s="25" t="str">
        <f t="array" ref="Y59">IFERROR(HYPERLINK("#KPI_Master!A"&amp;MATCH(SMALL(IF(KPI_Element_Map!$E$2:$E$287=$A59,KPI_Element_Map!$A$2:$A$287),COLUMNS($J59:Y59)),KPI_Master!$A:$A,0)&amp;":P"&amp;MATCH(SMALL(IF(KPI_Element_Map!$E$2:$E$287=$A59,KPI_Element_Map!$A$2:$A$287),COLUMNS($J59:Y59)),KPI_Master!$A:$A,0),SMALL(IF(KPI_Element_Map!$E$2:$E$287=$A59,KPI_Element_Map!$A$2:$A$287),COLUMNS($J59:Y59))),"")</f>
        <v/>
      </c>
      <c r="Z59" s="25" t="str">
        <f t="array" ref="Z59">IFERROR(HYPERLINK("#KPI_Master!A"&amp;MATCH(SMALL(IF(KPI_Element_Map!$E$2:$E$287=$A59,KPI_Element_Map!$A$2:$A$287),COLUMNS($J59:Z59)),KPI_Master!$A:$A,0)&amp;":P"&amp;MATCH(SMALL(IF(KPI_Element_Map!$E$2:$E$287=$A59,KPI_Element_Map!$A$2:$A$287),COLUMNS($J59:Z59)),KPI_Master!$A:$A,0),SMALL(IF(KPI_Element_Map!$E$2:$E$287=$A59,KPI_Element_Map!$A$2:$A$287),COLUMNS($J59:Z59))),"")</f>
        <v/>
      </c>
      <c r="AA59" s="25" t="str">
        <f t="array" ref="AA59">IFERROR(HYPERLINK("#KPI_Master!A"&amp;MATCH(SMALL(IF(KPI_Element_Map!$E$2:$E$287=$A59,KPI_Element_Map!$A$2:$A$287),COLUMNS($J59:AA59)),KPI_Master!$A:$A,0)&amp;":P"&amp;MATCH(SMALL(IF(KPI_Element_Map!$E$2:$E$287=$A59,KPI_Element_Map!$A$2:$A$287),COLUMNS($J59:AA59)),KPI_Master!$A:$A,0),SMALL(IF(KPI_Element_Map!$E$2:$E$287=$A59,KPI_Element_Map!$A$2:$A$287),COLUMNS($J59:AA59))),"")</f>
        <v/>
      </c>
      <c r="AB59" s="25" t="str">
        <f t="array" ref="AB59">IFERROR(HYPERLINK("#KPI_Master!A"&amp;MATCH(SMALL(IF(KPI_Element_Map!$E$2:$E$287=$A59,KPI_Element_Map!$A$2:$A$287),COLUMNS($J59:AB59)),KPI_Master!$A:$A,0)&amp;":P"&amp;MATCH(SMALL(IF(KPI_Element_Map!$E$2:$E$287=$A59,KPI_Element_Map!$A$2:$A$287),COLUMNS($J59:AB59)),KPI_Master!$A:$A,0),SMALL(IF(KPI_Element_Map!$E$2:$E$287=$A59,KPI_Element_Map!$A$2:$A$287),COLUMNS($J59:AB59))),"")</f>
        <v/>
      </c>
      <c r="AC59" s="25" t="str">
        <f t="array" ref="AC59">IFERROR(HYPERLINK("#KPI_Master!A"&amp;MATCH(SMALL(IF(KPI_Element_Map!$E$2:$E$287=$A59,KPI_Element_Map!$A$2:$A$287),COLUMNS($J59:AC59)),KPI_Master!$A:$A,0)&amp;":P"&amp;MATCH(SMALL(IF(KPI_Element_Map!$E$2:$E$287=$A59,KPI_Element_Map!$A$2:$A$287),COLUMNS($J59:AC59)),KPI_Master!$A:$A,0),SMALL(IF(KPI_Element_Map!$E$2:$E$287=$A59,KPI_Element_Map!$A$2:$A$287),COLUMNS($J59:AC59))),"")</f>
        <v/>
      </c>
      <c r="AD59" s="25" t="str">
        <f t="array" ref="AD59">IFERROR(HYPERLINK("#KPI_Master!A"&amp;MATCH(SMALL(IF(KPI_Element_Map!$E$2:$E$287=$A59,KPI_Element_Map!$A$2:$A$287),COLUMNS($J59:AD59)),KPI_Master!$A:$A,0)&amp;":P"&amp;MATCH(SMALL(IF(KPI_Element_Map!$E$2:$E$287=$A59,KPI_Element_Map!$A$2:$A$287),COLUMNS($J59:AD59)),KPI_Master!$A:$A,0),SMALL(IF(KPI_Element_Map!$E$2:$E$287=$A59,KPI_Element_Map!$A$2:$A$287),COLUMNS($J59:AD59))),"")</f>
        <v/>
      </c>
      <c r="AE59" s="25" t="str">
        <f t="array" ref="AE59">IFERROR(HYPERLINK("#KPI_Master!A"&amp;MATCH(SMALL(IF(KPI_Element_Map!$E$2:$E$287=$A59,KPI_Element_Map!$A$2:$A$287),COLUMNS($J59:AE59)),KPI_Master!$A:$A,0)&amp;":P"&amp;MATCH(SMALL(IF(KPI_Element_Map!$E$2:$E$287=$A59,KPI_Element_Map!$A$2:$A$287),COLUMNS($J59:AE59)),KPI_Master!$A:$A,0),SMALL(IF(KPI_Element_Map!$E$2:$E$287=$A59,KPI_Element_Map!$A$2:$A$287),COLUMNS($J59:AE59))),"")</f>
        <v/>
      </c>
      <c r="AF59" s="25" t="str">
        <f t="array" ref="AF59">IFERROR(HYPERLINK("#KPI_Master!A"&amp;MATCH(SMALL(IF(KPI_Element_Map!$E$2:$E$287=$A59,KPI_Element_Map!$A$2:$A$287),COLUMNS($J59:AF59)),KPI_Master!$A:$A,0)&amp;":P"&amp;MATCH(SMALL(IF(KPI_Element_Map!$E$2:$E$287=$A59,KPI_Element_Map!$A$2:$A$287),COLUMNS($J59:AF59)),KPI_Master!$A:$A,0),SMALL(IF(KPI_Element_Map!$E$2:$E$287=$A59,KPI_Element_Map!$A$2:$A$287),COLUMNS($J59:AF59))),"")</f>
        <v/>
      </c>
      <c r="AG59" s="25" t="str">
        <f t="array" ref="AG59">IFERROR(HYPERLINK("#KPI_Master!A"&amp;MATCH(SMALL(IF(KPI_Element_Map!$E$2:$E$287=$A59,KPI_Element_Map!$A$2:$A$287),COLUMNS($J59:AG59)),KPI_Master!$A:$A,0)&amp;":P"&amp;MATCH(SMALL(IF(KPI_Element_Map!$E$2:$E$287=$A59,KPI_Element_Map!$A$2:$A$287),COLUMNS($J59:AG59)),KPI_Master!$A:$A,0),SMALL(IF(KPI_Element_Map!$E$2:$E$287=$A59,KPI_Element_Map!$A$2:$A$287),COLUMNS($J59:AG59))),"")</f>
        <v/>
      </c>
      <c r="AH59" s="25" t="str">
        <f t="array" ref="AH59">IFERROR(HYPERLINK("#KPI_Master!A"&amp;MATCH(SMALL(IF(KPI_Element_Map!$E$2:$E$287=$A59,KPI_Element_Map!$A$2:$A$287),COLUMNS($J59:AH59)),KPI_Master!$A:$A,0)&amp;":P"&amp;MATCH(SMALL(IF(KPI_Element_Map!$E$2:$E$287=$A59,KPI_Element_Map!$A$2:$A$287),COLUMNS($J59:AH59)),KPI_Master!$A:$A,0),SMALL(IF(KPI_Element_Map!$E$2:$E$287=$A59,KPI_Element_Map!$A$2:$A$287),COLUMNS($J59:AH59))),"")</f>
        <v/>
      </c>
    </row>
    <row r="60" spans="1:34">
      <c r="A60" s="21" t="s">
        <v>1122</v>
      </c>
      <c r="B60" s="22" t="s">
        <v>1123</v>
      </c>
      <c r="C60" s="23" t="s">
        <v>1124</v>
      </c>
      <c r="D60" s="23" t="str">
        <f t="array" ref="D60">_xlfn.TEXTJOIN(", ",TRUE(),IF(KPI_Element_Map!$E$2:$E$287=$A60,KPI_Element_Map!$A$2:$A$287,""))</f>
        <v>115</v>
      </c>
      <c r="E60" s="21">
        <f>COUNTIF(KPI_Element_Map!$E$2:$E$287,$A60)</f>
        <v>1</v>
      </c>
      <c r="F60" s="21">
        <f>COUNTIFS(KPI_Element_Map!$E$2:$E$287,$A60,KPI_Element_Map!$D$2:$D$287,"1 - Core")</f>
        <v>0</v>
      </c>
      <c r="G60" s="24" t="s">
        <v>1125</v>
      </c>
      <c r="H60" s="23" t="str">
        <f>INDEX(Minimum_Documents!$B:$B,MATCH($G60,Minimum_Documents!$A:$A,0))</f>
        <v>Utility Bills (consumption: kWh, therms, water)</v>
      </c>
      <c r="J60" s="25">
        <f t="array" ref="J60">IFERROR(HYPERLINK("#KPI_Master!A"&amp;MATCH(SMALL(IF(KPI_Element_Map!$E$2:$E$287=$A60,KPI_Element_Map!$A$2:$A$287),COLUMNS($J60:J60)),KPI_Master!$A:$A,0)&amp;":P"&amp;MATCH(SMALL(IF(KPI_Element_Map!$E$2:$E$287=$A60,KPI_Element_Map!$A$2:$A$287),COLUMNS($J60:J60)),KPI_Master!$A:$A,0),SMALL(IF(KPI_Element_Map!$E$2:$E$287=$A60,KPI_Element_Map!$A$2:$A$287),COLUMNS($J60:J60))),"")</f>
        <v>115</v>
      </c>
      <c r="K60" s="25" t="str">
        <f t="array" ref="K60">IFERROR(HYPERLINK("#KPI_Master!A"&amp;MATCH(SMALL(IF(KPI_Element_Map!$E$2:$E$287=$A60,KPI_Element_Map!$A$2:$A$287),COLUMNS($J60:K60)),KPI_Master!$A:$A,0)&amp;":P"&amp;MATCH(SMALL(IF(KPI_Element_Map!$E$2:$E$287=$A60,KPI_Element_Map!$A$2:$A$287),COLUMNS($J60:K60)),KPI_Master!$A:$A,0),SMALL(IF(KPI_Element_Map!$E$2:$E$287=$A60,KPI_Element_Map!$A$2:$A$287),COLUMNS($J60:K60))),"")</f>
        <v/>
      </c>
      <c r="L60" s="25" t="str">
        <f t="array" ref="L60">IFERROR(HYPERLINK("#KPI_Master!A"&amp;MATCH(SMALL(IF(KPI_Element_Map!$E$2:$E$287=$A60,KPI_Element_Map!$A$2:$A$287),COLUMNS($J60:L60)),KPI_Master!$A:$A,0)&amp;":P"&amp;MATCH(SMALL(IF(KPI_Element_Map!$E$2:$E$287=$A60,KPI_Element_Map!$A$2:$A$287),COLUMNS($J60:L60)),KPI_Master!$A:$A,0),SMALL(IF(KPI_Element_Map!$E$2:$E$287=$A60,KPI_Element_Map!$A$2:$A$287),COLUMNS($J60:L60))),"")</f>
        <v/>
      </c>
      <c r="M60" s="25" t="str">
        <f t="array" ref="M60">IFERROR(HYPERLINK("#KPI_Master!A"&amp;MATCH(SMALL(IF(KPI_Element_Map!$E$2:$E$287=$A60,KPI_Element_Map!$A$2:$A$287),COLUMNS($J60:M60)),KPI_Master!$A:$A,0)&amp;":P"&amp;MATCH(SMALL(IF(KPI_Element_Map!$E$2:$E$287=$A60,KPI_Element_Map!$A$2:$A$287),COLUMNS($J60:M60)),KPI_Master!$A:$A,0),SMALL(IF(KPI_Element_Map!$E$2:$E$287=$A60,KPI_Element_Map!$A$2:$A$287),COLUMNS($J60:M60))),"")</f>
        <v/>
      </c>
      <c r="N60" s="25" t="str">
        <f t="array" ref="N60">IFERROR(HYPERLINK("#KPI_Master!A"&amp;MATCH(SMALL(IF(KPI_Element_Map!$E$2:$E$287=$A60,KPI_Element_Map!$A$2:$A$287),COLUMNS($J60:N60)),KPI_Master!$A:$A,0)&amp;":P"&amp;MATCH(SMALL(IF(KPI_Element_Map!$E$2:$E$287=$A60,KPI_Element_Map!$A$2:$A$287),COLUMNS($J60:N60)),KPI_Master!$A:$A,0),SMALL(IF(KPI_Element_Map!$E$2:$E$287=$A60,KPI_Element_Map!$A$2:$A$287),COLUMNS($J60:N60))),"")</f>
        <v/>
      </c>
      <c r="O60" s="25" t="str">
        <f t="array" ref="O60">IFERROR(HYPERLINK("#KPI_Master!A"&amp;MATCH(SMALL(IF(KPI_Element_Map!$E$2:$E$287=$A60,KPI_Element_Map!$A$2:$A$287),COLUMNS($J60:O60)),KPI_Master!$A:$A,0)&amp;":P"&amp;MATCH(SMALL(IF(KPI_Element_Map!$E$2:$E$287=$A60,KPI_Element_Map!$A$2:$A$287),COLUMNS($J60:O60)),KPI_Master!$A:$A,0),SMALL(IF(KPI_Element_Map!$E$2:$E$287=$A60,KPI_Element_Map!$A$2:$A$287),COLUMNS($J60:O60))),"")</f>
        <v/>
      </c>
      <c r="P60" s="25" t="str">
        <f t="array" ref="P60">IFERROR(HYPERLINK("#KPI_Master!A"&amp;MATCH(SMALL(IF(KPI_Element_Map!$E$2:$E$287=$A60,KPI_Element_Map!$A$2:$A$287),COLUMNS($J60:P60)),KPI_Master!$A:$A,0)&amp;":P"&amp;MATCH(SMALL(IF(KPI_Element_Map!$E$2:$E$287=$A60,KPI_Element_Map!$A$2:$A$287),COLUMNS($J60:P60)),KPI_Master!$A:$A,0),SMALL(IF(KPI_Element_Map!$E$2:$E$287=$A60,KPI_Element_Map!$A$2:$A$287),COLUMNS($J60:P60))),"")</f>
        <v/>
      </c>
      <c r="Q60" s="25" t="str">
        <f t="array" ref="Q60">IFERROR(HYPERLINK("#KPI_Master!A"&amp;MATCH(SMALL(IF(KPI_Element_Map!$E$2:$E$287=$A60,KPI_Element_Map!$A$2:$A$287),COLUMNS($J60:Q60)),KPI_Master!$A:$A,0)&amp;":P"&amp;MATCH(SMALL(IF(KPI_Element_Map!$E$2:$E$287=$A60,KPI_Element_Map!$A$2:$A$287),COLUMNS($J60:Q60)),KPI_Master!$A:$A,0),SMALL(IF(KPI_Element_Map!$E$2:$E$287=$A60,KPI_Element_Map!$A$2:$A$287),COLUMNS($J60:Q60))),"")</f>
        <v/>
      </c>
      <c r="R60" s="25" t="str">
        <f t="array" ref="R60">IFERROR(HYPERLINK("#KPI_Master!A"&amp;MATCH(SMALL(IF(KPI_Element_Map!$E$2:$E$287=$A60,KPI_Element_Map!$A$2:$A$287),COLUMNS($J60:R60)),KPI_Master!$A:$A,0)&amp;":P"&amp;MATCH(SMALL(IF(KPI_Element_Map!$E$2:$E$287=$A60,KPI_Element_Map!$A$2:$A$287),COLUMNS($J60:R60)),KPI_Master!$A:$A,0),SMALL(IF(KPI_Element_Map!$E$2:$E$287=$A60,KPI_Element_Map!$A$2:$A$287),COLUMNS($J60:R60))),"")</f>
        <v/>
      </c>
      <c r="S60" s="25" t="str">
        <f t="array" ref="S60">IFERROR(HYPERLINK("#KPI_Master!A"&amp;MATCH(SMALL(IF(KPI_Element_Map!$E$2:$E$287=$A60,KPI_Element_Map!$A$2:$A$287),COLUMNS($J60:S60)),KPI_Master!$A:$A,0)&amp;":P"&amp;MATCH(SMALL(IF(KPI_Element_Map!$E$2:$E$287=$A60,KPI_Element_Map!$A$2:$A$287),COLUMNS($J60:S60)),KPI_Master!$A:$A,0),SMALL(IF(KPI_Element_Map!$E$2:$E$287=$A60,KPI_Element_Map!$A$2:$A$287),COLUMNS($J60:S60))),"")</f>
        <v/>
      </c>
      <c r="T60" s="25" t="str">
        <f t="array" ref="T60">IFERROR(HYPERLINK("#KPI_Master!A"&amp;MATCH(SMALL(IF(KPI_Element_Map!$E$2:$E$287=$A60,KPI_Element_Map!$A$2:$A$287),COLUMNS($J60:T60)),KPI_Master!$A:$A,0)&amp;":P"&amp;MATCH(SMALL(IF(KPI_Element_Map!$E$2:$E$287=$A60,KPI_Element_Map!$A$2:$A$287),COLUMNS($J60:T60)),KPI_Master!$A:$A,0),SMALL(IF(KPI_Element_Map!$E$2:$E$287=$A60,KPI_Element_Map!$A$2:$A$287),COLUMNS($J60:T60))),"")</f>
        <v/>
      </c>
      <c r="U60" s="25" t="str">
        <f t="array" ref="U60">IFERROR(HYPERLINK("#KPI_Master!A"&amp;MATCH(SMALL(IF(KPI_Element_Map!$E$2:$E$287=$A60,KPI_Element_Map!$A$2:$A$287),COLUMNS($J60:U60)),KPI_Master!$A:$A,0)&amp;":P"&amp;MATCH(SMALL(IF(KPI_Element_Map!$E$2:$E$287=$A60,KPI_Element_Map!$A$2:$A$287),COLUMNS($J60:U60)),KPI_Master!$A:$A,0),SMALL(IF(KPI_Element_Map!$E$2:$E$287=$A60,KPI_Element_Map!$A$2:$A$287),COLUMNS($J60:U60))),"")</f>
        <v/>
      </c>
      <c r="V60" s="25" t="str">
        <f t="array" ref="V60">IFERROR(HYPERLINK("#KPI_Master!A"&amp;MATCH(SMALL(IF(KPI_Element_Map!$E$2:$E$287=$A60,KPI_Element_Map!$A$2:$A$287),COLUMNS($J60:V60)),KPI_Master!$A:$A,0)&amp;":P"&amp;MATCH(SMALL(IF(KPI_Element_Map!$E$2:$E$287=$A60,KPI_Element_Map!$A$2:$A$287),COLUMNS($J60:V60)),KPI_Master!$A:$A,0),SMALL(IF(KPI_Element_Map!$E$2:$E$287=$A60,KPI_Element_Map!$A$2:$A$287),COLUMNS($J60:V60))),"")</f>
        <v/>
      </c>
      <c r="W60" s="25" t="str">
        <f t="array" ref="W60">IFERROR(HYPERLINK("#KPI_Master!A"&amp;MATCH(SMALL(IF(KPI_Element_Map!$E$2:$E$287=$A60,KPI_Element_Map!$A$2:$A$287),COLUMNS($J60:W60)),KPI_Master!$A:$A,0)&amp;":P"&amp;MATCH(SMALL(IF(KPI_Element_Map!$E$2:$E$287=$A60,KPI_Element_Map!$A$2:$A$287),COLUMNS($J60:W60)),KPI_Master!$A:$A,0),SMALL(IF(KPI_Element_Map!$E$2:$E$287=$A60,KPI_Element_Map!$A$2:$A$287),COLUMNS($J60:W60))),"")</f>
        <v/>
      </c>
      <c r="X60" s="25" t="str">
        <f t="array" ref="X60">IFERROR(HYPERLINK("#KPI_Master!A"&amp;MATCH(SMALL(IF(KPI_Element_Map!$E$2:$E$287=$A60,KPI_Element_Map!$A$2:$A$287),COLUMNS($J60:X60)),KPI_Master!$A:$A,0)&amp;":P"&amp;MATCH(SMALL(IF(KPI_Element_Map!$E$2:$E$287=$A60,KPI_Element_Map!$A$2:$A$287),COLUMNS($J60:X60)),KPI_Master!$A:$A,0),SMALL(IF(KPI_Element_Map!$E$2:$E$287=$A60,KPI_Element_Map!$A$2:$A$287),COLUMNS($J60:X60))),"")</f>
        <v/>
      </c>
      <c r="Y60" s="25" t="str">
        <f t="array" ref="Y60">IFERROR(HYPERLINK("#KPI_Master!A"&amp;MATCH(SMALL(IF(KPI_Element_Map!$E$2:$E$287=$A60,KPI_Element_Map!$A$2:$A$287),COLUMNS($J60:Y60)),KPI_Master!$A:$A,0)&amp;":P"&amp;MATCH(SMALL(IF(KPI_Element_Map!$E$2:$E$287=$A60,KPI_Element_Map!$A$2:$A$287),COLUMNS($J60:Y60)),KPI_Master!$A:$A,0),SMALL(IF(KPI_Element_Map!$E$2:$E$287=$A60,KPI_Element_Map!$A$2:$A$287),COLUMNS($J60:Y60))),"")</f>
        <v/>
      </c>
      <c r="Z60" s="25" t="str">
        <f t="array" ref="Z60">IFERROR(HYPERLINK("#KPI_Master!A"&amp;MATCH(SMALL(IF(KPI_Element_Map!$E$2:$E$287=$A60,KPI_Element_Map!$A$2:$A$287),COLUMNS($J60:Z60)),KPI_Master!$A:$A,0)&amp;":P"&amp;MATCH(SMALL(IF(KPI_Element_Map!$E$2:$E$287=$A60,KPI_Element_Map!$A$2:$A$287),COLUMNS($J60:Z60)),KPI_Master!$A:$A,0),SMALL(IF(KPI_Element_Map!$E$2:$E$287=$A60,KPI_Element_Map!$A$2:$A$287),COLUMNS($J60:Z60))),"")</f>
        <v/>
      </c>
      <c r="AA60" s="25" t="str">
        <f t="array" ref="AA60">IFERROR(HYPERLINK("#KPI_Master!A"&amp;MATCH(SMALL(IF(KPI_Element_Map!$E$2:$E$287=$A60,KPI_Element_Map!$A$2:$A$287),COLUMNS($J60:AA60)),KPI_Master!$A:$A,0)&amp;":P"&amp;MATCH(SMALL(IF(KPI_Element_Map!$E$2:$E$287=$A60,KPI_Element_Map!$A$2:$A$287),COLUMNS($J60:AA60)),KPI_Master!$A:$A,0),SMALL(IF(KPI_Element_Map!$E$2:$E$287=$A60,KPI_Element_Map!$A$2:$A$287),COLUMNS($J60:AA60))),"")</f>
        <v/>
      </c>
      <c r="AB60" s="25" t="str">
        <f t="array" ref="AB60">IFERROR(HYPERLINK("#KPI_Master!A"&amp;MATCH(SMALL(IF(KPI_Element_Map!$E$2:$E$287=$A60,KPI_Element_Map!$A$2:$A$287),COLUMNS($J60:AB60)),KPI_Master!$A:$A,0)&amp;":P"&amp;MATCH(SMALL(IF(KPI_Element_Map!$E$2:$E$287=$A60,KPI_Element_Map!$A$2:$A$287),COLUMNS($J60:AB60)),KPI_Master!$A:$A,0),SMALL(IF(KPI_Element_Map!$E$2:$E$287=$A60,KPI_Element_Map!$A$2:$A$287),COLUMNS($J60:AB60))),"")</f>
        <v/>
      </c>
      <c r="AC60" s="25" t="str">
        <f t="array" ref="AC60">IFERROR(HYPERLINK("#KPI_Master!A"&amp;MATCH(SMALL(IF(KPI_Element_Map!$E$2:$E$287=$A60,KPI_Element_Map!$A$2:$A$287),COLUMNS($J60:AC60)),KPI_Master!$A:$A,0)&amp;":P"&amp;MATCH(SMALL(IF(KPI_Element_Map!$E$2:$E$287=$A60,KPI_Element_Map!$A$2:$A$287),COLUMNS($J60:AC60)),KPI_Master!$A:$A,0),SMALL(IF(KPI_Element_Map!$E$2:$E$287=$A60,KPI_Element_Map!$A$2:$A$287),COLUMNS($J60:AC60))),"")</f>
        <v/>
      </c>
      <c r="AD60" s="25" t="str">
        <f t="array" ref="AD60">IFERROR(HYPERLINK("#KPI_Master!A"&amp;MATCH(SMALL(IF(KPI_Element_Map!$E$2:$E$287=$A60,KPI_Element_Map!$A$2:$A$287),COLUMNS($J60:AD60)),KPI_Master!$A:$A,0)&amp;":P"&amp;MATCH(SMALL(IF(KPI_Element_Map!$E$2:$E$287=$A60,KPI_Element_Map!$A$2:$A$287),COLUMNS($J60:AD60)),KPI_Master!$A:$A,0),SMALL(IF(KPI_Element_Map!$E$2:$E$287=$A60,KPI_Element_Map!$A$2:$A$287),COLUMNS($J60:AD60))),"")</f>
        <v/>
      </c>
      <c r="AE60" s="25" t="str">
        <f t="array" ref="AE60">IFERROR(HYPERLINK("#KPI_Master!A"&amp;MATCH(SMALL(IF(KPI_Element_Map!$E$2:$E$287=$A60,KPI_Element_Map!$A$2:$A$287),COLUMNS($J60:AE60)),KPI_Master!$A:$A,0)&amp;":P"&amp;MATCH(SMALL(IF(KPI_Element_Map!$E$2:$E$287=$A60,KPI_Element_Map!$A$2:$A$287),COLUMNS($J60:AE60)),KPI_Master!$A:$A,0),SMALL(IF(KPI_Element_Map!$E$2:$E$287=$A60,KPI_Element_Map!$A$2:$A$287),COLUMNS($J60:AE60))),"")</f>
        <v/>
      </c>
      <c r="AF60" s="25" t="str">
        <f t="array" ref="AF60">IFERROR(HYPERLINK("#KPI_Master!A"&amp;MATCH(SMALL(IF(KPI_Element_Map!$E$2:$E$287=$A60,KPI_Element_Map!$A$2:$A$287),COLUMNS($J60:AF60)),KPI_Master!$A:$A,0)&amp;":P"&amp;MATCH(SMALL(IF(KPI_Element_Map!$E$2:$E$287=$A60,KPI_Element_Map!$A$2:$A$287),COLUMNS($J60:AF60)),KPI_Master!$A:$A,0),SMALL(IF(KPI_Element_Map!$E$2:$E$287=$A60,KPI_Element_Map!$A$2:$A$287),COLUMNS($J60:AF60))),"")</f>
        <v/>
      </c>
      <c r="AG60" s="25" t="str">
        <f t="array" ref="AG60">IFERROR(HYPERLINK("#KPI_Master!A"&amp;MATCH(SMALL(IF(KPI_Element_Map!$E$2:$E$287=$A60,KPI_Element_Map!$A$2:$A$287),COLUMNS($J60:AG60)),KPI_Master!$A:$A,0)&amp;":P"&amp;MATCH(SMALL(IF(KPI_Element_Map!$E$2:$E$287=$A60,KPI_Element_Map!$A$2:$A$287),COLUMNS($J60:AG60)),KPI_Master!$A:$A,0),SMALL(IF(KPI_Element_Map!$E$2:$E$287=$A60,KPI_Element_Map!$A$2:$A$287),COLUMNS($J60:AG60))),"")</f>
        <v/>
      </c>
      <c r="AH60" s="25" t="str">
        <f t="array" ref="AH60">IFERROR(HYPERLINK("#KPI_Master!A"&amp;MATCH(SMALL(IF(KPI_Element_Map!$E$2:$E$287=$A60,KPI_Element_Map!$A$2:$A$287),COLUMNS($J60:AH60)),KPI_Master!$A:$A,0)&amp;":P"&amp;MATCH(SMALL(IF(KPI_Element_Map!$E$2:$E$287=$A60,KPI_Element_Map!$A$2:$A$287),COLUMNS($J60:AH60)),KPI_Master!$A:$A,0),SMALL(IF(KPI_Element_Map!$E$2:$E$287=$A60,KPI_Element_Map!$A$2:$A$287),COLUMNS($J60:AH60))),"")</f>
        <v/>
      </c>
    </row>
    <row r="61" spans="1:34" ht="42.75" customHeight="1">
      <c r="A61" s="21" t="s">
        <v>1126</v>
      </c>
      <c r="B61" s="22" t="s">
        <v>1127</v>
      </c>
      <c r="C61" s="23" t="s">
        <v>1128</v>
      </c>
      <c r="D61" s="23" t="str">
        <f t="array" ref="D61">_xlfn.TEXTJOIN(", ",TRUE(),IF(KPI_Element_Map!$E$2:$E$287=$A61,KPI_Element_Map!$A$2:$A$287,""))</f>
        <v>2, 3, 34, 113, 120, 164</v>
      </c>
      <c r="E61" s="21">
        <f>COUNTIF(KPI_Element_Map!$E$2:$E$287,$A61)</f>
        <v>6</v>
      </c>
      <c r="F61" s="21">
        <f>COUNTIFS(KPI_Element_Map!$E$2:$E$287,$A61,KPI_Element_Map!$D$2:$D$287,"1 - Core")</f>
        <v>0</v>
      </c>
      <c r="G61" s="24" t="s">
        <v>1129</v>
      </c>
      <c r="H61" s="23" t="str">
        <f>INDEX(Minimum_Documents!$B:$B,MATCH($G61,Minimum_Documents!$A:$A,0))</f>
        <v>AP Invoice Register coded by Department / Cost Centre</v>
      </c>
      <c r="J61" s="25">
        <f t="array" ref="J61">IFERROR(HYPERLINK("#KPI_Master!A"&amp;MATCH(SMALL(IF(KPI_Element_Map!$E$2:$E$287=$A61,KPI_Element_Map!$A$2:$A$287),COLUMNS($J61:J61)),KPI_Master!$A:$A,0)&amp;":P"&amp;MATCH(SMALL(IF(KPI_Element_Map!$E$2:$E$287=$A61,KPI_Element_Map!$A$2:$A$287),COLUMNS($J61:J61)),KPI_Master!$A:$A,0),SMALL(IF(KPI_Element_Map!$E$2:$E$287=$A61,KPI_Element_Map!$A$2:$A$287),COLUMNS($J61:J61))),"")</f>
        <v>2</v>
      </c>
      <c r="K61" s="25">
        <f t="array" ref="K61">IFERROR(HYPERLINK("#KPI_Master!A"&amp;MATCH(SMALL(IF(KPI_Element_Map!$E$2:$E$287=$A61,KPI_Element_Map!$A$2:$A$287),COLUMNS($J61:K61)),KPI_Master!$A:$A,0)&amp;":P"&amp;MATCH(SMALL(IF(KPI_Element_Map!$E$2:$E$287=$A61,KPI_Element_Map!$A$2:$A$287),COLUMNS($J61:K61)),KPI_Master!$A:$A,0),SMALL(IF(KPI_Element_Map!$E$2:$E$287=$A61,KPI_Element_Map!$A$2:$A$287),COLUMNS($J61:K61))),"")</f>
        <v>3</v>
      </c>
      <c r="L61" s="25">
        <f t="array" ref="L61">IFERROR(HYPERLINK("#KPI_Master!A"&amp;MATCH(SMALL(IF(KPI_Element_Map!$E$2:$E$287=$A61,KPI_Element_Map!$A$2:$A$287),COLUMNS($J61:L61)),KPI_Master!$A:$A,0)&amp;":P"&amp;MATCH(SMALL(IF(KPI_Element_Map!$E$2:$E$287=$A61,KPI_Element_Map!$A$2:$A$287),COLUMNS($J61:L61)),KPI_Master!$A:$A,0),SMALL(IF(KPI_Element_Map!$E$2:$E$287=$A61,KPI_Element_Map!$A$2:$A$287),COLUMNS($J61:L61))),"")</f>
        <v>34</v>
      </c>
      <c r="M61" s="25">
        <f t="array" ref="M61">IFERROR(HYPERLINK("#KPI_Master!A"&amp;MATCH(SMALL(IF(KPI_Element_Map!$E$2:$E$287=$A61,KPI_Element_Map!$A$2:$A$287),COLUMNS($J61:M61)),KPI_Master!$A:$A,0)&amp;":P"&amp;MATCH(SMALL(IF(KPI_Element_Map!$E$2:$E$287=$A61,KPI_Element_Map!$A$2:$A$287),COLUMNS($J61:M61)),KPI_Master!$A:$A,0),SMALL(IF(KPI_Element_Map!$E$2:$E$287=$A61,KPI_Element_Map!$A$2:$A$287),COLUMNS($J61:M61))),"")</f>
        <v>113</v>
      </c>
      <c r="N61" s="25">
        <f t="array" ref="N61">IFERROR(HYPERLINK("#KPI_Master!A"&amp;MATCH(SMALL(IF(KPI_Element_Map!$E$2:$E$287=$A61,KPI_Element_Map!$A$2:$A$287),COLUMNS($J61:N61)),KPI_Master!$A:$A,0)&amp;":P"&amp;MATCH(SMALL(IF(KPI_Element_Map!$E$2:$E$287=$A61,KPI_Element_Map!$A$2:$A$287),COLUMNS($J61:N61)),KPI_Master!$A:$A,0),SMALL(IF(KPI_Element_Map!$E$2:$E$287=$A61,KPI_Element_Map!$A$2:$A$287),COLUMNS($J61:N61))),"")</f>
        <v>120</v>
      </c>
      <c r="O61" s="25">
        <f t="array" ref="O61">IFERROR(HYPERLINK("#KPI_Master!A"&amp;MATCH(SMALL(IF(KPI_Element_Map!$E$2:$E$287=$A61,KPI_Element_Map!$A$2:$A$287),COLUMNS($J61:O61)),KPI_Master!$A:$A,0)&amp;":P"&amp;MATCH(SMALL(IF(KPI_Element_Map!$E$2:$E$287=$A61,KPI_Element_Map!$A$2:$A$287),COLUMNS($J61:O61)),KPI_Master!$A:$A,0),SMALL(IF(KPI_Element_Map!$E$2:$E$287=$A61,KPI_Element_Map!$A$2:$A$287),COLUMNS($J61:O61))),"")</f>
        <v>164</v>
      </c>
      <c r="P61" s="25" t="str">
        <f t="array" ref="P61">IFERROR(HYPERLINK("#KPI_Master!A"&amp;MATCH(SMALL(IF(KPI_Element_Map!$E$2:$E$287=$A61,KPI_Element_Map!$A$2:$A$287),COLUMNS($J61:P61)),KPI_Master!$A:$A,0)&amp;":P"&amp;MATCH(SMALL(IF(KPI_Element_Map!$E$2:$E$287=$A61,KPI_Element_Map!$A$2:$A$287),COLUMNS($J61:P61)),KPI_Master!$A:$A,0),SMALL(IF(KPI_Element_Map!$E$2:$E$287=$A61,KPI_Element_Map!$A$2:$A$287),COLUMNS($J61:P61))),"")</f>
        <v/>
      </c>
      <c r="Q61" s="25" t="str">
        <f t="array" ref="Q61">IFERROR(HYPERLINK("#KPI_Master!A"&amp;MATCH(SMALL(IF(KPI_Element_Map!$E$2:$E$287=$A61,KPI_Element_Map!$A$2:$A$287),COLUMNS($J61:Q61)),KPI_Master!$A:$A,0)&amp;":P"&amp;MATCH(SMALL(IF(KPI_Element_Map!$E$2:$E$287=$A61,KPI_Element_Map!$A$2:$A$287),COLUMNS($J61:Q61)),KPI_Master!$A:$A,0),SMALL(IF(KPI_Element_Map!$E$2:$E$287=$A61,KPI_Element_Map!$A$2:$A$287),COLUMNS($J61:Q61))),"")</f>
        <v/>
      </c>
      <c r="R61" s="25" t="str">
        <f t="array" ref="R61">IFERROR(HYPERLINK("#KPI_Master!A"&amp;MATCH(SMALL(IF(KPI_Element_Map!$E$2:$E$287=$A61,KPI_Element_Map!$A$2:$A$287),COLUMNS($J61:R61)),KPI_Master!$A:$A,0)&amp;":P"&amp;MATCH(SMALL(IF(KPI_Element_Map!$E$2:$E$287=$A61,KPI_Element_Map!$A$2:$A$287),COLUMNS($J61:R61)),KPI_Master!$A:$A,0),SMALL(IF(KPI_Element_Map!$E$2:$E$287=$A61,KPI_Element_Map!$A$2:$A$287),COLUMNS($J61:R61))),"")</f>
        <v/>
      </c>
      <c r="S61" s="25" t="str">
        <f t="array" ref="S61">IFERROR(HYPERLINK("#KPI_Master!A"&amp;MATCH(SMALL(IF(KPI_Element_Map!$E$2:$E$287=$A61,KPI_Element_Map!$A$2:$A$287),COLUMNS($J61:S61)),KPI_Master!$A:$A,0)&amp;":P"&amp;MATCH(SMALL(IF(KPI_Element_Map!$E$2:$E$287=$A61,KPI_Element_Map!$A$2:$A$287),COLUMNS($J61:S61)),KPI_Master!$A:$A,0),SMALL(IF(KPI_Element_Map!$E$2:$E$287=$A61,KPI_Element_Map!$A$2:$A$287),COLUMNS($J61:S61))),"")</f>
        <v/>
      </c>
      <c r="T61" s="25" t="str">
        <f t="array" ref="T61">IFERROR(HYPERLINK("#KPI_Master!A"&amp;MATCH(SMALL(IF(KPI_Element_Map!$E$2:$E$287=$A61,KPI_Element_Map!$A$2:$A$287),COLUMNS($J61:T61)),KPI_Master!$A:$A,0)&amp;":P"&amp;MATCH(SMALL(IF(KPI_Element_Map!$E$2:$E$287=$A61,KPI_Element_Map!$A$2:$A$287),COLUMNS($J61:T61)),KPI_Master!$A:$A,0),SMALL(IF(KPI_Element_Map!$E$2:$E$287=$A61,KPI_Element_Map!$A$2:$A$287),COLUMNS($J61:T61))),"")</f>
        <v/>
      </c>
      <c r="U61" s="25" t="str">
        <f t="array" ref="U61">IFERROR(HYPERLINK("#KPI_Master!A"&amp;MATCH(SMALL(IF(KPI_Element_Map!$E$2:$E$287=$A61,KPI_Element_Map!$A$2:$A$287),COLUMNS($J61:U61)),KPI_Master!$A:$A,0)&amp;":P"&amp;MATCH(SMALL(IF(KPI_Element_Map!$E$2:$E$287=$A61,KPI_Element_Map!$A$2:$A$287),COLUMNS($J61:U61)),KPI_Master!$A:$A,0),SMALL(IF(KPI_Element_Map!$E$2:$E$287=$A61,KPI_Element_Map!$A$2:$A$287),COLUMNS($J61:U61))),"")</f>
        <v/>
      </c>
      <c r="V61" s="25" t="str">
        <f t="array" ref="V61">IFERROR(HYPERLINK("#KPI_Master!A"&amp;MATCH(SMALL(IF(KPI_Element_Map!$E$2:$E$287=$A61,KPI_Element_Map!$A$2:$A$287),COLUMNS($J61:V61)),KPI_Master!$A:$A,0)&amp;":P"&amp;MATCH(SMALL(IF(KPI_Element_Map!$E$2:$E$287=$A61,KPI_Element_Map!$A$2:$A$287),COLUMNS($J61:V61)),KPI_Master!$A:$A,0),SMALL(IF(KPI_Element_Map!$E$2:$E$287=$A61,KPI_Element_Map!$A$2:$A$287),COLUMNS($J61:V61))),"")</f>
        <v/>
      </c>
      <c r="W61" s="25" t="str">
        <f t="array" ref="W61">IFERROR(HYPERLINK("#KPI_Master!A"&amp;MATCH(SMALL(IF(KPI_Element_Map!$E$2:$E$287=$A61,KPI_Element_Map!$A$2:$A$287),COLUMNS($J61:W61)),KPI_Master!$A:$A,0)&amp;":P"&amp;MATCH(SMALL(IF(KPI_Element_Map!$E$2:$E$287=$A61,KPI_Element_Map!$A$2:$A$287),COLUMNS($J61:W61)),KPI_Master!$A:$A,0),SMALL(IF(KPI_Element_Map!$E$2:$E$287=$A61,KPI_Element_Map!$A$2:$A$287),COLUMNS($J61:W61))),"")</f>
        <v/>
      </c>
      <c r="X61" s="25" t="str">
        <f t="array" ref="X61">IFERROR(HYPERLINK("#KPI_Master!A"&amp;MATCH(SMALL(IF(KPI_Element_Map!$E$2:$E$287=$A61,KPI_Element_Map!$A$2:$A$287),COLUMNS($J61:X61)),KPI_Master!$A:$A,0)&amp;":P"&amp;MATCH(SMALL(IF(KPI_Element_Map!$E$2:$E$287=$A61,KPI_Element_Map!$A$2:$A$287),COLUMNS($J61:X61)),KPI_Master!$A:$A,0),SMALL(IF(KPI_Element_Map!$E$2:$E$287=$A61,KPI_Element_Map!$A$2:$A$287),COLUMNS($J61:X61))),"")</f>
        <v/>
      </c>
      <c r="Y61" s="25" t="str">
        <f t="array" ref="Y61">IFERROR(HYPERLINK("#KPI_Master!A"&amp;MATCH(SMALL(IF(KPI_Element_Map!$E$2:$E$287=$A61,KPI_Element_Map!$A$2:$A$287),COLUMNS($J61:Y61)),KPI_Master!$A:$A,0)&amp;":P"&amp;MATCH(SMALL(IF(KPI_Element_Map!$E$2:$E$287=$A61,KPI_Element_Map!$A$2:$A$287),COLUMNS($J61:Y61)),KPI_Master!$A:$A,0),SMALL(IF(KPI_Element_Map!$E$2:$E$287=$A61,KPI_Element_Map!$A$2:$A$287),COLUMNS($J61:Y61))),"")</f>
        <v/>
      </c>
      <c r="Z61" s="25" t="str">
        <f t="array" ref="Z61">IFERROR(HYPERLINK("#KPI_Master!A"&amp;MATCH(SMALL(IF(KPI_Element_Map!$E$2:$E$287=$A61,KPI_Element_Map!$A$2:$A$287),COLUMNS($J61:Z61)),KPI_Master!$A:$A,0)&amp;":P"&amp;MATCH(SMALL(IF(KPI_Element_Map!$E$2:$E$287=$A61,KPI_Element_Map!$A$2:$A$287),COLUMNS($J61:Z61)),KPI_Master!$A:$A,0),SMALL(IF(KPI_Element_Map!$E$2:$E$287=$A61,KPI_Element_Map!$A$2:$A$287),COLUMNS($J61:Z61))),"")</f>
        <v/>
      </c>
      <c r="AA61" s="25" t="str">
        <f t="array" ref="AA61">IFERROR(HYPERLINK("#KPI_Master!A"&amp;MATCH(SMALL(IF(KPI_Element_Map!$E$2:$E$287=$A61,KPI_Element_Map!$A$2:$A$287),COLUMNS($J61:AA61)),KPI_Master!$A:$A,0)&amp;":P"&amp;MATCH(SMALL(IF(KPI_Element_Map!$E$2:$E$287=$A61,KPI_Element_Map!$A$2:$A$287),COLUMNS($J61:AA61)),KPI_Master!$A:$A,0),SMALL(IF(KPI_Element_Map!$E$2:$E$287=$A61,KPI_Element_Map!$A$2:$A$287),COLUMNS($J61:AA61))),"")</f>
        <v/>
      </c>
      <c r="AB61" s="25" t="str">
        <f t="array" ref="AB61">IFERROR(HYPERLINK("#KPI_Master!A"&amp;MATCH(SMALL(IF(KPI_Element_Map!$E$2:$E$287=$A61,KPI_Element_Map!$A$2:$A$287),COLUMNS($J61:AB61)),KPI_Master!$A:$A,0)&amp;":P"&amp;MATCH(SMALL(IF(KPI_Element_Map!$E$2:$E$287=$A61,KPI_Element_Map!$A$2:$A$287),COLUMNS($J61:AB61)),KPI_Master!$A:$A,0),SMALL(IF(KPI_Element_Map!$E$2:$E$287=$A61,KPI_Element_Map!$A$2:$A$287),COLUMNS($J61:AB61))),"")</f>
        <v/>
      </c>
      <c r="AC61" s="25" t="str">
        <f t="array" ref="AC61">IFERROR(HYPERLINK("#KPI_Master!A"&amp;MATCH(SMALL(IF(KPI_Element_Map!$E$2:$E$287=$A61,KPI_Element_Map!$A$2:$A$287),COLUMNS($J61:AC61)),KPI_Master!$A:$A,0)&amp;":P"&amp;MATCH(SMALL(IF(KPI_Element_Map!$E$2:$E$287=$A61,KPI_Element_Map!$A$2:$A$287),COLUMNS($J61:AC61)),KPI_Master!$A:$A,0),SMALL(IF(KPI_Element_Map!$E$2:$E$287=$A61,KPI_Element_Map!$A$2:$A$287),COLUMNS($J61:AC61))),"")</f>
        <v/>
      </c>
      <c r="AD61" s="25" t="str">
        <f t="array" ref="AD61">IFERROR(HYPERLINK("#KPI_Master!A"&amp;MATCH(SMALL(IF(KPI_Element_Map!$E$2:$E$287=$A61,KPI_Element_Map!$A$2:$A$287),COLUMNS($J61:AD61)),KPI_Master!$A:$A,0)&amp;":P"&amp;MATCH(SMALL(IF(KPI_Element_Map!$E$2:$E$287=$A61,KPI_Element_Map!$A$2:$A$287),COLUMNS($J61:AD61)),KPI_Master!$A:$A,0),SMALL(IF(KPI_Element_Map!$E$2:$E$287=$A61,KPI_Element_Map!$A$2:$A$287),COLUMNS($J61:AD61))),"")</f>
        <v/>
      </c>
      <c r="AE61" s="25" t="str">
        <f t="array" ref="AE61">IFERROR(HYPERLINK("#KPI_Master!A"&amp;MATCH(SMALL(IF(KPI_Element_Map!$E$2:$E$287=$A61,KPI_Element_Map!$A$2:$A$287),COLUMNS($J61:AE61)),KPI_Master!$A:$A,0)&amp;":P"&amp;MATCH(SMALL(IF(KPI_Element_Map!$E$2:$E$287=$A61,KPI_Element_Map!$A$2:$A$287),COLUMNS($J61:AE61)),KPI_Master!$A:$A,0),SMALL(IF(KPI_Element_Map!$E$2:$E$287=$A61,KPI_Element_Map!$A$2:$A$287),COLUMNS($J61:AE61))),"")</f>
        <v/>
      </c>
      <c r="AF61" s="25" t="str">
        <f t="array" ref="AF61">IFERROR(HYPERLINK("#KPI_Master!A"&amp;MATCH(SMALL(IF(KPI_Element_Map!$E$2:$E$287=$A61,KPI_Element_Map!$A$2:$A$287),COLUMNS($J61:AF61)),KPI_Master!$A:$A,0)&amp;":P"&amp;MATCH(SMALL(IF(KPI_Element_Map!$E$2:$E$287=$A61,KPI_Element_Map!$A$2:$A$287),COLUMNS($J61:AF61)),KPI_Master!$A:$A,0),SMALL(IF(KPI_Element_Map!$E$2:$E$287=$A61,KPI_Element_Map!$A$2:$A$287),COLUMNS($J61:AF61))),"")</f>
        <v/>
      </c>
      <c r="AG61" s="25" t="str">
        <f t="array" ref="AG61">IFERROR(HYPERLINK("#KPI_Master!A"&amp;MATCH(SMALL(IF(KPI_Element_Map!$E$2:$E$287=$A61,KPI_Element_Map!$A$2:$A$287),COLUMNS($J61:AG61)),KPI_Master!$A:$A,0)&amp;":P"&amp;MATCH(SMALL(IF(KPI_Element_Map!$E$2:$E$287=$A61,KPI_Element_Map!$A$2:$A$287),COLUMNS($J61:AG61)),KPI_Master!$A:$A,0),SMALL(IF(KPI_Element_Map!$E$2:$E$287=$A61,KPI_Element_Map!$A$2:$A$287),COLUMNS($J61:AG61))),"")</f>
        <v/>
      </c>
      <c r="AH61" s="25" t="str">
        <f t="array" ref="AH61">IFERROR(HYPERLINK("#KPI_Master!A"&amp;MATCH(SMALL(IF(KPI_Element_Map!$E$2:$E$287=$A61,KPI_Element_Map!$A$2:$A$287),COLUMNS($J61:AH61)),KPI_Master!$A:$A,0)&amp;":P"&amp;MATCH(SMALL(IF(KPI_Element_Map!$E$2:$E$287=$A61,KPI_Element_Map!$A$2:$A$287),COLUMNS($J61:AH61)),KPI_Master!$A:$A,0),SMALL(IF(KPI_Element_Map!$E$2:$E$287=$A61,KPI_Element_Map!$A$2:$A$287),COLUMNS($J61:AH61))),"")</f>
        <v/>
      </c>
    </row>
    <row r="62" spans="1:34" ht="42.75" customHeight="1">
      <c r="A62" s="21" t="s">
        <v>1130</v>
      </c>
      <c r="B62" s="22" t="s">
        <v>1131</v>
      </c>
      <c r="C62" s="23" t="s">
        <v>1132</v>
      </c>
      <c r="D62" s="23" t="str">
        <f t="array" ref="D62">_xlfn.TEXTJOIN(", ",TRUE(),IF(KPI_Element_Map!$E$2:$E$287=$A62,KPI_Element_Map!$A$2:$A$287,""))</f>
        <v>1, 2, 3, 10</v>
      </c>
      <c r="E62" s="21">
        <f>COUNTIF(KPI_Element_Map!$E$2:$E$287,$A62)</f>
        <v>4</v>
      </c>
      <c r="F62" s="21">
        <f>COUNTIFS(KPI_Element_Map!$E$2:$E$287,$A62,KPI_Element_Map!$D$2:$D$287,"1 - Core")</f>
        <v>1</v>
      </c>
      <c r="G62" s="24" t="s">
        <v>975</v>
      </c>
      <c r="H62" s="23" t="str">
        <f>INDEX(Minimum_Documents!$B:$B,MATCH($G62,Minimum_Documents!$A:$A,0))</f>
        <v>Monthly Financial Statement Package - consolidated (P&amp;L with budget, balance sheet, cash flow, trial balance; no department split needed)</v>
      </c>
      <c r="J62" s="25">
        <f t="array" ref="J62">IFERROR(HYPERLINK("#KPI_Master!A"&amp;MATCH(SMALL(IF(KPI_Element_Map!$E$2:$E$287=$A62,KPI_Element_Map!$A$2:$A$287),COLUMNS($J62:J62)),KPI_Master!$A:$A,0)&amp;":P"&amp;MATCH(SMALL(IF(KPI_Element_Map!$E$2:$E$287=$A62,KPI_Element_Map!$A$2:$A$287),COLUMNS($J62:J62)),KPI_Master!$A:$A,0),SMALL(IF(KPI_Element_Map!$E$2:$E$287=$A62,KPI_Element_Map!$A$2:$A$287),COLUMNS($J62:J62))),"")</f>
        <v>1</v>
      </c>
      <c r="K62" s="25">
        <f t="array" ref="K62">IFERROR(HYPERLINK("#KPI_Master!A"&amp;MATCH(SMALL(IF(KPI_Element_Map!$E$2:$E$287=$A62,KPI_Element_Map!$A$2:$A$287),COLUMNS($J62:K62)),KPI_Master!$A:$A,0)&amp;":P"&amp;MATCH(SMALL(IF(KPI_Element_Map!$E$2:$E$287=$A62,KPI_Element_Map!$A$2:$A$287),COLUMNS($J62:K62)),KPI_Master!$A:$A,0),SMALL(IF(KPI_Element_Map!$E$2:$E$287=$A62,KPI_Element_Map!$A$2:$A$287),COLUMNS($J62:K62))),"")</f>
        <v>2</v>
      </c>
      <c r="L62" s="25">
        <f t="array" ref="L62">IFERROR(HYPERLINK("#KPI_Master!A"&amp;MATCH(SMALL(IF(KPI_Element_Map!$E$2:$E$287=$A62,KPI_Element_Map!$A$2:$A$287),COLUMNS($J62:L62)),KPI_Master!$A:$A,0)&amp;":P"&amp;MATCH(SMALL(IF(KPI_Element_Map!$E$2:$E$287=$A62,KPI_Element_Map!$A$2:$A$287),COLUMNS($J62:L62)),KPI_Master!$A:$A,0),SMALL(IF(KPI_Element_Map!$E$2:$E$287=$A62,KPI_Element_Map!$A$2:$A$287),COLUMNS($J62:L62))),"")</f>
        <v>3</v>
      </c>
      <c r="M62" s="25">
        <f t="array" ref="M62">IFERROR(HYPERLINK("#KPI_Master!A"&amp;MATCH(SMALL(IF(KPI_Element_Map!$E$2:$E$287=$A62,KPI_Element_Map!$A$2:$A$287),COLUMNS($J62:M62)),KPI_Master!$A:$A,0)&amp;":P"&amp;MATCH(SMALL(IF(KPI_Element_Map!$E$2:$E$287=$A62,KPI_Element_Map!$A$2:$A$287),COLUMNS($J62:M62)),KPI_Master!$A:$A,0),SMALL(IF(KPI_Element_Map!$E$2:$E$287=$A62,KPI_Element_Map!$A$2:$A$287),COLUMNS($J62:M62))),"")</f>
        <v>10</v>
      </c>
      <c r="N62" s="25" t="str">
        <f t="array" ref="N62">IFERROR(HYPERLINK("#KPI_Master!A"&amp;MATCH(SMALL(IF(KPI_Element_Map!$E$2:$E$287=$A62,KPI_Element_Map!$A$2:$A$287),COLUMNS($J62:N62)),KPI_Master!$A:$A,0)&amp;":P"&amp;MATCH(SMALL(IF(KPI_Element_Map!$E$2:$E$287=$A62,KPI_Element_Map!$A$2:$A$287),COLUMNS($J62:N62)),KPI_Master!$A:$A,0),SMALL(IF(KPI_Element_Map!$E$2:$E$287=$A62,KPI_Element_Map!$A$2:$A$287),COLUMNS($J62:N62))),"")</f>
        <v/>
      </c>
      <c r="O62" s="25" t="str">
        <f t="array" ref="O62">IFERROR(HYPERLINK("#KPI_Master!A"&amp;MATCH(SMALL(IF(KPI_Element_Map!$E$2:$E$287=$A62,KPI_Element_Map!$A$2:$A$287),COLUMNS($J62:O62)),KPI_Master!$A:$A,0)&amp;":P"&amp;MATCH(SMALL(IF(KPI_Element_Map!$E$2:$E$287=$A62,KPI_Element_Map!$A$2:$A$287),COLUMNS($J62:O62)),KPI_Master!$A:$A,0),SMALL(IF(KPI_Element_Map!$E$2:$E$287=$A62,KPI_Element_Map!$A$2:$A$287),COLUMNS($J62:O62))),"")</f>
        <v/>
      </c>
      <c r="P62" s="25" t="str">
        <f t="array" ref="P62">IFERROR(HYPERLINK("#KPI_Master!A"&amp;MATCH(SMALL(IF(KPI_Element_Map!$E$2:$E$287=$A62,KPI_Element_Map!$A$2:$A$287),COLUMNS($J62:P62)),KPI_Master!$A:$A,0)&amp;":P"&amp;MATCH(SMALL(IF(KPI_Element_Map!$E$2:$E$287=$A62,KPI_Element_Map!$A$2:$A$287),COLUMNS($J62:P62)),KPI_Master!$A:$A,0),SMALL(IF(KPI_Element_Map!$E$2:$E$287=$A62,KPI_Element_Map!$A$2:$A$287),COLUMNS($J62:P62))),"")</f>
        <v/>
      </c>
      <c r="Q62" s="25" t="str">
        <f t="array" ref="Q62">IFERROR(HYPERLINK("#KPI_Master!A"&amp;MATCH(SMALL(IF(KPI_Element_Map!$E$2:$E$287=$A62,KPI_Element_Map!$A$2:$A$287),COLUMNS($J62:Q62)),KPI_Master!$A:$A,0)&amp;":P"&amp;MATCH(SMALL(IF(KPI_Element_Map!$E$2:$E$287=$A62,KPI_Element_Map!$A$2:$A$287),COLUMNS($J62:Q62)),KPI_Master!$A:$A,0),SMALL(IF(KPI_Element_Map!$E$2:$E$287=$A62,KPI_Element_Map!$A$2:$A$287),COLUMNS($J62:Q62))),"")</f>
        <v/>
      </c>
      <c r="R62" s="25" t="str">
        <f t="array" ref="R62">IFERROR(HYPERLINK("#KPI_Master!A"&amp;MATCH(SMALL(IF(KPI_Element_Map!$E$2:$E$287=$A62,KPI_Element_Map!$A$2:$A$287),COLUMNS($J62:R62)),KPI_Master!$A:$A,0)&amp;":P"&amp;MATCH(SMALL(IF(KPI_Element_Map!$E$2:$E$287=$A62,KPI_Element_Map!$A$2:$A$287),COLUMNS($J62:R62)),KPI_Master!$A:$A,0),SMALL(IF(KPI_Element_Map!$E$2:$E$287=$A62,KPI_Element_Map!$A$2:$A$287),COLUMNS($J62:R62))),"")</f>
        <v/>
      </c>
      <c r="S62" s="25" t="str">
        <f t="array" ref="S62">IFERROR(HYPERLINK("#KPI_Master!A"&amp;MATCH(SMALL(IF(KPI_Element_Map!$E$2:$E$287=$A62,KPI_Element_Map!$A$2:$A$287),COLUMNS($J62:S62)),KPI_Master!$A:$A,0)&amp;":P"&amp;MATCH(SMALL(IF(KPI_Element_Map!$E$2:$E$287=$A62,KPI_Element_Map!$A$2:$A$287),COLUMNS($J62:S62)),KPI_Master!$A:$A,0),SMALL(IF(KPI_Element_Map!$E$2:$E$287=$A62,KPI_Element_Map!$A$2:$A$287),COLUMNS($J62:S62))),"")</f>
        <v/>
      </c>
      <c r="T62" s="25" t="str">
        <f t="array" ref="T62">IFERROR(HYPERLINK("#KPI_Master!A"&amp;MATCH(SMALL(IF(KPI_Element_Map!$E$2:$E$287=$A62,KPI_Element_Map!$A$2:$A$287),COLUMNS($J62:T62)),KPI_Master!$A:$A,0)&amp;":P"&amp;MATCH(SMALL(IF(KPI_Element_Map!$E$2:$E$287=$A62,KPI_Element_Map!$A$2:$A$287),COLUMNS($J62:T62)),KPI_Master!$A:$A,0),SMALL(IF(KPI_Element_Map!$E$2:$E$287=$A62,KPI_Element_Map!$A$2:$A$287),COLUMNS($J62:T62))),"")</f>
        <v/>
      </c>
      <c r="U62" s="25" t="str">
        <f t="array" ref="U62">IFERROR(HYPERLINK("#KPI_Master!A"&amp;MATCH(SMALL(IF(KPI_Element_Map!$E$2:$E$287=$A62,KPI_Element_Map!$A$2:$A$287),COLUMNS($J62:U62)),KPI_Master!$A:$A,0)&amp;":P"&amp;MATCH(SMALL(IF(KPI_Element_Map!$E$2:$E$287=$A62,KPI_Element_Map!$A$2:$A$287),COLUMNS($J62:U62)),KPI_Master!$A:$A,0),SMALL(IF(KPI_Element_Map!$E$2:$E$287=$A62,KPI_Element_Map!$A$2:$A$287),COLUMNS($J62:U62))),"")</f>
        <v/>
      </c>
      <c r="V62" s="25" t="str">
        <f t="array" ref="V62">IFERROR(HYPERLINK("#KPI_Master!A"&amp;MATCH(SMALL(IF(KPI_Element_Map!$E$2:$E$287=$A62,KPI_Element_Map!$A$2:$A$287),COLUMNS($J62:V62)),KPI_Master!$A:$A,0)&amp;":P"&amp;MATCH(SMALL(IF(KPI_Element_Map!$E$2:$E$287=$A62,KPI_Element_Map!$A$2:$A$287),COLUMNS($J62:V62)),KPI_Master!$A:$A,0),SMALL(IF(KPI_Element_Map!$E$2:$E$287=$A62,KPI_Element_Map!$A$2:$A$287),COLUMNS($J62:V62))),"")</f>
        <v/>
      </c>
      <c r="W62" s="25" t="str">
        <f t="array" ref="W62">IFERROR(HYPERLINK("#KPI_Master!A"&amp;MATCH(SMALL(IF(KPI_Element_Map!$E$2:$E$287=$A62,KPI_Element_Map!$A$2:$A$287),COLUMNS($J62:W62)),KPI_Master!$A:$A,0)&amp;":P"&amp;MATCH(SMALL(IF(KPI_Element_Map!$E$2:$E$287=$A62,KPI_Element_Map!$A$2:$A$287),COLUMNS($J62:W62)),KPI_Master!$A:$A,0),SMALL(IF(KPI_Element_Map!$E$2:$E$287=$A62,KPI_Element_Map!$A$2:$A$287),COLUMNS($J62:W62))),"")</f>
        <v/>
      </c>
      <c r="X62" s="25" t="str">
        <f t="array" ref="X62">IFERROR(HYPERLINK("#KPI_Master!A"&amp;MATCH(SMALL(IF(KPI_Element_Map!$E$2:$E$287=$A62,KPI_Element_Map!$A$2:$A$287),COLUMNS($J62:X62)),KPI_Master!$A:$A,0)&amp;":P"&amp;MATCH(SMALL(IF(KPI_Element_Map!$E$2:$E$287=$A62,KPI_Element_Map!$A$2:$A$287),COLUMNS($J62:X62)),KPI_Master!$A:$A,0),SMALL(IF(KPI_Element_Map!$E$2:$E$287=$A62,KPI_Element_Map!$A$2:$A$287),COLUMNS($J62:X62))),"")</f>
        <v/>
      </c>
      <c r="Y62" s="25" t="str">
        <f t="array" ref="Y62">IFERROR(HYPERLINK("#KPI_Master!A"&amp;MATCH(SMALL(IF(KPI_Element_Map!$E$2:$E$287=$A62,KPI_Element_Map!$A$2:$A$287),COLUMNS($J62:Y62)),KPI_Master!$A:$A,0)&amp;":P"&amp;MATCH(SMALL(IF(KPI_Element_Map!$E$2:$E$287=$A62,KPI_Element_Map!$A$2:$A$287),COLUMNS($J62:Y62)),KPI_Master!$A:$A,0),SMALL(IF(KPI_Element_Map!$E$2:$E$287=$A62,KPI_Element_Map!$A$2:$A$287),COLUMNS($J62:Y62))),"")</f>
        <v/>
      </c>
      <c r="Z62" s="25" t="str">
        <f t="array" ref="Z62">IFERROR(HYPERLINK("#KPI_Master!A"&amp;MATCH(SMALL(IF(KPI_Element_Map!$E$2:$E$287=$A62,KPI_Element_Map!$A$2:$A$287),COLUMNS($J62:Z62)),KPI_Master!$A:$A,0)&amp;":P"&amp;MATCH(SMALL(IF(KPI_Element_Map!$E$2:$E$287=$A62,KPI_Element_Map!$A$2:$A$287),COLUMNS($J62:Z62)),KPI_Master!$A:$A,0),SMALL(IF(KPI_Element_Map!$E$2:$E$287=$A62,KPI_Element_Map!$A$2:$A$287),COLUMNS($J62:Z62))),"")</f>
        <v/>
      </c>
      <c r="AA62" s="25" t="str">
        <f t="array" ref="AA62">IFERROR(HYPERLINK("#KPI_Master!A"&amp;MATCH(SMALL(IF(KPI_Element_Map!$E$2:$E$287=$A62,KPI_Element_Map!$A$2:$A$287),COLUMNS($J62:AA62)),KPI_Master!$A:$A,0)&amp;":P"&amp;MATCH(SMALL(IF(KPI_Element_Map!$E$2:$E$287=$A62,KPI_Element_Map!$A$2:$A$287),COLUMNS($J62:AA62)),KPI_Master!$A:$A,0),SMALL(IF(KPI_Element_Map!$E$2:$E$287=$A62,KPI_Element_Map!$A$2:$A$287),COLUMNS($J62:AA62))),"")</f>
        <v/>
      </c>
      <c r="AB62" s="25" t="str">
        <f t="array" ref="AB62">IFERROR(HYPERLINK("#KPI_Master!A"&amp;MATCH(SMALL(IF(KPI_Element_Map!$E$2:$E$287=$A62,KPI_Element_Map!$A$2:$A$287),COLUMNS($J62:AB62)),KPI_Master!$A:$A,0)&amp;":P"&amp;MATCH(SMALL(IF(KPI_Element_Map!$E$2:$E$287=$A62,KPI_Element_Map!$A$2:$A$287),COLUMNS($J62:AB62)),KPI_Master!$A:$A,0),SMALL(IF(KPI_Element_Map!$E$2:$E$287=$A62,KPI_Element_Map!$A$2:$A$287),COLUMNS($J62:AB62))),"")</f>
        <v/>
      </c>
      <c r="AC62" s="25" t="str">
        <f t="array" ref="AC62">IFERROR(HYPERLINK("#KPI_Master!A"&amp;MATCH(SMALL(IF(KPI_Element_Map!$E$2:$E$287=$A62,KPI_Element_Map!$A$2:$A$287),COLUMNS($J62:AC62)),KPI_Master!$A:$A,0)&amp;":P"&amp;MATCH(SMALL(IF(KPI_Element_Map!$E$2:$E$287=$A62,KPI_Element_Map!$A$2:$A$287),COLUMNS($J62:AC62)),KPI_Master!$A:$A,0),SMALL(IF(KPI_Element_Map!$E$2:$E$287=$A62,KPI_Element_Map!$A$2:$A$287),COLUMNS($J62:AC62))),"")</f>
        <v/>
      </c>
      <c r="AD62" s="25" t="str">
        <f t="array" ref="AD62">IFERROR(HYPERLINK("#KPI_Master!A"&amp;MATCH(SMALL(IF(KPI_Element_Map!$E$2:$E$287=$A62,KPI_Element_Map!$A$2:$A$287),COLUMNS($J62:AD62)),KPI_Master!$A:$A,0)&amp;":P"&amp;MATCH(SMALL(IF(KPI_Element_Map!$E$2:$E$287=$A62,KPI_Element_Map!$A$2:$A$287),COLUMNS($J62:AD62)),KPI_Master!$A:$A,0),SMALL(IF(KPI_Element_Map!$E$2:$E$287=$A62,KPI_Element_Map!$A$2:$A$287),COLUMNS($J62:AD62))),"")</f>
        <v/>
      </c>
      <c r="AE62" s="25" t="str">
        <f t="array" ref="AE62">IFERROR(HYPERLINK("#KPI_Master!A"&amp;MATCH(SMALL(IF(KPI_Element_Map!$E$2:$E$287=$A62,KPI_Element_Map!$A$2:$A$287),COLUMNS($J62:AE62)),KPI_Master!$A:$A,0)&amp;":P"&amp;MATCH(SMALL(IF(KPI_Element_Map!$E$2:$E$287=$A62,KPI_Element_Map!$A$2:$A$287),COLUMNS($J62:AE62)),KPI_Master!$A:$A,0),SMALL(IF(KPI_Element_Map!$E$2:$E$287=$A62,KPI_Element_Map!$A$2:$A$287),COLUMNS($J62:AE62))),"")</f>
        <v/>
      </c>
      <c r="AF62" s="25" t="str">
        <f t="array" ref="AF62">IFERROR(HYPERLINK("#KPI_Master!A"&amp;MATCH(SMALL(IF(KPI_Element_Map!$E$2:$E$287=$A62,KPI_Element_Map!$A$2:$A$287),COLUMNS($J62:AF62)),KPI_Master!$A:$A,0)&amp;":P"&amp;MATCH(SMALL(IF(KPI_Element_Map!$E$2:$E$287=$A62,KPI_Element_Map!$A$2:$A$287),COLUMNS($J62:AF62)),KPI_Master!$A:$A,0),SMALL(IF(KPI_Element_Map!$E$2:$E$287=$A62,KPI_Element_Map!$A$2:$A$287),COLUMNS($J62:AF62))),"")</f>
        <v/>
      </c>
      <c r="AG62" s="25" t="str">
        <f t="array" ref="AG62">IFERROR(HYPERLINK("#KPI_Master!A"&amp;MATCH(SMALL(IF(KPI_Element_Map!$E$2:$E$287=$A62,KPI_Element_Map!$A$2:$A$287),COLUMNS($J62:AG62)),KPI_Master!$A:$A,0)&amp;":P"&amp;MATCH(SMALL(IF(KPI_Element_Map!$E$2:$E$287=$A62,KPI_Element_Map!$A$2:$A$287),COLUMNS($J62:AG62)),KPI_Master!$A:$A,0),SMALL(IF(KPI_Element_Map!$E$2:$E$287=$A62,KPI_Element_Map!$A$2:$A$287),COLUMNS($J62:AG62))),"")</f>
        <v/>
      </c>
      <c r="AH62" s="25" t="str">
        <f t="array" ref="AH62">IFERROR(HYPERLINK("#KPI_Master!A"&amp;MATCH(SMALL(IF(KPI_Element_Map!$E$2:$E$287=$A62,KPI_Element_Map!$A$2:$A$287),COLUMNS($J62:AH62)),KPI_Master!$A:$A,0)&amp;":P"&amp;MATCH(SMALL(IF(KPI_Element_Map!$E$2:$E$287=$A62,KPI_Element_Map!$A$2:$A$287),COLUMNS($J62:AH62)),KPI_Master!$A:$A,0),SMALL(IF(KPI_Element_Map!$E$2:$E$287=$A62,KPI_Element_Map!$A$2:$A$287),COLUMNS($J62:AH62))),"")</f>
        <v/>
      </c>
    </row>
  </sheetData>
  <autoFilter ref="A4:H62" xr:uid="{00000000-0009-0000-0000-000002000000}"/>
  <mergeCells count="2">
    <mergeCell ref="A2:H2"/>
    <mergeCell ref="J4:AH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zoomScaleNormal="100" workbookViewId="0">
      <pane xSplit="2" ySplit="6" topLeftCell="C7" activePane="bottomRight" state="frozen"/>
      <selection pane="bottomRight" activeCell="B8" sqref="B8"/>
      <selection pane="bottomLeft" activeCell="A7" sqref="A7"/>
      <selection pane="topRight" activeCell="C1" sqref="C1"/>
    </sheetView>
  </sheetViews>
  <sheetFormatPr defaultColWidth="8.7109375" defaultRowHeight="14.45"/>
  <cols>
    <col min="1" max="1" width="9" customWidth="1"/>
    <col min="2" max="2" width="46" customWidth="1"/>
    <col min="3" max="3" width="26" customWidth="1"/>
    <col min="4" max="4" width="40" customWidth="1"/>
    <col min="5" max="5" width="60" customWidth="1"/>
    <col min="6" max="7" width="11" customWidth="1"/>
    <col min="8" max="8" width="12" customWidth="1"/>
    <col min="9" max="9" width="60" customWidth="1"/>
  </cols>
  <sheetData>
    <row r="1" spans="1:9" ht="17.25" customHeight="1">
      <c r="A1" s="19" t="s">
        <v>1133</v>
      </c>
    </row>
    <row r="2" spans="1:9">
      <c r="A2" s="26" t="s">
        <v>1134</v>
      </c>
      <c r="F2" s="27">
        <v>281</v>
      </c>
      <c r="G2" s="28" t="s">
        <v>1135</v>
      </c>
    </row>
    <row r="3" spans="1:9">
      <c r="A3" s="26" t="s">
        <v>1136</v>
      </c>
      <c r="F3" s="29">
        <f>COUNTA(A7:A37)</f>
        <v>31</v>
      </c>
      <c r="G3" s="26" t="s">
        <v>1137</v>
      </c>
      <c r="I3" s="29">
        <f>COUNTIF(KPI_Doc_Matrix!F2:F172,0)</f>
        <v>0</v>
      </c>
    </row>
    <row r="4" spans="1:9">
      <c r="A4" s="26" t="s">
        <v>1138</v>
      </c>
      <c r="F4" s="29">
        <f>COUNTIF(H7:H37,"Yes")</f>
        <v>19</v>
      </c>
    </row>
    <row r="6" spans="1:9" ht="43.9" customHeight="1">
      <c r="A6" s="20" t="s">
        <v>925</v>
      </c>
      <c r="B6" s="20" t="s">
        <v>1139</v>
      </c>
      <c r="C6" s="20" t="s">
        <v>5</v>
      </c>
      <c r="D6" s="20" t="s">
        <v>1140</v>
      </c>
      <c r="E6" s="20" t="s">
        <v>1141</v>
      </c>
      <c r="F6" s="20" t="s">
        <v>1142</v>
      </c>
      <c r="G6" s="20" t="s">
        <v>1143</v>
      </c>
      <c r="H6" s="20" t="s">
        <v>1144</v>
      </c>
      <c r="I6" s="20" t="s">
        <v>1145</v>
      </c>
    </row>
    <row r="7" spans="1:9" ht="127.9" customHeight="1">
      <c r="A7" s="21" t="s">
        <v>931</v>
      </c>
      <c r="B7" s="22" t="s">
        <v>1146</v>
      </c>
      <c r="C7" s="23" t="s">
        <v>1147</v>
      </c>
      <c r="D7" s="23" t="s">
        <v>1148</v>
      </c>
      <c r="E7" s="23" t="s">
        <v>1149</v>
      </c>
      <c r="F7" s="30">
        <f>KPI_Doc_Matrix!G174</f>
        <v>43</v>
      </c>
      <c r="G7" s="30">
        <f>KPI_Doc_Matrix!G175</f>
        <v>10</v>
      </c>
      <c r="H7" s="21" t="str">
        <f t="shared" ref="H7:H37" si="0">IF(G7&gt;0,"Yes","No - phase 2+")</f>
        <v>Yes</v>
      </c>
      <c r="I7" s="23" t="str">
        <f t="array" ref="I7">_xlfn.TEXTJOIN(", ",TRUE(),IF(KPI_Doc_Matrix!G2:G172=1,KPI_Doc_Matrix!$A$2:$A$172,""))</f>
        <v>1, 2, 4, 12, 13, 22, 23, 24, 25, 41, 52, 74, 75, 77, 78, 81, 84, 86, 87, 88, 89, 91, 94, 95, 97, 98, 103, 104, 110, 113, 115, 144, 151, 152, 153, 157, 158, 159, 160, 161, 162, 167, 169</v>
      </c>
    </row>
    <row r="8" spans="1:9" ht="42.75" customHeight="1">
      <c r="A8" s="21" t="s">
        <v>962</v>
      </c>
      <c r="B8" s="22" t="s">
        <v>1150</v>
      </c>
      <c r="C8" s="23" t="s">
        <v>1151</v>
      </c>
      <c r="D8" s="23" t="s">
        <v>1152</v>
      </c>
      <c r="E8" s="23" t="s">
        <v>1153</v>
      </c>
      <c r="F8" s="30">
        <f>KPI_Doc_Matrix!H174</f>
        <v>17</v>
      </c>
      <c r="G8" s="30">
        <f>KPI_Doc_Matrix!H175</f>
        <v>1</v>
      </c>
      <c r="H8" s="21" t="str">
        <f t="shared" si="0"/>
        <v>Yes</v>
      </c>
      <c r="I8" s="23" t="str">
        <f t="array" ref="I8">_xlfn.TEXTJOIN(", ",TRUE(),IF(KPI_Doc_Matrix!H2:H172=1,KPI_Doc_Matrix!$A$2:$A$172,""))</f>
        <v>12, 24, 25, 32, 39, 40, 42, 114, 119, 120, 121, 123, 126, 160, 165, 166, 167</v>
      </c>
    </row>
    <row r="9" spans="1:9" ht="129" customHeight="1">
      <c r="A9" s="21" t="s">
        <v>975</v>
      </c>
      <c r="B9" s="22" t="s">
        <v>1154</v>
      </c>
      <c r="C9" s="23" t="s">
        <v>122</v>
      </c>
      <c r="D9" s="23" t="s">
        <v>1155</v>
      </c>
      <c r="E9" s="23" t="s">
        <v>1156</v>
      </c>
      <c r="F9" s="30">
        <f>KPI_Doc_Matrix!I174</f>
        <v>33</v>
      </c>
      <c r="G9" s="30">
        <f>KPI_Doc_Matrix!I175</f>
        <v>6</v>
      </c>
      <c r="H9" s="21" t="str">
        <f t="shared" si="0"/>
        <v>Yes</v>
      </c>
      <c r="I9" s="23" t="str">
        <f t="array" ref="I9">_xlfn.TEXTJOIN(", ",TRUE(),IF(KPI_Doc_Matrix!I2:I172=1,KPI_Doc_Matrix!$A$2:$A$172,""))</f>
        <v>1, 2, 3, 10, 14, 17, 18, 19, 20, 21, 26, 27, 28, 29, 30, 31, 32, 33, 34, 35, 36, 37, 38, 39, 40, 50, 62, 63, 66, 72, 114, 117, 164</v>
      </c>
    </row>
    <row r="10" spans="1:9" ht="28.5" customHeight="1">
      <c r="A10" s="21" t="s">
        <v>1003</v>
      </c>
      <c r="B10" s="22" t="s">
        <v>1157</v>
      </c>
      <c r="C10" s="23" t="s">
        <v>1158</v>
      </c>
      <c r="D10" s="23" t="s">
        <v>1159</v>
      </c>
      <c r="E10" s="23" t="s">
        <v>1160</v>
      </c>
      <c r="F10" s="30">
        <f>KPI_Doc_Matrix!J174</f>
        <v>5</v>
      </c>
      <c r="G10" s="30">
        <f>KPI_Doc_Matrix!J175</f>
        <v>3</v>
      </c>
      <c r="H10" s="21" t="str">
        <f t="shared" si="0"/>
        <v>Yes</v>
      </c>
      <c r="I10" s="23" t="str">
        <f t="array" ref="I10">_xlfn.TEXTJOIN(", ",TRUE(),IF(KPI_Doc_Matrix!J2:J172=1,KPI_Doc_Matrix!$A$2:$A$172,""))</f>
        <v>13, 15, 23, 41, 165</v>
      </c>
    </row>
    <row r="11" spans="1:9">
      <c r="A11" s="21" t="s">
        <v>1007</v>
      </c>
      <c r="B11" s="22" t="s">
        <v>1161</v>
      </c>
      <c r="C11" s="23" t="s">
        <v>1162</v>
      </c>
      <c r="D11" s="23" t="s">
        <v>1163</v>
      </c>
      <c r="E11" s="23" t="s">
        <v>1164</v>
      </c>
      <c r="F11" s="30">
        <f>KPI_Doc_Matrix!K174</f>
        <v>2</v>
      </c>
      <c r="G11" s="30">
        <f>KPI_Doc_Matrix!K175</f>
        <v>1</v>
      </c>
      <c r="H11" s="21" t="str">
        <f t="shared" si="0"/>
        <v>Yes</v>
      </c>
      <c r="I11" s="23" t="str">
        <f t="array" ref="I11">_xlfn.TEXTJOIN(", ",TRUE(),IF(KPI_Doc_Matrix!K2:K172=1,KPI_Doc_Matrix!$A$2:$A$172,""))</f>
        <v>15, 16</v>
      </c>
    </row>
    <row r="12" spans="1:9" ht="42.75" customHeight="1">
      <c r="A12" s="21" t="s">
        <v>1011</v>
      </c>
      <c r="B12" s="22" t="s">
        <v>1165</v>
      </c>
      <c r="C12" s="23" t="s">
        <v>1166</v>
      </c>
      <c r="D12" s="23" t="s">
        <v>1167</v>
      </c>
      <c r="E12" s="23" t="s">
        <v>1168</v>
      </c>
      <c r="F12" s="30">
        <f>KPI_Doc_Matrix!L174</f>
        <v>26</v>
      </c>
      <c r="G12" s="30">
        <f>KPI_Doc_Matrix!L175</f>
        <v>2</v>
      </c>
      <c r="H12" s="21" t="str">
        <f t="shared" si="0"/>
        <v>Yes</v>
      </c>
      <c r="I12" s="23" t="str">
        <f t="array" ref="I12">_xlfn.TEXTJOIN(", ",TRUE(),IF(KPI_Doc_Matrix!L2:L172=1,KPI_Doc_Matrix!$A$2:$A$172,""))</f>
        <v>2, 3, 11, 34, 42, 43, 49, 52, 56, 57, 58, 59, 60, 61, 63, 64, 67, 68, 69, 70, 71, 72, 95, 113, 119, 164</v>
      </c>
    </row>
    <row r="13" spans="1:9" ht="42.75" customHeight="1">
      <c r="A13" s="21" t="s">
        <v>1021</v>
      </c>
      <c r="B13" s="22" t="s">
        <v>1169</v>
      </c>
      <c r="C13" s="23" t="s">
        <v>1170</v>
      </c>
      <c r="D13" s="23" t="s">
        <v>1171</v>
      </c>
      <c r="E13" s="23" t="s">
        <v>1172</v>
      </c>
      <c r="F13" s="30">
        <f>KPI_Doc_Matrix!M174</f>
        <v>4</v>
      </c>
      <c r="G13" s="30">
        <f>KPI_Doc_Matrix!M175</f>
        <v>0</v>
      </c>
      <c r="H13" s="21" t="str">
        <f t="shared" si="0"/>
        <v>No - phase 2+</v>
      </c>
      <c r="I13" s="23" t="str">
        <f t="array" ref="I13">_xlfn.TEXTJOIN(", ",TRUE(),IF(KPI_Doc_Matrix!M2:M172=1,KPI_Doc_Matrix!$A$2:$A$172,""))</f>
        <v>51, 98, 110, 142</v>
      </c>
    </row>
    <row r="14" spans="1:9" ht="42.75" customHeight="1">
      <c r="A14" s="21" t="s">
        <v>1025</v>
      </c>
      <c r="B14" s="22" t="s">
        <v>1173</v>
      </c>
      <c r="C14" s="23" t="s">
        <v>275</v>
      </c>
      <c r="D14" s="23" t="s">
        <v>1174</v>
      </c>
      <c r="E14" s="23" t="s">
        <v>1175</v>
      </c>
      <c r="F14" s="30">
        <f>KPI_Doc_Matrix!N174</f>
        <v>7</v>
      </c>
      <c r="G14" s="30">
        <f>KPI_Doc_Matrix!N175</f>
        <v>2</v>
      </c>
      <c r="H14" s="21" t="str">
        <f t="shared" si="0"/>
        <v>Yes</v>
      </c>
      <c r="I14" s="23" t="str">
        <f t="array" ref="I14">_xlfn.TEXTJOIN(", ",TRUE(),IF(KPI_Doc_Matrix!N2:N172=1,KPI_Doc_Matrix!$A$2:$A$172,""))</f>
        <v>44, 45, 46, 53, 55, 64, 65</v>
      </c>
    </row>
    <row r="15" spans="1:9" ht="28.5" customHeight="1">
      <c r="A15" s="21" t="s">
        <v>1035</v>
      </c>
      <c r="B15" s="22" t="s">
        <v>1176</v>
      </c>
      <c r="C15" s="23" t="s">
        <v>281</v>
      </c>
      <c r="D15" s="23" t="s">
        <v>1177</v>
      </c>
      <c r="E15" s="23" t="s">
        <v>1178</v>
      </c>
      <c r="F15" s="30">
        <f>KPI_Doc_Matrix!O174</f>
        <v>3</v>
      </c>
      <c r="G15" s="30">
        <f>KPI_Doc_Matrix!O175</f>
        <v>0</v>
      </c>
      <c r="H15" s="21" t="str">
        <f t="shared" si="0"/>
        <v>No - phase 2+</v>
      </c>
      <c r="I15" s="23" t="str">
        <f t="array" ref="I15">_xlfn.TEXTJOIN(", ",TRUE(),IF(KPI_Doc_Matrix!O2:O172=1,KPI_Doc_Matrix!$A$2:$A$172,""))</f>
        <v>47, 48, 67</v>
      </c>
    </row>
    <row r="16" spans="1:9" ht="28.5" customHeight="1">
      <c r="A16" s="21" t="s">
        <v>1039</v>
      </c>
      <c r="B16" s="22" t="s">
        <v>1179</v>
      </c>
      <c r="C16" s="23" t="s">
        <v>1180</v>
      </c>
      <c r="D16" s="23" t="s">
        <v>1181</v>
      </c>
      <c r="E16" s="23" t="s">
        <v>1182</v>
      </c>
      <c r="F16" s="30">
        <f>KPI_Doc_Matrix!P174</f>
        <v>2</v>
      </c>
      <c r="G16" s="30">
        <f>KPI_Doc_Matrix!P175</f>
        <v>0</v>
      </c>
      <c r="H16" s="21" t="str">
        <f t="shared" si="0"/>
        <v>No - phase 2+</v>
      </c>
      <c r="I16" s="23" t="str">
        <f t="array" ref="I16">_xlfn.TEXTJOIN(", ",TRUE(),IF(KPI_Doc_Matrix!P2:P172=1,KPI_Doc_Matrix!$A$2:$A$172,""))</f>
        <v>53, 66</v>
      </c>
    </row>
    <row r="17" spans="1:9">
      <c r="A17" s="21" t="s">
        <v>1043</v>
      </c>
      <c r="B17" s="22" t="s">
        <v>1183</v>
      </c>
      <c r="C17" s="23" t="s">
        <v>1184</v>
      </c>
      <c r="D17" s="23" t="s">
        <v>1185</v>
      </c>
      <c r="E17" s="23" t="s">
        <v>403</v>
      </c>
      <c r="F17" s="30">
        <f>KPI_Doc_Matrix!Q174</f>
        <v>1</v>
      </c>
      <c r="G17" s="30">
        <f>KPI_Doc_Matrix!Q175</f>
        <v>1</v>
      </c>
      <c r="H17" s="21" t="str">
        <f t="shared" si="0"/>
        <v>Yes</v>
      </c>
      <c r="I17" s="23" t="str">
        <f t="array" ref="I17">_xlfn.TEXTJOIN(", ",TRUE(),IF(KPI_Doc_Matrix!Q2:Q172=1,KPI_Doc_Matrix!$A$2:$A$172,""))</f>
        <v>73</v>
      </c>
    </row>
    <row r="18" spans="1:9" ht="42.75" customHeight="1">
      <c r="A18" s="21" t="s">
        <v>1047</v>
      </c>
      <c r="B18" s="22" t="s">
        <v>1186</v>
      </c>
      <c r="C18" s="23" t="s">
        <v>420</v>
      </c>
      <c r="D18" s="23" t="s">
        <v>1187</v>
      </c>
      <c r="E18" s="23" t="s">
        <v>1188</v>
      </c>
      <c r="F18" s="30">
        <f>KPI_Doc_Matrix!R174</f>
        <v>5</v>
      </c>
      <c r="G18" s="30">
        <f>KPI_Doc_Matrix!R175</f>
        <v>3</v>
      </c>
      <c r="H18" s="21" t="str">
        <f t="shared" si="0"/>
        <v>Yes</v>
      </c>
      <c r="I18" s="23" t="str">
        <f t="array" ref="I18">_xlfn.TEXTJOIN(", ",TRUE(),IF(KPI_Doc_Matrix!R2:R172=1,KPI_Doc_Matrix!$A$2:$A$172,""))</f>
        <v>5, 54, 76, 146, 147</v>
      </c>
    </row>
    <row r="19" spans="1:9" ht="42.75" customHeight="1">
      <c r="A19" s="21" t="s">
        <v>1051</v>
      </c>
      <c r="B19" s="22" t="s">
        <v>1189</v>
      </c>
      <c r="C19" s="23" t="s">
        <v>1190</v>
      </c>
      <c r="D19" s="23" t="s">
        <v>1191</v>
      </c>
      <c r="E19" s="23" t="s">
        <v>1192</v>
      </c>
      <c r="F19" s="30">
        <f>KPI_Doc_Matrix!S174</f>
        <v>6</v>
      </c>
      <c r="G19" s="30">
        <f>KPI_Doc_Matrix!S175</f>
        <v>3</v>
      </c>
      <c r="H19" s="21" t="str">
        <f t="shared" si="0"/>
        <v>Yes</v>
      </c>
      <c r="I19" s="23" t="str">
        <f t="array" ref="I19">_xlfn.TEXTJOIN(", ",TRUE(),IF(KPI_Doc_Matrix!S2:S172=1,KPI_Doc_Matrix!$A$2:$A$172,""))</f>
        <v>81, 82, 85, 144, 169, 170</v>
      </c>
    </row>
    <row r="20" spans="1:9" ht="28.5" customHeight="1">
      <c r="A20" s="21" t="s">
        <v>1055</v>
      </c>
      <c r="B20" s="22" t="s">
        <v>1193</v>
      </c>
      <c r="C20" s="23" t="s">
        <v>1194</v>
      </c>
      <c r="D20" s="23" t="s">
        <v>1195</v>
      </c>
      <c r="E20" s="23" t="s">
        <v>1196</v>
      </c>
      <c r="F20" s="30">
        <f>KPI_Doc_Matrix!T174</f>
        <v>3</v>
      </c>
      <c r="G20" s="30">
        <f>KPI_Doc_Matrix!T175</f>
        <v>1</v>
      </c>
      <c r="H20" s="21" t="str">
        <f t="shared" si="0"/>
        <v>Yes</v>
      </c>
      <c r="I20" s="23" t="str">
        <f t="array" ref="I20">_xlfn.TEXTJOIN(", ",TRUE(),IF(KPI_Doc_Matrix!T2:T172=1,KPI_Doc_Matrix!$A$2:$A$172,""))</f>
        <v>85, 91, 97</v>
      </c>
    </row>
    <row r="21" spans="1:9" ht="57" customHeight="1">
      <c r="A21" s="21" t="s">
        <v>1059</v>
      </c>
      <c r="B21" s="22" t="s">
        <v>1197</v>
      </c>
      <c r="C21" s="23" t="s">
        <v>1198</v>
      </c>
      <c r="D21" s="23" t="s">
        <v>1199</v>
      </c>
      <c r="E21" s="23" t="s">
        <v>1200</v>
      </c>
      <c r="F21" s="30">
        <f>KPI_Doc_Matrix!U174</f>
        <v>9</v>
      </c>
      <c r="G21" s="30">
        <f>KPI_Doc_Matrix!U175</f>
        <v>1</v>
      </c>
      <c r="H21" s="21" t="str">
        <f t="shared" si="0"/>
        <v>Yes</v>
      </c>
      <c r="I21" s="23" t="str">
        <f t="array" ref="I21">_xlfn.TEXTJOIN(", ",TRUE(),IF(KPI_Doc_Matrix!U2:U172=1,KPI_Doc_Matrix!$A$2:$A$172,""))</f>
        <v>8, 9, 83, 84, 90, 91, 92, 93, 94</v>
      </c>
    </row>
    <row r="22" spans="1:9" ht="28.5" customHeight="1">
      <c r="A22" s="21" t="s">
        <v>1066</v>
      </c>
      <c r="B22" s="22" t="s">
        <v>1201</v>
      </c>
      <c r="C22" s="23" t="s">
        <v>1202</v>
      </c>
      <c r="D22" s="23" t="s">
        <v>1203</v>
      </c>
      <c r="E22" s="23" t="s">
        <v>1204</v>
      </c>
      <c r="F22" s="30">
        <f>KPI_Doc_Matrix!V174</f>
        <v>2</v>
      </c>
      <c r="G22" s="30">
        <f>KPI_Doc_Matrix!V175</f>
        <v>0</v>
      </c>
      <c r="H22" s="21" t="str">
        <f t="shared" si="0"/>
        <v>No - phase 2+</v>
      </c>
      <c r="I22" s="23" t="str">
        <f t="array" ref="I22">_xlfn.TEXTJOIN(", ",TRUE(),IF(KPI_Doc_Matrix!V2:V172=1,KPI_Doc_Matrix!$A$2:$A$172,""))</f>
        <v>96, 104</v>
      </c>
    </row>
    <row r="23" spans="1:9" ht="42.75" customHeight="1">
      <c r="A23" s="21" t="s">
        <v>1070</v>
      </c>
      <c r="B23" s="22" t="s">
        <v>1205</v>
      </c>
      <c r="C23" s="23" t="s">
        <v>1206</v>
      </c>
      <c r="D23" s="23" t="s">
        <v>1207</v>
      </c>
      <c r="E23" s="23" t="s">
        <v>1208</v>
      </c>
      <c r="F23" s="30">
        <f>KPI_Doc_Matrix!W174</f>
        <v>21</v>
      </c>
      <c r="G23" s="30">
        <f>KPI_Doc_Matrix!W175</f>
        <v>2</v>
      </c>
      <c r="H23" s="21" t="str">
        <f t="shared" si="0"/>
        <v>Yes</v>
      </c>
      <c r="I23" s="23" t="str">
        <f t="array" ref="I23">_xlfn.TEXTJOIN(", ",TRUE(),IF(KPI_Doc_Matrix!W2:W172=1,KPI_Doc_Matrix!$A$2:$A$172,""))</f>
        <v>99, 100, 101, 102, 105, 106, 107, 108, 109, 130, 131, 132, 133, 134, 135, 136, 137, 140, 141, 142, 143</v>
      </c>
    </row>
    <row r="24" spans="1:9" ht="28.5" customHeight="1">
      <c r="A24" s="21" t="s">
        <v>1074</v>
      </c>
      <c r="B24" s="22" t="s">
        <v>1209</v>
      </c>
      <c r="C24" s="23" t="s">
        <v>1210</v>
      </c>
      <c r="D24" s="23" t="s">
        <v>1211</v>
      </c>
      <c r="E24" s="23" t="s">
        <v>1212</v>
      </c>
      <c r="F24" s="30">
        <f>KPI_Doc_Matrix!X174</f>
        <v>4</v>
      </c>
      <c r="G24" s="30">
        <f>KPI_Doc_Matrix!X175</f>
        <v>3</v>
      </c>
      <c r="H24" s="21" t="str">
        <f t="shared" si="0"/>
        <v>Yes</v>
      </c>
      <c r="I24" s="23" t="str">
        <f t="array" ref="I24">_xlfn.TEXTJOIN(", ",TRUE(),IF(KPI_Doc_Matrix!X2:X172=1,KPI_Doc_Matrix!$A$2:$A$172,""))</f>
        <v>127, 129, 138, 139</v>
      </c>
    </row>
    <row r="25" spans="1:9" ht="28.5" customHeight="1">
      <c r="A25" s="21" t="s">
        <v>1078</v>
      </c>
      <c r="B25" s="22" t="s">
        <v>1213</v>
      </c>
      <c r="C25" s="23" t="s">
        <v>1214</v>
      </c>
      <c r="D25" s="23" t="s">
        <v>1215</v>
      </c>
      <c r="E25" s="23" t="s">
        <v>1216</v>
      </c>
      <c r="F25" s="30">
        <f>KPI_Doc_Matrix!Y174</f>
        <v>2</v>
      </c>
      <c r="G25" s="30">
        <f>KPI_Doc_Matrix!Y175</f>
        <v>0</v>
      </c>
      <c r="H25" s="21" t="str">
        <f t="shared" si="0"/>
        <v>No - phase 2+</v>
      </c>
      <c r="I25" s="23" t="str">
        <f t="array" ref="I25">_xlfn.TEXTJOIN(", ",TRUE(),IF(KPI_Doc_Matrix!Y2:Y172=1,KPI_Doc_Matrix!$A$2:$A$172,""))</f>
        <v>88, 89</v>
      </c>
    </row>
    <row r="26" spans="1:9" ht="42.75" customHeight="1">
      <c r="A26" s="21" t="s">
        <v>1082</v>
      </c>
      <c r="B26" s="22" t="s">
        <v>1217</v>
      </c>
      <c r="C26" s="23" t="s">
        <v>1218</v>
      </c>
      <c r="D26" s="23" t="s">
        <v>1219</v>
      </c>
      <c r="E26" s="23" t="s">
        <v>1220</v>
      </c>
      <c r="F26" s="30">
        <f>KPI_Doc_Matrix!Z174</f>
        <v>3</v>
      </c>
      <c r="G26" s="30">
        <f>KPI_Doc_Matrix!Z175</f>
        <v>0</v>
      </c>
      <c r="H26" s="21" t="str">
        <f t="shared" si="0"/>
        <v>No - phase 2+</v>
      </c>
      <c r="I26" s="23" t="str">
        <f t="array" ref="I26">_xlfn.TEXTJOIN(", ",TRUE(),IF(KPI_Doc_Matrix!Z2:Z172=1,KPI_Doc_Matrix!$A$2:$A$172,""))</f>
        <v>6, 7, 128</v>
      </c>
    </row>
    <row r="27" spans="1:9" ht="28.5" customHeight="1">
      <c r="A27" s="21" t="s">
        <v>1086</v>
      </c>
      <c r="B27" s="22" t="s">
        <v>1221</v>
      </c>
      <c r="C27" s="23" t="s">
        <v>1222</v>
      </c>
      <c r="D27" s="23" t="s">
        <v>1223</v>
      </c>
      <c r="E27" s="23" t="s">
        <v>1224</v>
      </c>
      <c r="F27" s="30">
        <f>KPI_Doc_Matrix!AA174</f>
        <v>1</v>
      </c>
      <c r="G27" s="30">
        <f>KPI_Doc_Matrix!AA175</f>
        <v>1</v>
      </c>
      <c r="H27" s="21" t="str">
        <f t="shared" si="0"/>
        <v>Yes</v>
      </c>
      <c r="I27" s="23" t="str">
        <f t="array" ref="I27">_xlfn.TEXTJOIN(", ",TRUE(),IF(KPI_Doc_Matrix!AA2:AA172=1,KPI_Doc_Matrix!$A$2:$A$172,""))</f>
        <v>145</v>
      </c>
    </row>
    <row r="28" spans="1:9">
      <c r="A28" s="21" t="s">
        <v>1090</v>
      </c>
      <c r="B28" s="22" t="s">
        <v>1225</v>
      </c>
      <c r="C28" s="23" t="s">
        <v>1226</v>
      </c>
      <c r="D28" s="23" t="s">
        <v>1227</v>
      </c>
      <c r="E28" s="23" t="s">
        <v>1228</v>
      </c>
      <c r="F28" s="30">
        <f>KPI_Doc_Matrix!AB174</f>
        <v>3</v>
      </c>
      <c r="G28" s="30">
        <f>KPI_Doc_Matrix!AB175</f>
        <v>0</v>
      </c>
      <c r="H28" s="21" t="str">
        <f t="shared" si="0"/>
        <v>No - phase 2+</v>
      </c>
      <c r="I28" s="23" t="str">
        <f t="array" ref="I28">_xlfn.TEXTJOIN(", ",TRUE(),IF(KPI_Doc_Matrix!AB2:AB172=1,KPI_Doc_Matrix!$A$2:$A$172,""))</f>
        <v>4, 10, 11</v>
      </c>
    </row>
    <row r="29" spans="1:9">
      <c r="A29" s="21" t="s">
        <v>1094</v>
      </c>
      <c r="B29" s="22" t="s">
        <v>1229</v>
      </c>
      <c r="C29" s="23" t="s">
        <v>1230</v>
      </c>
      <c r="D29" s="23" t="s">
        <v>1231</v>
      </c>
      <c r="E29" s="23" t="s">
        <v>1232</v>
      </c>
      <c r="F29" s="30">
        <f>KPI_Doc_Matrix!AC174</f>
        <v>1</v>
      </c>
      <c r="G29" s="30">
        <f>KPI_Doc_Matrix!AC175</f>
        <v>0</v>
      </c>
      <c r="H29" s="21" t="str">
        <f t="shared" si="0"/>
        <v>No - phase 2+</v>
      </c>
      <c r="I29" s="23" t="str">
        <f t="array" ref="I29">_xlfn.TEXTJOIN(", ",TRUE(),IF(KPI_Doc_Matrix!AC2:AC172=1,KPI_Doc_Matrix!$A$2:$A$172,""))</f>
        <v>43</v>
      </c>
    </row>
    <row r="30" spans="1:9" ht="28.5" customHeight="1">
      <c r="A30" s="21" t="s">
        <v>1098</v>
      </c>
      <c r="B30" s="22" t="s">
        <v>1233</v>
      </c>
      <c r="C30" s="23" t="s">
        <v>1234</v>
      </c>
      <c r="D30" s="23" t="s">
        <v>1235</v>
      </c>
      <c r="E30" s="23" t="s">
        <v>1236</v>
      </c>
      <c r="F30" s="30">
        <f>KPI_Doc_Matrix!AD174</f>
        <v>6</v>
      </c>
      <c r="G30" s="30">
        <f>KPI_Doc_Matrix!AD175</f>
        <v>1</v>
      </c>
      <c r="H30" s="21" t="str">
        <f t="shared" si="0"/>
        <v>Yes</v>
      </c>
      <c r="I30" s="23" t="str">
        <f t="array" ref="I30">_xlfn.TEXTJOIN(", ",TRUE(),IF(KPI_Doc_Matrix!AD2:AD172=1,KPI_Doc_Matrix!$A$2:$A$172,""))</f>
        <v>74, 75, 77, 78, 79, 80</v>
      </c>
    </row>
    <row r="31" spans="1:9" ht="28.5" customHeight="1">
      <c r="A31" s="21" t="s">
        <v>1105</v>
      </c>
      <c r="B31" s="22" t="s">
        <v>1237</v>
      </c>
      <c r="C31" s="23" t="s">
        <v>1238</v>
      </c>
      <c r="D31" s="23" t="s">
        <v>1239</v>
      </c>
      <c r="E31" s="23" t="s">
        <v>1240</v>
      </c>
      <c r="F31" s="30">
        <f>KPI_Doc_Matrix!AE174</f>
        <v>3</v>
      </c>
      <c r="G31" s="30">
        <f>KPI_Doc_Matrix!AE175</f>
        <v>1</v>
      </c>
      <c r="H31" s="21" t="str">
        <f t="shared" si="0"/>
        <v>Yes</v>
      </c>
      <c r="I31" s="23" t="str">
        <f t="array" ref="I31">_xlfn.TEXTJOIN(", ",TRUE(),IF(KPI_Doc_Matrix!AE2:AE172=1,KPI_Doc_Matrix!$A$2:$A$172,""))</f>
        <v>148, 149, 150</v>
      </c>
    </row>
    <row r="32" spans="1:9" ht="28.5" customHeight="1">
      <c r="A32" s="21" t="s">
        <v>1109</v>
      </c>
      <c r="B32" s="22" t="s">
        <v>1241</v>
      </c>
      <c r="C32" s="23" t="s">
        <v>1242</v>
      </c>
      <c r="D32" s="23" t="s">
        <v>1243</v>
      </c>
      <c r="E32" s="23" t="s">
        <v>1244</v>
      </c>
      <c r="F32" s="30">
        <f>KPI_Doc_Matrix!AF174</f>
        <v>1</v>
      </c>
      <c r="G32" s="30">
        <f>KPI_Doc_Matrix!AF175</f>
        <v>0</v>
      </c>
      <c r="H32" s="21" t="str">
        <f t="shared" si="0"/>
        <v>No - phase 2+</v>
      </c>
      <c r="I32" s="23" t="str">
        <f t="array" ref="I32">_xlfn.TEXTJOIN(", ",TRUE(),IF(KPI_Doc_Matrix!AF2:AF172=1,KPI_Doc_Matrix!$A$2:$A$172,""))</f>
        <v>153</v>
      </c>
    </row>
    <row r="33" spans="1:9" ht="42.75" customHeight="1">
      <c r="A33" s="21" t="s">
        <v>1113</v>
      </c>
      <c r="B33" s="22" t="s">
        <v>1245</v>
      </c>
      <c r="C33" s="23" t="s">
        <v>1246</v>
      </c>
      <c r="D33" s="23" t="s">
        <v>1247</v>
      </c>
      <c r="E33" s="23" t="s">
        <v>1248</v>
      </c>
      <c r="F33" s="30">
        <f>KPI_Doc_Matrix!AG174</f>
        <v>8</v>
      </c>
      <c r="G33" s="30">
        <f>KPI_Doc_Matrix!AG175</f>
        <v>2</v>
      </c>
      <c r="H33" s="21" t="str">
        <f t="shared" si="0"/>
        <v>Yes</v>
      </c>
      <c r="I33" s="23" t="str">
        <f t="array" ref="I33">_xlfn.TEXTJOIN(", ",TRUE(),IF(KPI_Doc_Matrix!AG2:AG172=1,KPI_Doc_Matrix!$A$2:$A$172,""))</f>
        <v>154, 155, 156, 157, 160, 161, 166, 168</v>
      </c>
    </row>
    <row r="34" spans="1:9">
      <c r="A34" s="21" t="s">
        <v>1117</v>
      </c>
      <c r="B34" s="22" t="s">
        <v>1249</v>
      </c>
      <c r="C34" s="23" t="s">
        <v>1250</v>
      </c>
      <c r="D34" s="23" t="s">
        <v>1251</v>
      </c>
      <c r="E34" s="23" t="s">
        <v>870</v>
      </c>
      <c r="F34" s="30">
        <f>KPI_Doc_Matrix!AH174</f>
        <v>1</v>
      </c>
      <c r="G34" s="30">
        <f>KPI_Doc_Matrix!AH175</f>
        <v>0</v>
      </c>
      <c r="H34" s="21" t="str">
        <f t="shared" si="0"/>
        <v>No - phase 2+</v>
      </c>
      <c r="I34" s="23" t="str">
        <f t="array" ref="I34">_xlfn.TEXTJOIN(", ",TRUE(),IF(KPI_Doc_Matrix!AH2:AH172=1,KPI_Doc_Matrix!$A$2:$A$172,""))</f>
        <v>163</v>
      </c>
    </row>
    <row r="35" spans="1:9" ht="42.75" customHeight="1">
      <c r="A35" s="21" t="s">
        <v>1121</v>
      </c>
      <c r="B35" s="22" t="s">
        <v>1252</v>
      </c>
      <c r="C35" s="23" t="s">
        <v>600</v>
      </c>
      <c r="D35" s="23" t="s">
        <v>1253</v>
      </c>
      <c r="E35" s="23" t="s">
        <v>1254</v>
      </c>
      <c r="F35" s="30">
        <f>KPI_Doc_Matrix!AI174</f>
        <v>11</v>
      </c>
      <c r="G35" s="30">
        <f>KPI_Doc_Matrix!AI175</f>
        <v>3</v>
      </c>
      <c r="H35" s="21" t="str">
        <f t="shared" si="0"/>
        <v>Yes</v>
      </c>
      <c r="I35" s="23" t="str">
        <f t="array" ref="I35">_xlfn.TEXTJOIN(", ",TRUE(),IF(KPI_Doc_Matrix!AI2:AI172=1,KPI_Doc_Matrix!$A$2:$A$172,""))</f>
        <v>111, 112, 116, 118, 121, 122, 123, 124, 125, 126, 171</v>
      </c>
    </row>
    <row r="36" spans="1:9">
      <c r="A36" s="21" t="s">
        <v>1125</v>
      </c>
      <c r="B36" s="22" t="s">
        <v>1255</v>
      </c>
      <c r="C36" s="23" t="s">
        <v>1256</v>
      </c>
      <c r="D36" s="23" t="s">
        <v>1257</v>
      </c>
      <c r="E36" s="23" t="s">
        <v>1258</v>
      </c>
      <c r="F36" s="30">
        <f>KPI_Doc_Matrix!AJ174</f>
        <v>1</v>
      </c>
      <c r="G36" s="30">
        <f>KPI_Doc_Matrix!AJ175</f>
        <v>0</v>
      </c>
      <c r="H36" s="21" t="str">
        <f t="shared" si="0"/>
        <v>No - phase 2+</v>
      </c>
      <c r="I36" s="23" t="str">
        <f t="array" ref="I36">_xlfn.TEXTJOIN(", ",TRUE(),IF(KPI_Doc_Matrix!AJ2:AJ172=1,KPI_Doc_Matrix!$A$2:$A$172,""))</f>
        <v>115</v>
      </c>
    </row>
    <row r="37" spans="1:9" ht="42.75" customHeight="1">
      <c r="A37" s="21" t="s">
        <v>1129</v>
      </c>
      <c r="B37" s="22" t="s">
        <v>1259</v>
      </c>
      <c r="C37" s="23" t="s">
        <v>1260</v>
      </c>
      <c r="D37" s="23" t="s">
        <v>1261</v>
      </c>
      <c r="E37" s="23" t="s">
        <v>1262</v>
      </c>
      <c r="F37" s="30">
        <f>KPI_Doc_Matrix!AK174</f>
        <v>6</v>
      </c>
      <c r="G37" s="30">
        <f>KPI_Doc_Matrix!AK175</f>
        <v>0</v>
      </c>
      <c r="H37" s="21" t="str">
        <f t="shared" si="0"/>
        <v>No - phase 2+</v>
      </c>
      <c r="I37" s="23" t="str">
        <f t="array" ref="I37">_xlfn.TEXTJOIN(", ",TRUE(),IF(KPI_Doc_Matrix!AK2:AK172=1,KPI_Doc_Matrix!$A$2:$A$172,""))</f>
        <v>2, 3, 34, 113, 120, 164</v>
      </c>
    </row>
  </sheetData>
  <autoFilter ref="A6:I37" xr:uid="{00000000-0009-0000-0000-000003000000}"/>
  <conditionalFormatting sqref="H7:H37">
    <cfRule type="cellIs" dxfId="2" priority="2" operator="equal">
      <formula>"Yes"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75"/>
  <sheetViews>
    <sheetView zoomScaleNormal="100" workbookViewId="0">
      <pane ySplit="1" topLeftCell="A129" activePane="bottomLeft" state="frozen"/>
      <selection pane="bottomLeft"/>
    </sheetView>
  </sheetViews>
  <sheetFormatPr defaultColWidth="8.7109375" defaultRowHeight="14.45"/>
  <cols>
    <col min="1" max="1" width="9" customWidth="1"/>
    <col min="2" max="2" width="11" customWidth="1"/>
    <col min="3" max="3" width="44" customWidth="1"/>
    <col min="4" max="4" width="15" customWidth="1"/>
    <col min="5" max="5" width="22" customWidth="1"/>
    <col min="6" max="6" width="12" customWidth="1"/>
    <col min="7" max="37" width="6" customWidth="1"/>
  </cols>
  <sheetData>
    <row r="1" spans="1:37" ht="31.5" customHeight="1">
      <c r="A1" s="20" t="s">
        <v>0</v>
      </c>
      <c r="B1" s="20" t="s">
        <v>1</v>
      </c>
      <c r="C1" s="20" t="s">
        <v>3</v>
      </c>
      <c r="D1" s="20" t="s">
        <v>10</v>
      </c>
      <c r="E1" s="20" t="s">
        <v>1263</v>
      </c>
      <c r="F1" s="20" t="s">
        <v>1264</v>
      </c>
      <c r="G1" s="31" t="s">
        <v>931</v>
      </c>
      <c r="H1" s="31" t="s">
        <v>962</v>
      </c>
      <c r="I1" s="31" t="s">
        <v>975</v>
      </c>
      <c r="J1" s="31" t="s">
        <v>1003</v>
      </c>
      <c r="K1" s="31" t="s">
        <v>1007</v>
      </c>
      <c r="L1" s="31" t="s">
        <v>1011</v>
      </c>
      <c r="M1" s="31" t="s">
        <v>1021</v>
      </c>
      <c r="N1" s="31" t="s">
        <v>1025</v>
      </c>
      <c r="O1" s="31" t="s">
        <v>1035</v>
      </c>
      <c r="P1" s="31" t="s">
        <v>1039</v>
      </c>
      <c r="Q1" s="31" t="s">
        <v>1043</v>
      </c>
      <c r="R1" s="31" t="s">
        <v>1047</v>
      </c>
      <c r="S1" s="31" t="s">
        <v>1051</v>
      </c>
      <c r="T1" s="31" t="s">
        <v>1055</v>
      </c>
      <c r="U1" s="31" t="s">
        <v>1059</v>
      </c>
      <c r="V1" s="31" t="s">
        <v>1066</v>
      </c>
      <c r="W1" s="31" t="s">
        <v>1070</v>
      </c>
      <c r="X1" s="31" t="s">
        <v>1074</v>
      </c>
      <c r="Y1" s="31" t="s">
        <v>1078</v>
      </c>
      <c r="Z1" s="31" t="s">
        <v>1082</v>
      </c>
      <c r="AA1" s="31" t="s">
        <v>1086</v>
      </c>
      <c r="AB1" s="31" t="s">
        <v>1090</v>
      </c>
      <c r="AC1" s="31" t="s">
        <v>1094</v>
      </c>
      <c r="AD1" s="31" t="s">
        <v>1098</v>
      </c>
      <c r="AE1" s="31" t="s">
        <v>1105</v>
      </c>
      <c r="AF1" s="31" t="s">
        <v>1109</v>
      </c>
      <c r="AG1" s="31" t="s">
        <v>1113</v>
      </c>
      <c r="AH1" s="31" t="s">
        <v>1117</v>
      </c>
      <c r="AI1" s="31" t="s">
        <v>1121</v>
      </c>
      <c r="AJ1" s="31" t="s">
        <v>1125</v>
      </c>
      <c r="AK1" s="31" t="s">
        <v>1129</v>
      </c>
    </row>
    <row r="2" spans="1:37">
      <c r="A2" s="21">
        <v>1</v>
      </c>
      <c r="B2" s="23" t="str">
        <f>INDEX(KPI_Master!$B:$B,MATCH($A2,KPI_Master!$A:$A,0))</f>
        <v>DINF-01</v>
      </c>
      <c r="C2" s="23" t="str">
        <f>INDEX(KPI_Master!$D:$D,MATCH($A2,KPI_Master!$A:$A,0))</f>
        <v>Raw Food Cost per Resident Day (PRD)</v>
      </c>
      <c r="D2" s="23" t="str">
        <f>INDEX(KPI_Master!$K:$K,MATCH($A2,KPI_Master!$A:$A,0))</f>
        <v>1 - Core</v>
      </c>
      <c r="E2" s="23" t="str">
        <f t="array" ref="E2">_xlfn.TEXTJOIN(", ",TRUE(),IF(KPI_Element_Map!$A$2:$A$287=$A2,KPI_Element_Map!$E$2:$E$287,""))</f>
        <v>E58, E01</v>
      </c>
      <c r="F2" s="21">
        <f t="shared" ref="F2:F33" si="0">SUM(G2:AK2)</f>
        <v>2</v>
      </c>
      <c r="G2" s="21">
        <f>IF(COUNTIFS(KPI_Element_Map!$A$2:$A$287,$A2,KPI_Element_Map!$G$2:$G$287,G$1)&gt;0,1,"")</f>
        <v>1</v>
      </c>
      <c r="H2" s="21" t="str">
        <f>IF(COUNTIFS(KPI_Element_Map!$A$2:$A$287,$A2,KPI_Element_Map!$G$2:$G$287,H$1)&gt;0,1,"")</f>
        <v/>
      </c>
      <c r="I2" s="21">
        <f>IF(COUNTIFS(KPI_Element_Map!$A$2:$A$287,$A2,KPI_Element_Map!$G$2:$G$287,I$1)&gt;0,1,"")</f>
        <v>1</v>
      </c>
      <c r="J2" s="21" t="str">
        <f>IF(COUNTIFS(KPI_Element_Map!$A$2:$A$287,$A2,KPI_Element_Map!$G$2:$G$287,J$1)&gt;0,1,"")</f>
        <v/>
      </c>
      <c r="K2" s="21" t="str">
        <f>IF(COUNTIFS(KPI_Element_Map!$A$2:$A$287,$A2,KPI_Element_Map!$G$2:$G$287,K$1)&gt;0,1,"")</f>
        <v/>
      </c>
      <c r="L2" s="21" t="str">
        <f>IF(COUNTIFS(KPI_Element_Map!$A$2:$A$287,$A2,KPI_Element_Map!$G$2:$G$287,L$1)&gt;0,1,"")</f>
        <v/>
      </c>
      <c r="M2" s="21" t="str">
        <f>IF(COUNTIFS(KPI_Element_Map!$A$2:$A$287,$A2,KPI_Element_Map!$G$2:$G$287,M$1)&gt;0,1,"")</f>
        <v/>
      </c>
      <c r="N2" s="21" t="str">
        <f>IF(COUNTIFS(KPI_Element_Map!$A$2:$A$287,$A2,KPI_Element_Map!$G$2:$G$287,N$1)&gt;0,1,"")</f>
        <v/>
      </c>
      <c r="O2" s="21" t="str">
        <f>IF(COUNTIFS(KPI_Element_Map!$A$2:$A$287,$A2,KPI_Element_Map!$G$2:$G$287,O$1)&gt;0,1,"")</f>
        <v/>
      </c>
      <c r="P2" s="21" t="str">
        <f>IF(COUNTIFS(KPI_Element_Map!$A$2:$A$287,$A2,KPI_Element_Map!$G$2:$G$287,P$1)&gt;0,1,"")</f>
        <v/>
      </c>
      <c r="Q2" s="21" t="str">
        <f>IF(COUNTIFS(KPI_Element_Map!$A$2:$A$287,$A2,KPI_Element_Map!$G$2:$G$287,Q$1)&gt;0,1,"")</f>
        <v/>
      </c>
      <c r="R2" s="21" t="str">
        <f>IF(COUNTIFS(KPI_Element_Map!$A$2:$A$287,$A2,KPI_Element_Map!$G$2:$G$287,R$1)&gt;0,1,"")</f>
        <v/>
      </c>
      <c r="S2" s="21" t="str">
        <f>IF(COUNTIFS(KPI_Element_Map!$A$2:$A$287,$A2,KPI_Element_Map!$G$2:$G$287,S$1)&gt;0,1,"")</f>
        <v/>
      </c>
      <c r="T2" s="21" t="str">
        <f>IF(COUNTIFS(KPI_Element_Map!$A$2:$A$287,$A2,KPI_Element_Map!$G$2:$G$287,T$1)&gt;0,1,"")</f>
        <v/>
      </c>
      <c r="U2" s="21" t="str">
        <f>IF(COUNTIFS(KPI_Element_Map!$A$2:$A$287,$A2,KPI_Element_Map!$G$2:$G$287,U$1)&gt;0,1,"")</f>
        <v/>
      </c>
      <c r="V2" s="21" t="str">
        <f>IF(COUNTIFS(KPI_Element_Map!$A$2:$A$287,$A2,KPI_Element_Map!$G$2:$G$287,V$1)&gt;0,1,"")</f>
        <v/>
      </c>
      <c r="W2" s="21" t="str">
        <f>IF(COUNTIFS(KPI_Element_Map!$A$2:$A$287,$A2,KPI_Element_Map!$G$2:$G$287,W$1)&gt;0,1,"")</f>
        <v/>
      </c>
      <c r="X2" s="21" t="str">
        <f>IF(COUNTIFS(KPI_Element_Map!$A$2:$A$287,$A2,KPI_Element_Map!$G$2:$G$287,X$1)&gt;0,1,"")</f>
        <v/>
      </c>
      <c r="Y2" s="21" t="str">
        <f>IF(COUNTIFS(KPI_Element_Map!$A$2:$A$287,$A2,KPI_Element_Map!$G$2:$G$287,Y$1)&gt;0,1,"")</f>
        <v/>
      </c>
      <c r="Z2" s="21" t="str">
        <f>IF(COUNTIFS(KPI_Element_Map!$A$2:$A$287,$A2,KPI_Element_Map!$G$2:$G$287,Z$1)&gt;0,1,"")</f>
        <v/>
      </c>
      <c r="AA2" s="21" t="str">
        <f>IF(COUNTIFS(KPI_Element_Map!$A$2:$A$287,$A2,KPI_Element_Map!$G$2:$G$287,AA$1)&gt;0,1,"")</f>
        <v/>
      </c>
      <c r="AB2" s="21" t="str">
        <f>IF(COUNTIFS(KPI_Element_Map!$A$2:$A$287,$A2,KPI_Element_Map!$G$2:$G$287,AB$1)&gt;0,1,"")</f>
        <v/>
      </c>
      <c r="AC2" s="21" t="str">
        <f>IF(COUNTIFS(KPI_Element_Map!$A$2:$A$287,$A2,KPI_Element_Map!$G$2:$G$287,AC$1)&gt;0,1,"")</f>
        <v/>
      </c>
      <c r="AD2" s="21" t="str">
        <f>IF(COUNTIFS(KPI_Element_Map!$A$2:$A$287,$A2,KPI_Element_Map!$G$2:$G$287,AD$1)&gt;0,1,"")</f>
        <v/>
      </c>
      <c r="AE2" s="21" t="str">
        <f>IF(COUNTIFS(KPI_Element_Map!$A$2:$A$287,$A2,KPI_Element_Map!$G$2:$G$287,AE$1)&gt;0,1,"")</f>
        <v/>
      </c>
      <c r="AF2" s="21" t="str">
        <f>IF(COUNTIFS(KPI_Element_Map!$A$2:$A$287,$A2,KPI_Element_Map!$G$2:$G$287,AF$1)&gt;0,1,"")</f>
        <v/>
      </c>
      <c r="AG2" s="21" t="str">
        <f>IF(COUNTIFS(KPI_Element_Map!$A$2:$A$287,$A2,KPI_Element_Map!$G$2:$G$287,AG$1)&gt;0,1,"")</f>
        <v/>
      </c>
      <c r="AH2" s="21" t="str">
        <f>IF(COUNTIFS(KPI_Element_Map!$A$2:$A$287,$A2,KPI_Element_Map!$G$2:$G$287,AH$1)&gt;0,1,"")</f>
        <v/>
      </c>
      <c r="AI2" s="21" t="str">
        <f>IF(COUNTIFS(KPI_Element_Map!$A$2:$A$287,$A2,KPI_Element_Map!$G$2:$G$287,AI$1)&gt;0,1,"")</f>
        <v/>
      </c>
      <c r="AJ2" s="21" t="str">
        <f>IF(COUNTIFS(KPI_Element_Map!$A$2:$A$287,$A2,KPI_Element_Map!$G$2:$G$287,AJ$1)&gt;0,1,"")</f>
        <v/>
      </c>
      <c r="AK2" s="21" t="str">
        <f>IF(COUNTIFS(KPI_Element_Map!$A$2:$A$287,$A2,KPI_Element_Map!$G$2:$G$287,AK$1)&gt;0,1,"")</f>
        <v/>
      </c>
    </row>
    <row r="3" spans="1:37">
      <c r="A3" s="21">
        <v>2</v>
      </c>
      <c r="B3" s="23" t="str">
        <f>INDEX(KPI_Master!$B:$B,MATCH($A3,KPI_Master!$A:$A,0))</f>
        <v>DINF-02</v>
      </c>
      <c r="C3" s="23" t="str">
        <f>INDEX(KPI_Master!$D:$D,MATCH($A3,KPI_Master!$A:$A,0))</f>
        <v>Total Dining Cost per Resident Day</v>
      </c>
      <c r="D3" s="23" t="str">
        <f>INDEX(KPI_Master!$K:$K,MATCH($A3,KPI_Master!$A:$A,0))</f>
        <v>2 - Standard</v>
      </c>
      <c r="E3" s="23" t="str">
        <f t="array" ref="E3">_xlfn.TEXTJOIN(", ",TRUE(),IF(KPI_Element_Map!$A$2:$A$287=$A3,KPI_Element_Map!$E$2:$E$287,""))</f>
        <v>E58, E27, E57, E01</v>
      </c>
      <c r="F3" s="21">
        <f t="shared" si="0"/>
        <v>4</v>
      </c>
      <c r="G3" s="21">
        <f>IF(COUNTIFS(KPI_Element_Map!$A$2:$A$287,$A3,KPI_Element_Map!$G$2:$G$287,G$1)&gt;0,1,"")</f>
        <v>1</v>
      </c>
      <c r="H3" s="21" t="str">
        <f>IF(COUNTIFS(KPI_Element_Map!$A$2:$A$287,$A3,KPI_Element_Map!$G$2:$G$287,H$1)&gt;0,1,"")</f>
        <v/>
      </c>
      <c r="I3" s="21">
        <f>IF(COUNTIFS(KPI_Element_Map!$A$2:$A$287,$A3,KPI_Element_Map!$G$2:$G$287,I$1)&gt;0,1,"")</f>
        <v>1</v>
      </c>
      <c r="J3" s="21" t="str">
        <f>IF(COUNTIFS(KPI_Element_Map!$A$2:$A$287,$A3,KPI_Element_Map!$G$2:$G$287,J$1)&gt;0,1,"")</f>
        <v/>
      </c>
      <c r="K3" s="21" t="str">
        <f>IF(COUNTIFS(KPI_Element_Map!$A$2:$A$287,$A3,KPI_Element_Map!$G$2:$G$287,K$1)&gt;0,1,"")</f>
        <v/>
      </c>
      <c r="L3" s="21">
        <f>IF(COUNTIFS(KPI_Element_Map!$A$2:$A$287,$A3,KPI_Element_Map!$G$2:$G$287,L$1)&gt;0,1,"")</f>
        <v>1</v>
      </c>
      <c r="M3" s="21" t="str">
        <f>IF(COUNTIFS(KPI_Element_Map!$A$2:$A$287,$A3,KPI_Element_Map!$G$2:$G$287,M$1)&gt;0,1,"")</f>
        <v/>
      </c>
      <c r="N3" s="21" t="str">
        <f>IF(COUNTIFS(KPI_Element_Map!$A$2:$A$287,$A3,KPI_Element_Map!$G$2:$G$287,N$1)&gt;0,1,"")</f>
        <v/>
      </c>
      <c r="O3" s="21" t="str">
        <f>IF(COUNTIFS(KPI_Element_Map!$A$2:$A$287,$A3,KPI_Element_Map!$G$2:$G$287,O$1)&gt;0,1,"")</f>
        <v/>
      </c>
      <c r="P3" s="21" t="str">
        <f>IF(COUNTIFS(KPI_Element_Map!$A$2:$A$287,$A3,KPI_Element_Map!$G$2:$G$287,P$1)&gt;0,1,"")</f>
        <v/>
      </c>
      <c r="Q3" s="21" t="str">
        <f>IF(COUNTIFS(KPI_Element_Map!$A$2:$A$287,$A3,KPI_Element_Map!$G$2:$G$287,Q$1)&gt;0,1,"")</f>
        <v/>
      </c>
      <c r="R3" s="21" t="str">
        <f>IF(COUNTIFS(KPI_Element_Map!$A$2:$A$287,$A3,KPI_Element_Map!$G$2:$G$287,R$1)&gt;0,1,"")</f>
        <v/>
      </c>
      <c r="S3" s="21" t="str">
        <f>IF(COUNTIFS(KPI_Element_Map!$A$2:$A$287,$A3,KPI_Element_Map!$G$2:$G$287,S$1)&gt;0,1,"")</f>
        <v/>
      </c>
      <c r="T3" s="21" t="str">
        <f>IF(COUNTIFS(KPI_Element_Map!$A$2:$A$287,$A3,KPI_Element_Map!$G$2:$G$287,T$1)&gt;0,1,"")</f>
        <v/>
      </c>
      <c r="U3" s="21" t="str">
        <f>IF(COUNTIFS(KPI_Element_Map!$A$2:$A$287,$A3,KPI_Element_Map!$G$2:$G$287,U$1)&gt;0,1,"")</f>
        <v/>
      </c>
      <c r="V3" s="21" t="str">
        <f>IF(COUNTIFS(KPI_Element_Map!$A$2:$A$287,$A3,KPI_Element_Map!$G$2:$G$287,V$1)&gt;0,1,"")</f>
        <v/>
      </c>
      <c r="W3" s="21" t="str">
        <f>IF(COUNTIFS(KPI_Element_Map!$A$2:$A$287,$A3,KPI_Element_Map!$G$2:$G$287,W$1)&gt;0,1,"")</f>
        <v/>
      </c>
      <c r="X3" s="21" t="str">
        <f>IF(COUNTIFS(KPI_Element_Map!$A$2:$A$287,$A3,KPI_Element_Map!$G$2:$G$287,X$1)&gt;0,1,"")</f>
        <v/>
      </c>
      <c r="Y3" s="21" t="str">
        <f>IF(COUNTIFS(KPI_Element_Map!$A$2:$A$287,$A3,KPI_Element_Map!$G$2:$G$287,Y$1)&gt;0,1,"")</f>
        <v/>
      </c>
      <c r="Z3" s="21" t="str">
        <f>IF(COUNTIFS(KPI_Element_Map!$A$2:$A$287,$A3,KPI_Element_Map!$G$2:$G$287,Z$1)&gt;0,1,"")</f>
        <v/>
      </c>
      <c r="AA3" s="21" t="str">
        <f>IF(COUNTIFS(KPI_Element_Map!$A$2:$A$287,$A3,KPI_Element_Map!$G$2:$G$287,AA$1)&gt;0,1,"")</f>
        <v/>
      </c>
      <c r="AB3" s="21" t="str">
        <f>IF(COUNTIFS(KPI_Element_Map!$A$2:$A$287,$A3,KPI_Element_Map!$G$2:$G$287,AB$1)&gt;0,1,"")</f>
        <v/>
      </c>
      <c r="AC3" s="21" t="str">
        <f>IF(COUNTIFS(KPI_Element_Map!$A$2:$A$287,$A3,KPI_Element_Map!$G$2:$G$287,AC$1)&gt;0,1,"")</f>
        <v/>
      </c>
      <c r="AD3" s="21" t="str">
        <f>IF(COUNTIFS(KPI_Element_Map!$A$2:$A$287,$A3,KPI_Element_Map!$G$2:$G$287,AD$1)&gt;0,1,"")</f>
        <v/>
      </c>
      <c r="AE3" s="21" t="str">
        <f>IF(COUNTIFS(KPI_Element_Map!$A$2:$A$287,$A3,KPI_Element_Map!$G$2:$G$287,AE$1)&gt;0,1,"")</f>
        <v/>
      </c>
      <c r="AF3" s="21" t="str">
        <f>IF(COUNTIFS(KPI_Element_Map!$A$2:$A$287,$A3,KPI_Element_Map!$G$2:$G$287,AF$1)&gt;0,1,"")</f>
        <v/>
      </c>
      <c r="AG3" s="21" t="str">
        <f>IF(COUNTIFS(KPI_Element_Map!$A$2:$A$287,$A3,KPI_Element_Map!$G$2:$G$287,AG$1)&gt;0,1,"")</f>
        <v/>
      </c>
      <c r="AH3" s="21" t="str">
        <f>IF(COUNTIFS(KPI_Element_Map!$A$2:$A$287,$A3,KPI_Element_Map!$G$2:$G$287,AH$1)&gt;0,1,"")</f>
        <v/>
      </c>
      <c r="AI3" s="21" t="str">
        <f>IF(COUNTIFS(KPI_Element_Map!$A$2:$A$287,$A3,KPI_Element_Map!$G$2:$G$287,AI$1)&gt;0,1,"")</f>
        <v/>
      </c>
      <c r="AJ3" s="21" t="str">
        <f>IF(COUNTIFS(KPI_Element_Map!$A$2:$A$287,$A3,KPI_Element_Map!$G$2:$G$287,AJ$1)&gt;0,1,"")</f>
        <v/>
      </c>
      <c r="AK3" s="21">
        <f>IF(COUNTIFS(KPI_Element_Map!$A$2:$A$287,$A3,KPI_Element_Map!$G$2:$G$287,AK$1)&gt;0,1,"")</f>
        <v>1</v>
      </c>
    </row>
    <row r="4" spans="1:37">
      <c r="A4" s="21">
        <v>3</v>
      </c>
      <c r="B4" s="23" t="str">
        <f>INDEX(KPI_Master!$B:$B,MATCH($A4,KPI_Master!$A:$A,0))</f>
        <v>DINF-03</v>
      </c>
      <c r="C4" s="23" t="str">
        <f>INDEX(KPI_Master!$D:$D,MATCH($A4,KPI_Master!$A:$A,0))</f>
        <v>Dining Labor as % of Dining Expense</v>
      </c>
      <c r="D4" s="23" t="str">
        <f>INDEX(KPI_Master!$K:$K,MATCH($A4,KPI_Master!$A:$A,0))</f>
        <v>2 - Standard</v>
      </c>
      <c r="E4" s="23" t="str">
        <f t="array" ref="E4">_xlfn.TEXTJOIN(", ",TRUE(),IF(KPI_Element_Map!$A$2:$A$287=$A4,KPI_Element_Map!$E$2:$E$287,""))</f>
        <v>E27, E58, E57</v>
      </c>
      <c r="F4" s="21">
        <f t="shared" si="0"/>
        <v>3</v>
      </c>
      <c r="G4" s="21" t="str">
        <f>IF(COUNTIFS(KPI_Element_Map!$A$2:$A$287,$A4,KPI_Element_Map!$G$2:$G$287,G$1)&gt;0,1,"")</f>
        <v/>
      </c>
      <c r="H4" s="21" t="str">
        <f>IF(COUNTIFS(KPI_Element_Map!$A$2:$A$287,$A4,KPI_Element_Map!$G$2:$G$287,H$1)&gt;0,1,"")</f>
        <v/>
      </c>
      <c r="I4" s="21">
        <f>IF(COUNTIFS(KPI_Element_Map!$A$2:$A$287,$A4,KPI_Element_Map!$G$2:$G$287,I$1)&gt;0,1,"")</f>
        <v>1</v>
      </c>
      <c r="J4" s="21" t="str">
        <f>IF(COUNTIFS(KPI_Element_Map!$A$2:$A$287,$A4,KPI_Element_Map!$G$2:$G$287,J$1)&gt;0,1,"")</f>
        <v/>
      </c>
      <c r="K4" s="21" t="str">
        <f>IF(COUNTIFS(KPI_Element_Map!$A$2:$A$287,$A4,KPI_Element_Map!$G$2:$G$287,K$1)&gt;0,1,"")</f>
        <v/>
      </c>
      <c r="L4" s="21">
        <f>IF(COUNTIFS(KPI_Element_Map!$A$2:$A$287,$A4,KPI_Element_Map!$G$2:$G$287,L$1)&gt;0,1,"")</f>
        <v>1</v>
      </c>
      <c r="M4" s="21" t="str">
        <f>IF(COUNTIFS(KPI_Element_Map!$A$2:$A$287,$A4,KPI_Element_Map!$G$2:$G$287,M$1)&gt;0,1,"")</f>
        <v/>
      </c>
      <c r="N4" s="21" t="str">
        <f>IF(COUNTIFS(KPI_Element_Map!$A$2:$A$287,$A4,KPI_Element_Map!$G$2:$G$287,N$1)&gt;0,1,"")</f>
        <v/>
      </c>
      <c r="O4" s="21" t="str">
        <f>IF(COUNTIFS(KPI_Element_Map!$A$2:$A$287,$A4,KPI_Element_Map!$G$2:$G$287,O$1)&gt;0,1,"")</f>
        <v/>
      </c>
      <c r="P4" s="21" t="str">
        <f>IF(COUNTIFS(KPI_Element_Map!$A$2:$A$287,$A4,KPI_Element_Map!$G$2:$G$287,P$1)&gt;0,1,"")</f>
        <v/>
      </c>
      <c r="Q4" s="21" t="str">
        <f>IF(COUNTIFS(KPI_Element_Map!$A$2:$A$287,$A4,KPI_Element_Map!$G$2:$G$287,Q$1)&gt;0,1,"")</f>
        <v/>
      </c>
      <c r="R4" s="21" t="str">
        <f>IF(COUNTIFS(KPI_Element_Map!$A$2:$A$287,$A4,KPI_Element_Map!$G$2:$G$287,R$1)&gt;0,1,"")</f>
        <v/>
      </c>
      <c r="S4" s="21" t="str">
        <f>IF(COUNTIFS(KPI_Element_Map!$A$2:$A$287,$A4,KPI_Element_Map!$G$2:$G$287,S$1)&gt;0,1,"")</f>
        <v/>
      </c>
      <c r="T4" s="21" t="str">
        <f>IF(COUNTIFS(KPI_Element_Map!$A$2:$A$287,$A4,KPI_Element_Map!$G$2:$G$287,T$1)&gt;0,1,"")</f>
        <v/>
      </c>
      <c r="U4" s="21" t="str">
        <f>IF(COUNTIFS(KPI_Element_Map!$A$2:$A$287,$A4,KPI_Element_Map!$G$2:$G$287,U$1)&gt;0,1,"")</f>
        <v/>
      </c>
      <c r="V4" s="21" t="str">
        <f>IF(COUNTIFS(KPI_Element_Map!$A$2:$A$287,$A4,KPI_Element_Map!$G$2:$G$287,V$1)&gt;0,1,"")</f>
        <v/>
      </c>
      <c r="W4" s="21" t="str">
        <f>IF(COUNTIFS(KPI_Element_Map!$A$2:$A$287,$A4,KPI_Element_Map!$G$2:$G$287,W$1)&gt;0,1,"")</f>
        <v/>
      </c>
      <c r="X4" s="21" t="str">
        <f>IF(COUNTIFS(KPI_Element_Map!$A$2:$A$287,$A4,KPI_Element_Map!$G$2:$G$287,X$1)&gt;0,1,"")</f>
        <v/>
      </c>
      <c r="Y4" s="21" t="str">
        <f>IF(COUNTIFS(KPI_Element_Map!$A$2:$A$287,$A4,KPI_Element_Map!$G$2:$G$287,Y$1)&gt;0,1,"")</f>
        <v/>
      </c>
      <c r="Z4" s="21" t="str">
        <f>IF(COUNTIFS(KPI_Element_Map!$A$2:$A$287,$A4,KPI_Element_Map!$G$2:$G$287,Z$1)&gt;0,1,"")</f>
        <v/>
      </c>
      <c r="AA4" s="21" t="str">
        <f>IF(COUNTIFS(KPI_Element_Map!$A$2:$A$287,$A4,KPI_Element_Map!$G$2:$G$287,AA$1)&gt;0,1,"")</f>
        <v/>
      </c>
      <c r="AB4" s="21" t="str">
        <f>IF(COUNTIFS(KPI_Element_Map!$A$2:$A$287,$A4,KPI_Element_Map!$G$2:$G$287,AB$1)&gt;0,1,"")</f>
        <v/>
      </c>
      <c r="AC4" s="21" t="str">
        <f>IF(COUNTIFS(KPI_Element_Map!$A$2:$A$287,$A4,KPI_Element_Map!$G$2:$G$287,AC$1)&gt;0,1,"")</f>
        <v/>
      </c>
      <c r="AD4" s="21" t="str">
        <f>IF(COUNTIFS(KPI_Element_Map!$A$2:$A$287,$A4,KPI_Element_Map!$G$2:$G$287,AD$1)&gt;0,1,"")</f>
        <v/>
      </c>
      <c r="AE4" s="21" t="str">
        <f>IF(COUNTIFS(KPI_Element_Map!$A$2:$A$287,$A4,KPI_Element_Map!$G$2:$G$287,AE$1)&gt;0,1,"")</f>
        <v/>
      </c>
      <c r="AF4" s="21" t="str">
        <f>IF(COUNTIFS(KPI_Element_Map!$A$2:$A$287,$A4,KPI_Element_Map!$G$2:$G$287,AF$1)&gt;0,1,"")</f>
        <v/>
      </c>
      <c r="AG4" s="21" t="str">
        <f>IF(COUNTIFS(KPI_Element_Map!$A$2:$A$287,$A4,KPI_Element_Map!$G$2:$G$287,AG$1)&gt;0,1,"")</f>
        <v/>
      </c>
      <c r="AH4" s="21" t="str">
        <f>IF(COUNTIFS(KPI_Element_Map!$A$2:$A$287,$A4,KPI_Element_Map!$G$2:$G$287,AH$1)&gt;0,1,"")</f>
        <v/>
      </c>
      <c r="AI4" s="21" t="str">
        <f>IF(COUNTIFS(KPI_Element_Map!$A$2:$A$287,$A4,KPI_Element_Map!$G$2:$G$287,AI$1)&gt;0,1,"")</f>
        <v/>
      </c>
      <c r="AJ4" s="21" t="str">
        <f>IF(COUNTIFS(KPI_Element_Map!$A$2:$A$287,$A4,KPI_Element_Map!$G$2:$G$287,AJ$1)&gt;0,1,"")</f>
        <v/>
      </c>
      <c r="AK4" s="21">
        <f>IF(COUNTIFS(KPI_Element_Map!$A$2:$A$287,$A4,KPI_Element_Map!$G$2:$G$287,AK$1)&gt;0,1,"")</f>
        <v>1</v>
      </c>
    </row>
    <row r="5" spans="1:37">
      <c r="A5" s="21">
        <v>4</v>
      </c>
      <c r="B5" s="23" t="str">
        <f>INDEX(KPI_Master!$B:$B,MATCH($A5,KPI_Master!$A:$A,0))</f>
        <v>DINF-04</v>
      </c>
      <c r="C5" s="23" t="str">
        <f>INDEX(KPI_Master!$D:$D,MATCH($A5,KPI_Master!$A:$A,0))</f>
        <v>Meal Participation Rate</v>
      </c>
      <c r="D5" s="23" t="str">
        <f>INDEX(KPI_Master!$K:$K,MATCH($A5,KPI_Master!$A:$A,0))</f>
        <v>2 - Standard</v>
      </c>
      <c r="E5" s="23" t="str">
        <f t="array" ref="E5">_xlfn.TEXTJOIN(", ",TRUE(),IF(KPI_Element_Map!$A$2:$A$287=$A5,KPI_Element_Map!$E$2:$E$287,""))</f>
        <v>E47, E01</v>
      </c>
      <c r="F5" s="21">
        <f t="shared" si="0"/>
        <v>2</v>
      </c>
      <c r="G5" s="21">
        <f>IF(COUNTIFS(KPI_Element_Map!$A$2:$A$287,$A5,KPI_Element_Map!$G$2:$G$287,G$1)&gt;0,1,"")</f>
        <v>1</v>
      </c>
      <c r="H5" s="21" t="str">
        <f>IF(COUNTIFS(KPI_Element_Map!$A$2:$A$287,$A5,KPI_Element_Map!$G$2:$G$287,H$1)&gt;0,1,"")</f>
        <v/>
      </c>
      <c r="I5" s="21" t="str">
        <f>IF(COUNTIFS(KPI_Element_Map!$A$2:$A$287,$A5,KPI_Element_Map!$G$2:$G$287,I$1)&gt;0,1,"")</f>
        <v/>
      </c>
      <c r="J5" s="21" t="str">
        <f>IF(COUNTIFS(KPI_Element_Map!$A$2:$A$287,$A5,KPI_Element_Map!$G$2:$G$287,J$1)&gt;0,1,"")</f>
        <v/>
      </c>
      <c r="K5" s="21" t="str">
        <f>IF(COUNTIFS(KPI_Element_Map!$A$2:$A$287,$A5,KPI_Element_Map!$G$2:$G$287,K$1)&gt;0,1,"")</f>
        <v/>
      </c>
      <c r="L5" s="21" t="str">
        <f>IF(COUNTIFS(KPI_Element_Map!$A$2:$A$287,$A5,KPI_Element_Map!$G$2:$G$287,L$1)&gt;0,1,"")</f>
        <v/>
      </c>
      <c r="M5" s="21" t="str">
        <f>IF(COUNTIFS(KPI_Element_Map!$A$2:$A$287,$A5,KPI_Element_Map!$G$2:$G$287,M$1)&gt;0,1,"")</f>
        <v/>
      </c>
      <c r="N5" s="21" t="str">
        <f>IF(COUNTIFS(KPI_Element_Map!$A$2:$A$287,$A5,KPI_Element_Map!$G$2:$G$287,N$1)&gt;0,1,"")</f>
        <v/>
      </c>
      <c r="O5" s="21" t="str">
        <f>IF(COUNTIFS(KPI_Element_Map!$A$2:$A$287,$A5,KPI_Element_Map!$G$2:$G$287,O$1)&gt;0,1,"")</f>
        <v/>
      </c>
      <c r="P5" s="21" t="str">
        <f>IF(COUNTIFS(KPI_Element_Map!$A$2:$A$287,$A5,KPI_Element_Map!$G$2:$G$287,P$1)&gt;0,1,"")</f>
        <v/>
      </c>
      <c r="Q5" s="21" t="str">
        <f>IF(COUNTIFS(KPI_Element_Map!$A$2:$A$287,$A5,KPI_Element_Map!$G$2:$G$287,Q$1)&gt;0,1,"")</f>
        <v/>
      </c>
      <c r="R5" s="21" t="str">
        <f>IF(COUNTIFS(KPI_Element_Map!$A$2:$A$287,$A5,KPI_Element_Map!$G$2:$G$287,R$1)&gt;0,1,"")</f>
        <v/>
      </c>
      <c r="S5" s="21" t="str">
        <f>IF(COUNTIFS(KPI_Element_Map!$A$2:$A$287,$A5,KPI_Element_Map!$G$2:$G$287,S$1)&gt;0,1,"")</f>
        <v/>
      </c>
      <c r="T5" s="21" t="str">
        <f>IF(COUNTIFS(KPI_Element_Map!$A$2:$A$287,$A5,KPI_Element_Map!$G$2:$G$287,T$1)&gt;0,1,"")</f>
        <v/>
      </c>
      <c r="U5" s="21" t="str">
        <f>IF(COUNTIFS(KPI_Element_Map!$A$2:$A$287,$A5,KPI_Element_Map!$G$2:$G$287,U$1)&gt;0,1,"")</f>
        <v/>
      </c>
      <c r="V5" s="21" t="str">
        <f>IF(COUNTIFS(KPI_Element_Map!$A$2:$A$287,$A5,KPI_Element_Map!$G$2:$G$287,V$1)&gt;0,1,"")</f>
        <v/>
      </c>
      <c r="W5" s="21" t="str">
        <f>IF(COUNTIFS(KPI_Element_Map!$A$2:$A$287,$A5,KPI_Element_Map!$G$2:$G$287,W$1)&gt;0,1,"")</f>
        <v/>
      </c>
      <c r="X5" s="21" t="str">
        <f>IF(COUNTIFS(KPI_Element_Map!$A$2:$A$287,$A5,KPI_Element_Map!$G$2:$G$287,X$1)&gt;0,1,"")</f>
        <v/>
      </c>
      <c r="Y5" s="21" t="str">
        <f>IF(COUNTIFS(KPI_Element_Map!$A$2:$A$287,$A5,KPI_Element_Map!$G$2:$G$287,Y$1)&gt;0,1,"")</f>
        <v/>
      </c>
      <c r="Z5" s="21" t="str">
        <f>IF(COUNTIFS(KPI_Element_Map!$A$2:$A$287,$A5,KPI_Element_Map!$G$2:$G$287,Z$1)&gt;0,1,"")</f>
        <v/>
      </c>
      <c r="AA5" s="21" t="str">
        <f>IF(COUNTIFS(KPI_Element_Map!$A$2:$A$287,$A5,KPI_Element_Map!$G$2:$G$287,AA$1)&gt;0,1,"")</f>
        <v/>
      </c>
      <c r="AB5" s="21">
        <f>IF(COUNTIFS(KPI_Element_Map!$A$2:$A$287,$A5,KPI_Element_Map!$G$2:$G$287,AB$1)&gt;0,1,"")</f>
        <v>1</v>
      </c>
      <c r="AC5" s="21" t="str">
        <f>IF(COUNTIFS(KPI_Element_Map!$A$2:$A$287,$A5,KPI_Element_Map!$G$2:$G$287,AC$1)&gt;0,1,"")</f>
        <v/>
      </c>
      <c r="AD5" s="21" t="str">
        <f>IF(COUNTIFS(KPI_Element_Map!$A$2:$A$287,$A5,KPI_Element_Map!$G$2:$G$287,AD$1)&gt;0,1,"")</f>
        <v/>
      </c>
      <c r="AE5" s="21" t="str">
        <f>IF(COUNTIFS(KPI_Element_Map!$A$2:$A$287,$A5,KPI_Element_Map!$G$2:$G$287,AE$1)&gt;0,1,"")</f>
        <v/>
      </c>
      <c r="AF5" s="21" t="str">
        <f>IF(COUNTIFS(KPI_Element_Map!$A$2:$A$287,$A5,KPI_Element_Map!$G$2:$G$287,AF$1)&gt;0,1,"")</f>
        <v/>
      </c>
      <c r="AG5" s="21" t="str">
        <f>IF(COUNTIFS(KPI_Element_Map!$A$2:$A$287,$A5,KPI_Element_Map!$G$2:$G$287,AG$1)&gt;0,1,"")</f>
        <v/>
      </c>
      <c r="AH5" s="21" t="str">
        <f>IF(COUNTIFS(KPI_Element_Map!$A$2:$A$287,$A5,KPI_Element_Map!$G$2:$G$287,AH$1)&gt;0,1,"")</f>
        <v/>
      </c>
      <c r="AI5" s="21" t="str">
        <f>IF(COUNTIFS(KPI_Element_Map!$A$2:$A$287,$A5,KPI_Element_Map!$G$2:$G$287,AI$1)&gt;0,1,"")</f>
        <v/>
      </c>
      <c r="AJ5" s="21" t="str">
        <f>IF(COUNTIFS(KPI_Element_Map!$A$2:$A$287,$A5,KPI_Element_Map!$G$2:$G$287,AJ$1)&gt;0,1,"")</f>
        <v/>
      </c>
      <c r="AK5" s="21" t="str">
        <f>IF(COUNTIFS(KPI_Element_Map!$A$2:$A$287,$A5,KPI_Element_Map!$G$2:$G$287,AK$1)&gt;0,1,"")</f>
        <v/>
      </c>
    </row>
    <row r="6" spans="1:37">
      <c r="A6" s="21">
        <v>5</v>
      </c>
      <c r="B6" s="23" t="str">
        <f>INDEX(KPI_Master!$B:$B,MATCH($A6,KPI_Master!$A:$A,0))</f>
        <v>DINF-06</v>
      </c>
      <c r="C6" s="23" t="str">
        <f>INDEX(KPI_Master!$D:$D,MATCH($A6,KPI_Master!$A:$A,0))</f>
        <v>Resident Dining Satisfaction Score</v>
      </c>
      <c r="D6" s="23" t="str">
        <f>INDEX(KPI_Master!$K:$K,MATCH($A6,KPI_Master!$A:$A,0))</f>
        <v>1 - Core</v>
      </c>
      <c r="E6" s="23" t="str">
        <f t="array" ref="E6">_xlfn.TEXTJOIN(", ",TRUE(),IF(KPI_Element_Map!$A$2:$A$287=$A6,KPI_Element_Map!$E$2:$E$287,""))</f>
        <v>E36</v>
      </c>
      <c r="F6" s="21">
        <f t="shared" si="0"/>
        <v>1</v>
      </c>
      <c r="G6" s="21" t="str">
        <f>IF(COUNTIFS(KPI_Element_Map!$A$2:$A$287,$A6,KPI_Element_Map!$G$2:$G$287,G$1)&gt;0,1,"")</f>
        <v/>
      </c>
      <c r="H6" s="21" t="str">
        <f>IF(COUNTIFS(KPI_Element_Map!$A$2:$A$287,$A6,KPI_Element_Map!$G$2:$G$287,H$1)&gt;0,1,"")</f>
        <v/>
      </c>
      <c r="I6" s="21" t="str">
        <f>IF(COUNTIFS(KPI_Element_Map!$A$2:$A$287,$A6,KPI_Element_Map!$G$2:$G$287,I$1)&gt;0,1,"")</f>
        <v/>
      </c>
      <c r="J6" s="21" t="str">
        <f>IF(COUNTIFS(KPI_Element_Map!$A$2:$A$287,$A6,KPI_Element_Map!$G$2:$G$287,J$1)&gt;0,1,"")</f>
        <v/>
      </c>
      <c r="K6" s="21" t="str">
        <f>IF(COUNTIFS(KPI_Element_Map!$A$2:$A$287,$A6,KPI_Element_Map!$G$2:$G$287,K$1)&gt;0,1,"")</f>
        <v/>
      </c>
      <c r="L6" s="21" t="str">
        <f>IF(COUNTIFS(KPI_Element_Map!$A$2:$A$287,$A6,KPI_Element_Map!$G$2:$G$287,L$1)&gt;0,1,"")</f>
        <v/>
      </c>
      <c r="M6" s="21" t="str">
        <f>IF(COUNTIFS(KPI_Element_Map!$A$2:$A$287,$A6,KPI_Element_Map!$G$2:$G$287,M$1)&gt;0,1,"")</f>
        <v/>
      </c>
      <c r="N6" s="21" t="str">
        <f>IF(COUNTIFS(KPI_Element_Map!$A$2:$A$287,$A6,KPI_Element_Map!$G$2:$G$287,N$1)&gt;0,1,"")</f>
        <v/>
      </c>
      <c r="O6" s="21" t="str">
        <f>IF(COUNTIFS(KPI_Element_Map!$A$2:$A$287,$A6,KPI_Element_Map!$G$2:$G$287,O$1)&gt;0,1,"")</f>
        <v/>
      </c>
      <c r="P6" s="21" t="str">
        <f>IF(COUNTIFS(KPI_Element_Map!$A$2:$A$287,$A6,KPI_Element_Map!$G$2:$G$287,P$1)&gt;0,1,"")</f>
        <v/>
      </c>
      <c r="Q6" s="21" t="str">
        <f>IF(COUNTIFS(KPI_Element_Map!$A$2:$A$287,$A6,KPI_Element_Map!$G$2:$G$287,Q$1)&gt;0,1,"")</f>
        <v/>
      </c>
      <c r="R6" s="21">
        <f>IF(COUNTIFS(KPI_Element_Map!$A$2:$A$287,$A6,KPI_Element_Map!$G$2:$G$287,R$1)&gt;0,1,"")</f>
        <v>1</v>
      </c>
      <c r="S6" s="21" t="str">
        <f>IF(COUNTIFS(KPI_Element_Map!$A$2:$A$287,$A6,KPI_Element_Map!$G$2:$G$287,S$1)&gt;0,1,"")</f>
        <v/>
      </c>
      <c r="T6" s="21" t="str">
        <f>IF(COUNTIFS(KPI_Element_Map!$A$2:$A$287,$A6,KPI_Element_Map!$G$2:$G$287,T$1)&gt;0,1,"")</f>
        <v/>
      </c>
      <c r="U6" s="21" t="str">
        <f>IF(COUNTIFS(KPI_Element_Map!$A$2:$A$287,$A6,KPI_Element_Map!$G$2:$G$287,U$1)&gt;0,1,"")</f>
        <v/>
      </c>
      <c r="V6" s="21" t="str">
        <f>IF(COUNTIFS(KPI_Element_Map!$A$2:$A$287,$A6,KPI_Element_Map!$G$2:$G$287,V$1)&gt;0,1,"")</f>
        <v/>
      </c>
      <c r="W6" s="21" t="str">
        <f>IF(COUNTIFS(KPI_Element_Map!$A$2:$A$287,$A6,KPI_Element_Map!$G$2:$G$287,W$1)&gt;0,1,"")</f>
        <v/>
      </c>
      <c r="X6" s="21" t="str">
        <f>IF(COUNTIFS(KPI_Element_Map!$A$2:$A$287,$A6,KPI_Element_Map!$G$2:$G$287,X$1)&gt;0,1,"")</f>
        <v/>
      </c>
      <c r="Y6" s="21" t="str">
        <f>IF(COUNTIFS(KPI_Element_Map!$A$2:$A$287,$A6,KPI_Element_Map!$G$2:$G$287,Y$1)&gt;0,1,"")</f>
        <v/>
      </c>
      <c r="Z6" s="21" t="str">
        <f>IF(COUNTIFS(KPI_Element_Map!$A$2:$A$287,$A6,KPI_Element_Map!$G$2:$G$287,Z$1)&gt;0,1,"")</f>
        <v/>
      </c>
      <c r="AA6" s="21" t="str">
        <f>IF(COUNTIFS(KPI_Element_Map!$A$2:$A$287,$A6,KPI_Element_Map!$G$2:$G$287,AA$1)&gt;0,1,"")</f>
        <v/>
      </c>
      <c r="AB6" s="21" t="str">
        <f>IF(COUNTIFS(KPI_Element_Map!$A$2:$A$287,$A6,KPI_Element_Map!$G$2:$G$287,AB$1)&gt;0,1,"")</f>
        <v/>
      </c>
      <c r="AC6" s="21" t="str">
        <f>IF(COUNTIFS(KPI_Element_Map!$A$2:$A$287,$A6,KPI_Element_Map!$G$2:$G$287,AC$1)&gt;0,1,"")</f>
        <v/>
      </c>
      <c r="AD6" s="21" t="str">
        <f>IF(COUNTIFS(KPI_Element_Map!$A$2:$A$287,$A6,KPI_Element_Map!$G$2:$G$287,AD$1)&gt;0,1,"")</f>
        <v/>
      </c>
      <c r="AE6" s="21" t="str">
        <f>IF(COUNTIFS(KPI_Element_Map!$A$2:$A$287,$A6,KPI_Element_Map!$G$2:$G$287,AE$1)&gt;0,1,"")</f>
        <v/>
      </c>
      <c r="AF6" s="21" t="str">
        <f>IF(COUNTIFS(KPI_Element_Map!$A$2:$A$287,$A6,KPI_Element_Map!$G$2:$G$287,AF$1)&gt;0,1,"")</f>
        <v/>
      </c>
      <c r="AG6" s="21" t="str">
        <f>IF(COUNTIFS(KPI_Element_Map!$A$2:$A$287,$A6,KPI_Element_Map!$G$2:$G$287,AG$1)&gt;0,1,"")</f>
        <v/>
      </c>
      <c r="AH6" s="21" t="str">
        <f>IF(COUNTIFS(KPI_Element_Map!$A$2:$A$287,$A6,KPI_Element_Map!$G$2:$G$287,AH$1)&gt;0,1,"")</f>
        <v/>
      </c>
      <c r="AI6" s="21" t="str">
        <f>IF(COUNTIFS(KPI_Element_Map!$A$2:$A$287,$A6,KPI_Element_Map!$G$2:$G$287,AI$1)&gt;0,1,"")</f>
        <v/>
      </c>
      <c r="AJ6" s="21" t="str">
        <f>IF(COUNTIFS(KPI_Element_Map!$A$2:$A$287,$A6,KPI_Element_Map!$G$2:$G$287,AJ$1)&gt;0,1,"")</f>
        <v/>
      </c>
      <c r="AK6" s="21" t="str">
        <f>IF(COUNTIFS(KPI_Element_Map!$A$2:$A$287,$A6,KPI_Element_Map!$G$2:$G$287,AK$1)&gt;0,1,"")</f>
        <v/>
      </c>
    </row>
    <row r="7" spans="1:37">
      <c r="A7" s="21">
        <v>6</v>
      </c>
      <c r="B7" s="23" t="str">
        <f>INDEX(KPI_Master!$B:$B,MATCH($A7,KPI_Master!$A:$A,0))</f>
        <v>DINF-07</v>
      </c>
      <c r="C7" s="23" t="str">
        <f>INDEX(KPI_Master!$D:$D,MATCH($A7,KPI_Master!$A:$A,0))</f>
        <v>Therapeutic Diet Accuracy Rate</v>
      </c>
      <c r="D7" s="23" t="str">
        <f>INDEX(KPI_Master!$K:$K,MATCH($A7,KPI_Master!$A:$A,0))</f>
        <v>2 - Standard</v>
      </c>
      <c r="E7" s="23" t="str">
        <f t="array" ref="E7">_xlfn.TEXTJOIN(", ",TRUE(),IF(KPI_Element_Map!$A$2:$A$287=$A7,KPI_Element_Map!$E$2:$E$287,""))</f>
        <v>E45</v>
      </c>
      <c r="F7" s="21">
        <f t="shared" si="0"/>
        <v>1</v>
      </c>
      <c r="G7" s="21" t="str">
        <f>IF(COUNTIFS(KPI_Element_Map!$A$2:$A$287,$A7,KPI_Element_Map!$G$2:$G$287,G$1)&gt;0,1,"")</f>
        <v/>
      </c>
      <c r="H7" s="21" t="str">
        <f>IF(COUNTIFS(KPI_Element_Map!$A$2:$A$287,$A7,KPI_Element_Map!$G$2:$G$287,H$1)&gt;0,1,"")</f>
        <v/>
      </c>
      <c r="I7" s="21" t="str">
        <f>IF(COUNTIFS(KPI_Element_Map!$A$2:$A$287,$A7,KPI_Element_Map!$G$2:$G$287,I$1)&gt;0,1,"")</f>
        <v/>
      </c>
      <c r="J7" s="21" t="str">
        <f>IF(COUNTIFS(KPI_Element_Map!$A$2:$A$287,$A7,KPI_Element_Map!$G$2:$G$287,J$1)&gt;0,1,"")</f>
        <v/>
      </c>
      <c r="K7" s="21" t="str">
        <f>IF(COUNTIFS(KPI_Element_Map!$A$2:$A$287,$A7,KPI_Element_Map!$G$2:$G$287,K$1)&gt;0,1,"")</f>
        <v/>
      </c>
      <c r="L7" s="21" t="str">
        <f>IF(COUNTIFS(KPI_Element_Map!$A$2:$A$287,$A7,KPI_Element_Map!$G$2:$G$287,L$1)&gt;0,1,"")</f>
        <v/>
      </c>
      <c r="M7" s="21" t="str">
        <f>IF(COUNTIFS(KPI_Element_Map!$A$2:$A$287,$A7,KPI_Element_Map!$G$2:$G$287,M$1)&gt;0,1,"")</f>
        <v/>
      </c>
      <c r="N7" s="21" t="str">
        <f>IF(COUNTIFS(KPI_Element_Map!$A$2:$A$287,$A7,KPI_Element_Map!$G$2:$G$287,N$1)&gt;0,1,"")</f>
        <v/>
      </c>
      <c r="O7" s="21" t="str">
        <f>IF(COUNTIFS(KPI_Element_Map!$A$2:$A$287,$A7,KPI_Element_Map!$G$2:$G$287,O$1)&gt;0,1,"")</f>
        <v/>
      </c>
      <c r="P7" s="21" t="str">
        <f>IF(COUNTIFS(KPI_Element_Map!$A$2:$A$287,$A7,KPI_Element_Map!$G$2:$G$287,P$1)&gt;0,1,"")</f>
        <v/>
      </c>
      <c r="Q7" s="21" t="str">
        <f>IF(COUNTIFS(KPI_Element_Map!$A$2:$A$287,$A7,KPI_Element_Map!$G$2:$G$287,Q$1)&gt;0,1,"")</f>
        <v/>
      </c>
      <c r="R7" s="21" t="str">
        <f>IF(COUNTIFS(KPI_Element_Map!$A$2:$A$287,$A7,KPI_Element_Map!$G$2:$G$287,R$1)&gt;0,1,"")</f>
        <v/>
      </c>
      <c r="S7" s="21" t="str">
        <f>IF(COUNTIFS(KPI_Element_Map!$A$2:$A$287,$A7,KPI_Element_Map!$G$2:$G$287,S$1)&gt;0,1,"")</f>
        <v/>
      </c>
      <c r="T7" s="21" t="str">
        <f>IF(COUNTIFS(KPI_Element_Map!$A$2:$A$287,$A7,KPI_Element_Map!$G$2:$G$287,T$1)&gt;0,1,"")</f>
        <v/>
      </c>
      <c r="U7" s="21" t="str">
        <f>IF(COUNTIFS(KPI_Element_Map!$A$2:$A$287,$A7,KPI_Element_Map!$G$2:$G$287,U$1)&gt;0,1,"")</f>
        <v/>
      </c>
      <c r="V7" s="21" t="str">
        <f>IF(COUNTIFS(KPI_Element_Map!$A$2:$A$287,$A7,KPI_Element_Map!$G$2:$G$287,V$1)&gt;0,1,"")</f>
        <v/>
      </c>
      <c r="W7" s="21" t="str">
        <f>IF(COUNTIFS(KPI_Element_Map!$A$2:$A$287,$A7,KPI_Element_Map!$G$2:$G$287,W$1)&gt;0,1,"")</f>
        <v/>
      </c>
      <c r="X7" s="21" t="str">
        <f>IF(COUNTIFS(KPI_Element_Map!$A$2:$A$287,$A7,KPI_Element_Map!$G$2:$G$287,X$1)&gt;0,1,"")</f>
        <v/>
      </c>
      <c r="Y7" s="21" t="str">
        <f>IF(COUNTIFS(KPI_Element_Map!$A$2:$A$287,$A7,KPI_Element_Map!$G$2:$G$287,Y$1)&gt;0,1,"")</f>
        <v/>
      </c>
      <c r="Z7" s="21">
        <f>IF(COUNTIFS(KPI_Element_Map!$A$2:$A$287,$A7,KPI_Element_Map!$G$2:$G$287,Z$1)&gt;0,1,"")</f>
        <v>1</v>
      </c>
      <c r="AA7" s="21" t="str">
        <f>IF(COUNTIFS(KPI_Element_Map!$A$2:$A$287,$A7,KPI_Element_Map!$G$2:$G$287,AA$1)&gt;0,1,"")</f>
        <v/>
      </c>
      <c r="AB7" s="21" t="str">
        <f>IF(COUNTIFS(KPI_Element_Map!$A$2:$A$287,$A7,KPI_Element_Map!$G$2:$G$287,AB$1)&gt;0,1,"")</f>
        <v/>
      </c>
      <c r="AC7" s="21" t="str">
        <f>IF(COUNTIFS(KPI_Element_Map!$A$2:$A$287,$A7,KPI_Element_Map!$G$2:$G$287,AC$1)&gt;0,1,"")</f>
        <v/>
      </c>
      <c r="AD7" s="21" t="str">
        <f>IF(COUNTIFS(KPI_Element_Map!$A$2:$A$287,$A7,KPI_Element_Map!$G$2:$G$287,AD$1)&gt;0,1,"")</f>
        <v/>
      </c>
      <c r="AE7" s="21" t="str">
        <f>IF(COUNTIFS(KPI_Element_Map!$A$2:$A$287,$A7,KPI_Element_Map!$G$2:$G$287,AE$1)&gt;0,1,"")</f>
        <v/>
      </c>
      <c r="AF7" s="21" t="str">
        <f>IF(COUNTIFS(KPI_Element_Map!$A$2:$A$287,$A7,KPI_Element_Map!$G$2:$G$287,AF$1)&gt;0,1,"")</f>
        <v/>
      </c>
      <c r="AG7" s="21" t="str">
        <f>IF(COUNTIFS(KPI_Element_Map!$A$2:$A$287,$A7,KPI_Element_Map!$G$2:$G$287,AG$1)&gt;0,1,"")</f>
        <v/>
      </c>
      <c r="AH7" s="21" t="str">
        <f>IF(COUNTIFS(KPI_Element_Map!$A$2:$A$287,$A7,KPI_Element_Map!$G$2:$G$287,AH$1)&gt;0,1,"")</f>
        <v/>
      </c>
      <c r="AI7" s="21" t="str">
        <f>IF(COUNTIFS(KPI_Element_Map!$A$2:$A$287,$A7,KPI_Element_Map!$G$2:$G$287,AI$1)&gt;0,1,"")</f>
        <v/>
      </c>
      <c r="AJ7" s="21" t="str">
        <f>IF(COUNTIFS(KPI_Element_Map!$A$2:$A$287,$A7,KPI_Element_Map!$G$2:$G$287,AJ$1)&gt;0,1,"")</f>
        <v/>
      </c>
      <c r="AK7" s="21" t="str">
        <f>IF(COUNTIFS(KPI_Element_Map!$A$2:$A$287,$A7,KPI_Element_Map!$G$2:$G$287,AK$1)&gt;0,1,"")</f>
        <v/>
      </c>
    </row>
    <row r="8" spans="1:37">
      <c r="A8" s="21">
        <v>7</v>
      </c>
      <c r="B8" s="23" t="str">
        <f>INDEX(KPI_Master!$B:$B,MATCH($A8,KPI_Master!$A:$A,0))</f>
        <v>DINF-08</v>
      </c>
      <c r="C8" s="23" t="str">
        <f>INDEX(KPI_Master!$D:$D,MATCH($A8,KPI_Master!$A:$A,0))</f>
        <v>Food Safety / Sanitation Audit Score</v>
      </c>
      <c r="D8" s="23" t="str">
        <f>INDEX(KPI_Master!$K:$K,MATCH($A8,KPI_Master!$A:$A,0))</f>
        <v>2 - Standard</v>
      </c>
      <c r="E8" s="23" t="str">
        <f t="array" ref="E8">_xlfn.TEXTJOIN(", ",TRUE(),IF(KPI_Element_Map!$A$2:$A$287=$A8,KPI_Element_Map!$E$2:$E$287,""))</f>
        <v>E45</v>
      </c>
      <c r="F8" s="21">
        <f t="shared" si="0"/>
        <v>1</v>
      </c>
      <c r="G8" s="21" t="str">
        <f>IF(COUNTIFS(KPI_Element_Map!$A$2:$A$287,$A8,KPI_Element_Map!$G$2:$G$287,G$1)&gt;0,1,"")</f>
        <v/>
      </c>
      <c r="H8" s="21" t="str">
        <f>IF(COUNTIFS(KPI_Element_Map!$A$2:$A$287,$A8,KPI_Element_Map!$G$2:$G$287,H$1)&gt;0,1,"")</f>
        <v/>
      </c>
      <c r="I8" s="21" t="str">
        <f>IF(COUNTIFS(KPI_Element_Map!$A$2:$A$287,$A8,KPI_Element_Map!$G$2:$G$287,I$1)&gt;0,1,"")</f>
        <v/>
      </c>
      <c r="J8" s="21" t="str">
        <f>IF(COUNTIFS(KPI_Element_Map!$A$2:$A$287,$A8,KPI_Element_Map!$G$2:$G$287,J$1)&gt;0,1,"")</f>
        <v/>
      </c>
      <c r="K8" s="21" t="str">
        <f>IF(COUNTIFS(KPI_Element_Map!$A$2:$A$287,$A8,KPI_Element_Map!$G$2:$G$287,K$1)&gt;0,1,"")</f>
        <v/>
      </c>
      <c r="L8" s="21" t="str">
        <f>IF(COUNTIFS(KPI_Element_Map!$A$2:$A$287,$A8,KPI_Element_Map!$G$2:$G$287,L$1)&gt;0,1,"")</f>
        <v/>
      </c>
      <c r="M8" s="21" t="str">
        <f>IF(COUNTIFS(KPI_Element_Map!$A$2:$A$287,$A8,KPI_Element_Map!$G$2:$G$287,M$1)&gt;0,1,"")</f>
        <v/>
      </c>
      <c r="N8" s="21" t="str">
        <f>IF(COUNTIFS(KPI_Element_Map!$A$2:$A$287,$A8,KPI_Element_Map!$G$2:$G$287,N$1)&gt;0,1,"")</f>
        <v/>
      </c>
      <c r="O8" s="21" t="str">
        <f>IF(COUNTIFS(KPI_Element_Map!$A$2:$A$287,$A8,KPI_Element_Map!$G$2:$G$287,O$1)&gt;0,1,"")</f>
        <v/>
      </c>
      <c r="P8" s="21" t="str">
        <f>IF(COUNTIFS(KPI_Element_Map!$A$2:$A$287,$A8,KPI_Element_Map!$G$2:$G$287,P$1)&gt;0,1,"")</f>
        <v/>
      </c>
      <c r="Q8" s="21" t="str">
        <f>IF(COUNTIFS(KPI_Element_Map!$A$2:$A$287,$A8,KPI_Element_Map!$G$2:$G$287,Q$1)&gt;0,1,"")</f>
        <v/>
      </c>
      <c r="R8" s="21" t="str">
        <f>IF(COUNTIFS(KPI_Element_Map!$A$2:$A$287,$A8,KPI_Element_Map!$G$2:$G$287,R$1)&gt;0,1,"")</f>
        <v/>
      </c>
      <c r="S8" s="21" t="str">
        <f>IF(COUNTIFS(KPI_Element_Map!$A$2:$A$287,$A8,KPI_Element_Map!$G$2:$G$287,S$1)&gt;0,1,"")</f>
        <v/>
      </c>
      <c r="T8" s="21" t="str">
        <f>IF(COUNTIFS(KPI_Element_Map!$A$2:$A$287,$A8,KPI_Element_Map!$G$2:$G$287,T$1)&gt;0,1,"")</f>
        <v/>
      </c>
      <c r="U8" s="21" t="str">
        <f>IF(COUNTIFS(KPI_Element_Map!$A$2:$A$287,$A8,KPI_Element_Map!$G$2:$G$287,U$1)&gt;0,1,"")</f>
        <v/>
      </c>
      <c r="V8" s="21" t="str">
        <f>IF(COUNTIFS(KPI_Element_Map!$A$2:$A$287,$A8,KPI_Element_Map!$G$2:$G$287,V$1)&gt;0,1,"")</f>
        <v/>
      </c>
      <c r="W8" s="21" t="str">
        <f>IF(COUNTIFS(KPI_Element_Map!$A$2:$A$287,$A8,KPI_Element_Map!$G$2:$G$287,W$1)&gt;0,1,"")</f>
        <v/>
      </c>
      <c r="X8" s="21" t="str">
        <f>IF(COUNTIFS(KPI_Element_Map!$A$2:$A$287,$A8,KPI_Element_Map!$G$2:$G$287,X$1)&gt;0,1,"")</f>
        <v/>
      </c>
      <c r="Y8" s="21" t="str">
        <f>IF(COUNTIFS(KPI_Element_Map!$A$2:$A$287,$A8,KPI_Element_Map!$G$2:$G$287,Y$1)&gt;0,1,"")</f>
        <v/>
      </c>
      <c r="Z8" s="21">
        <f>IF(COUNTIFS(KPI_Element_Map!$A$2:$A$287,$A8,KPI_Element_Map!$G$2:$G$287,Z$1)&gt;0,1,"")</f>
        <v>1</v>
      </c>
      <c r="AA8" s="21" t="str">
        <f>IF(COUNTIFS(KPI_Element_Map!$A$2:$A$287,$A8,KPI_Element_Map!$G$2:$G$287,AA$1)&gt;0,1,"")</f>
        <v/>
      </c>
      <c r="AB8" s="21" t="str">
        <f>IF(COUNTIFS(KPI_Element_Map!$A$2:$A$287,$A8,KPI_Element_Map!$G$2:$G$287,AB$1)&gt;0,1,"")</f>
        <v/>
      </c>
      <c r="AC8" s="21" t="str">
        <f>IF(COUNTIFS(KPI_Element_Map!$A$2:$A$287,$A8,KPI_Element_Map!$G$2:$G$287,AC$1)&gt;0,1,"")</f>
        <v/>
      </c>
      <c r="AD8" s="21" t="str">
        <f>IF(COUNTIFS(KPI_Element_Map!$A$2:$A$287,$A8,KPI_Element_Map!$G$2:$G$287,AD$1)&gt;0,1,"")</f>
        <v/>
      </c>
      <c r="AE8" s="21" t="str">
        <f>IF(COUNTIFS(KPI_Element_Map!$A$2:$A$287,$A8,KPI_Element_Map!$G$2:$G$287,AE$1)&gt;0,1,"")</f>
        <v/>
      </c>
      <c r="AF8" s="21" t="str">
        <f>IF(COUNTIFS(KPI_Element_Map!$A$2:$A$287,$A8,KPI_Element_Map!$G$2:$G$287,AF$1)&gt;0,1,"")</f>
        <v/>
      </c>
      <c r="AG8" s="21" t="str">
        <f>IF(COUNTIFS(KPI_Element_Map!$A$2:$A$287,$A8,KPI_Element_Map!$G$2:$G$287,AG$1)&gt;0,1,"")</f>
        <v/>
      </c>
      <c r="AH8" s="21" t="str">
        <f>IF(COUNTIFS(KPI_Element_Map!$A$2:$A$287,$A8,KPI_Element_Map!$G$2:$G$287,AH$1)&gt;0,1,"")</f>
        <v/>
      </c>
      <c r="AI8" s="21" t="str">
        <f>IF(COUNTIFS(KPI_Element_Map!$A$2:$A$287,$A8,KPI_Element_Map!$G$2:$G$287,AI$1)&gt;0,1,"")</f>
        <v/>
      </c>
      <c r="AJ8" s="21" t="str">
        <f>IF(COUNTIFS(KPI_Element_Map!$A$2:$A$287,$A8,KPI_Element_Map!$G$2:$G$287,AJ$1)&gt;0,1,"")</f>
        <v/>
      </c>
      <c r="AK8" s="21" t="str">
        <f>IF(COUNTIFS(KPI_Element_Map!$A$2:$A$287,$A8,KPI_Element_Map!$G$2:$G$287,AK$1)&gt;0,1,"")</f>
        <v/>
      </c>
    </row>
    <row r="9" spans="1:37">
      <c r="A9" s="21">
        <v>8</v>
      </c>
      <c r="B9" s="23" t="str">
        <f>INDEX(KPI_Master!$B:$B,MATCH($A9,KPI_Master!$A:$A,0))</f>
        <v>DINF-12</v>
      </c>
      <c r="C9" s="23" t="str">
        <f>INDEX(KPI_Master!$D:$D,MATCH($A9,KPI_Master!$A:$A,0))</f>
        <v>Nutritional Assessment Completion Rate</v>
      </c>
      <c r="D9" s="23" t="str">
        <f>INDEX(KPI_Master!$K:$K,MATCH($A9,KPI_Master!$A:$A,0))</f>
        <v>2 - Standard</v>
      </c>
      <c r="E9" s="23" t="str">
        <f t="array" ref="E9">_xlfn.TEXTJOIN(", ",TRUE(),IF(KPI_Element_Map!$A$2:$A$287=$A9,KPI_Element_Map!$E$2:$E$287,""))</f>
        <v>E40</v>
      </c>
      <c r="F9" s="21">
        <f t="shared" si="0"/>
        <v>1</v>
      </c>
      <c r="G9" s="21" t="str">
        <f>IF(COUNTIFS(KPI_Element_Map!$A$2:$A$287,$A9,KPI_Element_Map!$G$2:$G$287,G$1)&gt;0,1,"")</f>
        <v/>
      </c>
      <c r="H9" s="21" t="str">
        <f>IF(COUNTIFS(KPI_Element_Map!$A$2:$A$287,$A9,KPI_Element_Map!$G$2:$G$287,H$1)&gt;0,1,"")</f>
        <v/>
      </c>
      <c r="I9" s="21" t="str">
        <f>IF(COUNTIFS(KPI_Element_Map!$A$2:$A$287,$A9,KPI_Element_Map!$G$2:$G$287,I$1)&gt;0,1,"")</f>
        <v/>
      </c>
      <c r="J9" s="21" t="str">
        <f>IF(COUNTIFS(KPI_Element_Map!$A$2:$A$287,$A9,KPI_Element_Map!$G$2:$G$287,J$1)&gt;0,1,"")</f>
        <v/>
      </c>
      <c r="K9" s="21" t="str">
        <f>IF(COUNTIFS(KPI_Element_Map!$A$2:$A$287,$A9,KPI_Element_Map!$G$2:$G$287,K$1)&gt;0,1,"")</f>
        <v/>
      </c>
      <c r="L9" s="21" t="str">
        <f>IF(COUNTIFS(KPI_Element_Map!$A$2:$A$287,$A9,KPI_Element_Map!$G$2:$G$287,L$1)&gt;0,1,"")</f>
        <v/>
      </c>
      <c r="M9" s="21" t="str">
        <f>IF(COUNTIFS(KPI_Element_Map!$A$2:$A$287,$A9,KPI_Element_Map!$G$2:$G$287,M$1)&gt;0,1,"")</f>
        <v/>
      </c>
      <c r="N9" s="21" t="str">
        <f>IF(COUNTIFS(KPI_Element_Map!$A$2:$A$287,$A9,KPI_Element_Map!$G$2:$G$287,N$1)&gt;0,1,"")</f>
        <v/>
      </c>
      <c r="O9" s="21" t="str">
        <f>IF(COUNTIFS(KPI_Element_Map!$A$2:$A$287,$A9,KPI_Element_Map!$G$2:$G$287,O$1)&gt;0,1,"")</f>
        <v/>
      </c>
      <c r="P9" s="21" t="str">
        <f>IF(COUNTIFS(KPI_Element_Map!$A$2:$A$287,$A9,KPI_Element_Map!$G$2:$G$287,P$1)&gt;0,1,"")</f>
        <v/>
      </c>
      <c r="Q9" s="21" t="str">
        <f>IF(COUNTIFS(KPI_Element_Map!$A$2:$A$287,$A9,KPI_Element_Map!$G$2:$G$287,Q$1)&gt;0,1,"")</f>
        <v/>
      </c>
      <c r="R9" s="21" t="str">
        <f>IF(COUNTIFS(KPI_Element_Map!$A$2:$A$287,$A9,KPI_Element_Map!$G$2:$G$287,R$1)&gt;0,1,"")</f>
        <v/>
      </c>
      <c r="S9" s="21" t="str">
        <f>IF(COUNTIFS(KPI_Element_Map!$A$2:$A$287,$A9,KPI_Element_Map!$G$2:$G$287,S$1)&gt;0,1,"")</f>
        <v/>
      </c>
      <c r="T9" s="21" t="str">
        <f>IF(COUNTIFS(KPI_Element_Map!$A$2:$A$287,$A9,KPI_Element_Map!$G$2:$G$287,T$1)&gt;0,1,"")</f>
        <v/>
      </c>
      <c r="U9" s="21">
        <f>IF(COUNTIFS(KPI_Element_Map!$A$2:$A$287,$A9,KPI_Element_Map!$G$2:$G$287,U$1)&gt;0,1,"")</f>
        <v>1</v>
      </c>
      <c r="V9" s="21" t="str">
        <f>IF(COUNTIFS(KPI_Element_Map!$A$2:$A$287,$A9,KPI_Element_Map!$G$2:$G$287,V$1)&gt;0,1,"")</f>
        <v/>
      </c>
      <c r="W9" s="21" t="str">
        <f>IF(COUNTIFS(KPI_Element_Map!$A$2:$A$287,$A9,KPI_Element_Map!$G$2:$G$287,W$1)&gt;0,1,"")</f>
        <v/>
      </c>
      <c r="X9" s="21" t="str">
        <f>IF(COUNTIFS(KPI_Element_Map!$A$2:$A$287,$A9,KPI_Element_Map!$G$2:$G$287,X$1)&gt;0,1,"")</f>
        <v/>
      </c>
      <c r="Y9" s="21" t="str">
        <f>IF(COUNTIFS(KPI_Element_Map!$A$2:$A$287,$A9,KPI_Element_Map!$G$2:$G$287,Y$1)&gt;0,1,"")</f>
        <v/>
      </c>
      <c r="Z9" s="21" t="str">
        <f>IF(COUNTIFS(KPI_Element_Map!$A$2:$A$287,$A9,KPI_Element_Map!$G$2:$G$287,Z$1)&gt;0,1,"")</f>
        <v/>
      </c>
      <c r="AA9" s="21" t="str">
        <f>IF(COUNTIFS(KPI_Element_Map!$A$2:$A$287,$A9,KPI_Element_Map!$G$2:$G$287,AA$1)&gt;0,1,"")</f>
        <v/>
      </c>
      <c r="AB9" s="21" t="str">
        <f>IF(COUNTIFS(KPI_Element_Map!$A$2:$A$287,$A9,KPI_Element_Map!$G$2:$G$287,AB$1)&gt;0,1,"")</f>
        <v/>
      </c>
      <c r="AC9" s="21" t="str">
        <f>IF(COUNTIFS(KPI_Element_Map!$A$2:$A$287,$A9,KPI_Element_Map!$G$2:$G$287,AC$1)&gt;0,1,"")</f>
        <v/>
      </c>
      <c r="AD9" s="21" t="str">
        <f>IF(COUNTIFS(KPI_Element_Map!$A$2:$A$287,$A9,KPI_Element_Map!$G$2:$G$287,AD$1)&gt;0,1,"")</f>
        <v/>
      </c>
      <c r="AE9" s="21" t="str">
        <f>IF(COUNTIFS(KPI_Element_Map!$A$2:$A$287,$A9,KPI_Element_Map!$G$2:$G$287,AE$1)&gt;0,1,"")</f>
        <v/>
      </c>
      <c r="AF9" s="21" t="str">
        <f>IF(COUNTIFS(KPI_Element_Map!$A$2:$A$287,$A9,KPI_Element_Map!$G$2:$G$287,AF$1)&gt;0,1,"")</f>
        <v/>
      </c>
      <c r="AG9" s="21" t="str">
        <f>IF(COUNTIFS(KPI_Element_Map!$A$2:$A$287,$A9,KPI_Element_Map!$G$2:$G$287,AG$1)&gt;0,1,"")</f>
        <v/>
      </c>
      <c r="AH9" s="21" t="str">
        <f>IF(COUNTIFS(KPI_Element_Map!$A$2:$A$287,$A9,KPI_Element_Map!$G$2:$G$287,AH$1)&gt;0,1,"")</f>
        <v/>
      </c>
      <c r="AI9" s="21" t="str">
        <f>IF(COUNTIFS(KPI_Element_Map!$A$2:$A$287,$A9,KPI_Element_Map!$G$2:$G$287,AI$1)&gt;0,1,"")</f>
        <v/>
      </c>
      <c r="AJ9" s="21" t="str">
        <f>IF(COUNTIFS(KPI_Element_Map!$A$2:$A$287,$A9,KPI_Element_Map!$G$2:$G$287,AJ$1)&gt;0,1,"")</f>
        <v/>
      </c>
      <c r="AK9" s="21" t="str">
        <f>IF(COUNTIFS(KPI_Element_Map!$A$2:$A$287,$A9,KPI_Element_Map!$G$2:$G$287,AK$1)&gt;0,1,"")</f>
        <v/>
      </c>
    </row>
    <row r="10" spans="1:37">
      <c r="A10" s="21">
        <v>9</v>
      </c>
      <c r="B10" s="23" t="str">
        <f>INDEX(KPI_Master!$B:$B,MATCH($A10,KPI_Master!$A:$A,0))</f>
        <v>DINF-13</v>
      </c>
      <c r="C10" s="23" t="str">
        <f>INDEX(KPI_Master!$D:$D,MATCH($A10,KPI_Master!$A:$A,0))</f>
        <v>Hydration Monitoring Compliance Rate</v>
      </c>
      <c r="D10" s="23" t="str">
        <f>INDEX(KPI_Master!$K:$K,MATCH($A10,KPI_Master!$A:$A,0))</f>
        <v>2 - Standard</v>
      </c>
      <c r="E10" s="23" t="str">
        <f t="array" ref="E10">_xlfn.TEXTJOIN(", ",TRUE(),IF(KPI_Element_Map!$A$2:$A$287=$A10,KPI_Element_Map!$E$2:$E$287,""))</f>
        <v>E39</v>
      </c>
      <c r="F10" s="21">
        <f t="shared" si="0"/>
        <v>1</v>
      </c>
      <c r="G10" s="21" t="str">
        <f>IF(COUNTIFS(KPI_Element_Map!$A$2:$A$287,$A10,KPI_Element_Map!$G$2:$G$287,G$1)&gt;0,1,"")</f>
        <v/>
      </c>
      <c r="H10" s="21" t="str">
        <f>IF(COUNTIFS(KPI_Element_Map!$A$2:$A$287,$A10,KPI_Element_Map!$G$2:$G$287,H$1)&gt;0,1,"")</f>
        <v/>
      </c>
      <c r="I10" s="21" t="str">
        <f>IF(COUNTIFS(KPI_Element_Map!$A$2:$A$287,$A10,KPI_Element_Map!$G$2:$G$287,I$1)&gt;0,1,"")</f>
        <v/>
      </c>
      <c r="J10" s="21" t="str">
        <f>IF(COUNTIFS(KPI_Element_Map!$A$2:$A$287,$A10,KPI_Element_Map!$G$2:$G$287,J$1)&gt;0,1,"")</f>
        <v/>
      </c>
      <c r="K10" s="21" t="str">
        <f>IF(COUNTIFS(KPI_Element_Map!$A$2:$A$287,$A10,KPI_Element_Map!$G$2:$G$287,K$1)&gt;0,1,"")</f>
        <v/>
      </c>
      <c r="L10" s="21" t="str">
        <f>IF(COUNTIFS(KPI_Element_Map!$A$2:$A$287,$A10,KPI_Element_Map!$G$2:$G$287,L$1)&gt;0,1,"")</f>
        <v/>
      </c>
      <c r="M10" s="21" t="str">
        <f>IF(COUNTIFS(KPI_Element_Map!$A$2:$A$287,$A10,KPI_Element_Map!$G$2:$G$287,M$1)&gt;0,1,"")</f>
        <v/>
      </c>
      <c r="N10" s="21" t="str">
        <f>IF(COUNTIFS(KPI_Element_Map!$A$2:$A$287,$A10,KPI_Element_Map!$G$2:$G$287,N$1)&gt;0,1,"")</f>
        <v/>
      </c>
      <c r="O10" s="21" t="str">
        <f>IF(COUNTIFS(KPI_Element_Map!$A$2:$A$287,$A10,KPI_Element_Map!$G$2:$G$287,O$1)&gt;0,1,"")</f>
        <v/>
      </c>
      <c r="P10" s="21" t="str">
        <f>IF(COUNTIFS(KPI_Element_Map!$A$2:$A$287,$A10,KPI_Element_Map!$G$2:$G$287,P$1)&gt;0,1,"")</f>
        <v/>
      </c>
      <c r="Q10" s="21" t="str">
        <f>IF(COUNTIFS(KPI_Element_Map!$A$2:$A$287,$A10,KPI_Element_Map!$G$2:$G$287,Q$1)&gt;0,1,"")</f>
        <v/>
      </c>
      <c r="R10" s="21" t="str">
        <f>IF(COUNTIFS(KPI_Element_Map!$A$2:$A$287,$A10,KPI_Element_Map!$G$2:$G$287,R$1)&gt;0,1,"")</f>
        <v/>
      </c>
      <c r="S10" s="21" t="str">
        <f>IF(COUNTIFS(KPI_Element_Map!$A$2:$A$287,$A10,KPI_Element_Map!$G$2:$G$287,S$1)&gt;0,1,"")</f>
        <v/>
      </c>
      <c r="T10" s="21" t="str">
        <f>IF(COUNTIFS(KPI_Element_Map!$A$2:$A$287,$A10,KPI_Element_Map!$G$2:$G$287,T$1)&gt;0,1,"")</f>
        <v/>
      </c>
      <c r="U10" s="21">
        <f>IF(COUNTIFS(KPI_Element_Map!$A$2:$A$287,$A10,KPI_Element_Map!$G$2:$G$287,U$1)&gt;0,1,"")</f>
        <v>1</v>
      </c>
      <c r="V10" s="21" t="str">
        <f>IF(COUNTIFS(KPI_Element_Map!$A$2:$A$287,$A10,KPI_Element_Map!$G$2:$G$287,V$1)&gt;0,1,"")</f>
        <v/>
      </c>
      <c r="W10" s="21" t="str">
        <f>IF(COUNTIFS(KPI_Element_Map!$A$2:$A$287,$A10,KPI_Element_Map!$G$2:$G$287,W$1)&gt;0,1,"")</f>
        <v/>
      </c>
      <c r="X10" s="21" t="str">
        <f>IF(COUNTIFS(KPI_Element_Map!$A$2:$A$287,$A10,KPI_Element_Map!$G$2:$G$287,X$1)&gt;0,1,"")</f>
        <v/>
      </c>
      <c r="Y10" s="21" t="str">
        <f>IF(COUNTIFS(KPI_Element_Map!$A$2:$A$287,$A10,KPI_Element_Map!$G$2:$G$287,Y$1)&gt;0,1,"")</f>
        <v/>
      </c>
      <c r="Z10" s="21" t="str">
        <f>IF(COUNTIFS(KPI_Element_Map!$A$2:$A$287,$A10,KPI_Element_Map!$G$2:$G$287,Z$1)&gt;0,1,"")</f>
        <v/>
      </c>
      <c r="AA10" s="21" t="str">
        <f>IF(COUNTIFS(KPI_Element_Map!$A$2:$A$287,$A10,KPI_Element_Map!$G$2:$G$287,AA$1)&gt;0,1,"")</f>
        <v/>
      </c>
      <c r="AB10" s="21" t="str">
        <f>IF(COUNTIFS(KPI_Element_Map!$A$2:$A$287,$A10,KPI_Element_Map!$G$2:$G$287,AB$1)&gt;0,1,"")</f>
        <v/>
      </c>
      <c r="AC10" s="21" t="str">
        <f>IF(COUNTIFS(KPI_Element_Map!$A$2:$A$287,$A10,KPI_Element_Map!$G$2:$G$287,AC$1)&gt;0,1,"")</f>
        <v/>
      </c>
      <c r="AD10" s="21" t="str">
        <f>IF(COUNTIFS(KPI_Element_Map!$A$2:$A$287,$A10,KPI_Element_Map!$G$2:$G$287,AD$1)&gt;0,1,"")</f>
        <v/>
      </c>
      <c r="AE10" s="21" t="str">
        <f>IF(COUNTIFS(KPI_Element_Map!$A$2:$A$287,$A10,KPI_Element_Map!$G$2:$G$287,AE$1)&gt;0,1,"")</f>
        <v/>
      </c>
      <c r="AF10" s="21" t="str">
        <f>IF(COUNTIFS(KPI_Element_Map!$A$2:$A$287,$A10,KPI_Element_Map!$G$2:$G$287,AF$1)&gt;0,1,"")</f>
        <v/>
      </c>
      <c r="AG10" s="21" t="str">
        <f>IF(COUNTIFS(KPI_Element_Map!$A$2:$A$287,$A10,KPI_Element_Map!$G$2:$G$287,AG$1)&gt;0,1,"")</f>
        <v/>
      </c>
      <c r="AH10" s="21" t="str">
        <f>IF(COUNTIFS(KPI_Element_Map!$A$2:$A$287,$A10,KPI_Element_Map!$G$2:$G$287,AH$1)&gt;0,1,"")</f>
        <v/>
      </c>
      <c r="AI10" s="21" t="str">
        <f>IF(COUNTIFS(KPI_Element_Map!$A$2:$A$287,$A10,KPI_Element_Map!$G$2:$G$287,AI$1)&gt;0,1,"")</f>
        <v/>
      </c>
      <c r="AJ10" s="21" t="str">
        <f>IF(COUNTIFS(KPI_Element_Map!$A$2:$A$287,$A10,KPI_Element_Map!$G$2:$G$287,AJ$1)&gt;0,1,"")</f>
        <v/>
      </c>
      <c r="AK10" s="21" t="str">
        <f>IF(COUNTIFS(KPI_Element_Map!$A$2:$A$287,$A10,KPI_Element_Map!$G$2:$G$287,AK$1)&gt;0,1,"")</f>
        <v/>
      </c>
    </row>
    <row r="11" spans="1:37">
      <c r="A11" s="21">
        <v>10</v>
      </c>
      <c r="B11" s="23" t="str">
        <f>INDEX(KPI_Master!$B:$B,MATCH($A11,KPI_Master!$A:$A,0))</f>
        <v>DINF-14</v>
      </c>
      <c r="C11" s="23" t="str">
        <f>INDEX(KPI_Master!$D:$D,MATCH($A11,KPI_Master!$A:$A,0))</f>
        <v>Raw Food Cost per Meal</v>
      </c>
      <c r="D11" s="23" t="str">
        <f>INDEX(KPI_Master!$K:$K,MATCH($A11,KPI_Master!$A:$A,0))</f>
        <v>2 - Standard</v>
      </c>
      <c r="E11" s="23" t="str">
        <f t="array" ref="E11">_xlfn.TEXTJOIN(", ",TRUE(),IF(KPI_Element_Map!$A$2:$A$287=$A11,KPI_Element_Map!$E$2:$E$287,""))</f>
        <v>E58, E47</v>
      </c>
      <c r="F11" s="21">
        <f t="shared" si="0"/>
        <v>2</v>
      </c>
      <c r="G11" s="21" t="str">
        <f>IF(COUNTIFS(KPI_Element_Map!$A$2:$A$287,$A11,KPI_Element_Map!$G$2:$G$287,G$1)&gt;0,1,"")</f>
        <v/>
      </c>
      <c r="H11" s="21" t="str">
        <f>IF(COUNTIFS(KPI_Element_Map!$A$2:$A$287,$A11,KPI_Element_Map!$G$2:$G$287,H$1)&gt;0,1,"")</f>
        <v/>
      </c>
      <c r="I11" s="21">
        <f>IF(COUNTIFS(KPI_Element_Map!$A$2:$A$287,$A11,KPI_Element_Map!$G$2:$G$287,I$1)&gt;0,1,"")</f>
        <v>1</v>
      </c>
      <c r="J11" s="21" t="str">
        <f>IF(COUNTIFS(KPI_Element_Map!$A$2:$A$287,$A11,KPI_Element_Map!$G$2:$G$287,J$1)&gt;0,1,"")</f>
        <v/>
      </c>
      <c r="K11" s="21" t="str">
        <f>IF(COUNTIFS(KPI_Element_Map!$A$2:$A$287,$A11,KPI_Element_Map!$G$2:$G$287,K$1)&gt;0,1,"")</f>
        <v/>
      </c>
      <c r="L11" s="21" t="str">
        <f>IF(COUNTIFS(KPI_Element_Map!$A$2:$A$287,$A11,KPI_Element_Map!$G$2:$G$287,L$1)&gt;0,1,"")</f>
        <v/>
      </c>
      <c r="M11" s="21" t="str">
        <f>IF(COUNTIFS(KPI_Element_Map!$A$2:$A$287,$A11,KPI_Element_Map!$G$2:$G$287,M$1)&gt;0,1,"")</f>
        <v/>
      </c>
      <c r="N11" s="21" t="str">
        <f>IF(COUNTIFS(KPI_Element_Map!$A$2:$A$287,$A11,KPI_Element_Map!$G$2:$G$287,N$1)&gt;0,1,"")</f>
        <v/>
      </c>
      <c r="O11" s="21" t="str">
        <f>IF(COUNTIFS(KPI_Element_Map!$A$2:$A$287,$A11,KPI_Element_Map!$G$2:$G$287,O$1)&gt;0,1,"")</f>
        <v/>
      </c>
      <c r="P11" s="21" t="str">
        <f>IF(COUNTIFS(KPI_Element_Map!$A$2:$A$287,$A11,KPI_Element_Map!$G$2:$G$287,P$1)&gt;0,1,"")</f>
        <v/>
      </c>
      <c r="Q11" s="21" t="str">
        <f>IF(COUNTIFS(KPI_Element_Map!$A$2:$A$287,$A11,KPI_Element_Map!$G$2:$G$287,Q$1)&gt;0,1,"")</f>
        <v/>
      </c>
      <c r="R11" s="21" t="str">
        <f>IF(COUNTIFS(KPI_Element_Map!$A$2:$A$287,$A11,KPI_Element_Map!$G$2:$G$287,R$1)&gt;0,1,"")</f>
        <v/>
      </c>
      <c r="S11" s="21" t="str">
        <f>IF(COUNTIFS(KPI_Element_Map!$A$2:$A$287,$A11,KPI_Element_Map!$G$2:$G$287,S$1)&gt;0,1,"")</f>
        <v/>
      </c>
      <c r="T11" s="21" t="str">
        <f>IF(COUNTIFS(KPI_Element_Map!$A$2:$A$287,$A11,KPI_Element_Map!$G$2:$G$287,T$1)&gt;0,1,"")</f>
        <v/>
      </c>
      <c r="U11" s="21" t="str">
        <f>IF(COUNTIFS(KPI_Element_Map!$A$2:$A$287,$A11,KPI_Element_Map!$G$2:$G$287,U$1)&gt;0,1,"")</f>
        <v/>
      </c>
      <c r="V11" s="21" t="str">
        <f>IF(COUNTIFS(KPI_Element_Map!$A$2:$A$287,$A11,KPI_Element_Map!$G$2:$G$287,V$1)&gt;0,1,"")</f>
        <v/>
      </c>
      <c r="W11" s="21" t="str">
        <f>IF(COUNTIFS(KPI_Element_Map!$A$2:$A$287,$A11,KPI_Element_Map!$G$2:$G$287,W$1)&gt;0,1,"")</f>
        <v/>
      </c>
      <c r="X11" s="21" t="str">
        <f>IF(COUNTIFS(KPI_Element_Map!$A$2:$A$287,$A11,KPI_Element_Map!$G$2:$G$287,X$1)&gt;0,1,"")</f>
        <v/>
      </c>
      <c r="Y11" s="21" t="str">
        <f>IF(COUNTIFS(KPI_Element_Map!$A$2:$A$287,$A11,KPI_Element_Map!$G$2:$G$287,Y$1)&gt;0,1,"")</f>
        <v/>
      </c>
      <c r="Z11" s="21" t="str">
        <f>IF(COUNTIFS(KPI_Element_Map!$A$2:$A$287,$A11,KPI_Element_Map!$G$2:$G$287,Z$1)&gt;0,1,"")</f>
        <v/>
      </c>
      <c r="AA11" s="21" t="str">
        <f>IF(COUNTIFS(KPI_Element_Map!$A$2:$A$287,$A11,KPI_Element_Map!$G$2:$G$287,AA$1)&gt;0,1,"")</f>
        <v/>
      </c>
      <c r="AB11" s="21">
        <f>IF(COUNTIFS(KPI_Element_Map!$A$2:$A$287,$A11,KPI_Element_Map!$G$2:$G$287,AB$1)&gt;0,1,"")</f>
        <v>1</v>
      </c>
      <c r="AC11" s="21" t="str">
        <f>IF(COUNTIFS(KPI_Element_Map!$A$2:$A$287,$A11,KPI_Element_Map!$G$2:$G$287,AC$1)&gt;0,1,"")</f>
        <v/>
      </c>
      <c r="AD11" s="21" t="str">
        <f>IF(COUNTIFS(KPI_Element_Map!$A$2:$A$287,$A11,KPI_Element_Map!$G$2:$G$287,AD$1)&gt;0,1,"")</f>
        <v/>
      </c>
      <c r="AE11" s="21" t="str">
        <f>IF(COUNTIFS(KPI_Element_Map!$A$2:$A$287,$A11,KPI_Element_Map!$G$2:$G$287,AE$1)&gt;0,1,"")</f>
        <v/>
      </c>
      <c r="AF11" s="21" t="str">
        <f>IF(COUNTIFS(KPI_Element_Map!$A$2:$A$287,$A11,KPI_Element_Map!$G$2:$G$287,AF$1)&gt;0,1,"")</f>
        <v/>
      </c>
      <c r="AG11" s="21" t="str">
        <f>IF(COUNTIFS(KPI_Element_Map!$A$2:$A$287,$A11,KPI_Element_Map!$G$2:$G$287,AG$1)&gt;0,1,"")</f>
        <v/>
      </c>
      <c r="AH11" s="21" t="str">
        <f>IF(COUNTIFS(KPI_Element_Map!$A$2:$A$287,$A11,KPI_Element_Map!$G$2:$G$287,AH$1)&gt;0,1,"")</f>
        <v/>
      </c>
      <c r="AI11" s="21" t="str">
        <f>IF(COUNTIFS(KPI_Element_Map!$A$2:$A$287,$A11,KPI_Element_Map!$G$2:$G$287,AI$1)&gt;0,1,"")</f>
        <v/>
      </c>
      <c r="AJ11" s="21" t="str">
        <f>IF(COUNTIFS(KPI_Element_Map!$A$2:$A$287,$A11,KPI_Element_Map!$G$2:$G$287,AJ$1)&gt;0,1,"")</f>
        <v/>
      </c>
      <c r="AK11" s="21" t="str">
        <f>IF(COUNTIFS(KPI_Element_Map!$A$2:$A$287,$A11,KPI_Element_Map!$G$2:$G$287,AK$1)&gt;0,1,"")</f>
        <v/>
      </c>
    </row>
    <row r="12" spans="1:37">
      <c r="A12" s="21">
        <v>11</v>
      </c>
      <c r="B12" s="23" t="str">
        <f>INDEX(KPI_Master!$B:$B,MATCH($A12,KPI_Master!$A:$A,0))</f>
        <v>DINF-15</v>
      </c>
      <c r="C12" s="23" t="str">
        <f>INDEX(KPI_Master!$D:$D,MATCH($A12,KPI_Master!$A:$A,0))</f>
        <v>Meals per Labor Hour</v>
      </c>
      <c r="D12" s="23" t="str">
        <f>INDEX(KPI_Master!$K:$K,MATCH($A12,KPI_Master!$A:$A,0))</f>
        <v>2 - Standard</v>
      </c>
      <c r="E12" s="23" t="str">
        <f t="array" ref="E12">_xlfn.TEXTJOIN(", ",TRUE(),IF(KPI_Element_Map!$A$2:$A$287=$A12,KPI_Element_Map!$E$2:$E$287,""))</f>
        <v>E47, E26</v>
      </c>
      <c r="F12" s="21">
        <f t="shared" si="0"/>
        <v>2</v>
      </c>
      <c r="G12" s="21" t="str">
        <f>IF(COUNTIFS(KPI_Element_Map!$A$2:$A$287,$A12,KPI_Element_Map!$G$2:$G$287,G$1)&gt;0,1,"")</f>
        <v/>
      </c>
      <c r="H12" s="21" t="str">
        <f>IF(COUNTIFS(KPI_Element_Map!$A$2:$A$287,$A12,KPI_Element_Map!$G$2:$G$287,H$1)&gt;0,1,"")</f>
        <v/>
      </c>
      <c r="I12" s="21" t="str">
        <f>IF(COUNTIFS(KPI_Element_Map!$A$2:$A$287,$A12,KPI_Element_Map!$G$2:$G$287,I$1)&gt;0,1,"")</f>
        <v/>
      </c>
      <c r="J12" s="21" t="str">
        <f>IF(COUNTIFS(KPI_Element_Map!$A$2:$A$287,$A12,KPI_Element_Map!$G$2:$G$287,J$1)&gt;0,1,"")</f>
        <v/>
      </c>
      <c r="K12" s="21" t="str">
        <f>IF(COUNTIFS(KPI_Element_Map!$A$2:$A$287,$A12,KPI_Element_Map!$G$2:$G$287,K$1)&gt;0,1,"")</f>
        <v/>
      </c>
      <c r="L12" s="21">
        <f>IF(COUNTIFS(KPI_Element_Map!$A$2:$A$287,$A12,KPI_Element_Map!$G$2:$G$287,L$1)&gt;0,1,"")</f>
        <v>1</v>
      </c>
      <c r="M12" s="21" t="str">
        <f>IF(COUNTIFS(KPI_Element_Map!$A$2:$A$287,$A12,KPI_Element_Map!$G$2:$G$287,M$1)&gt;0,1,"")</f>
        <v/>
      </c>
      <c r="N12" s="21" t="str">
        <f>IF(COUNTIFS(KPI_Element_Map!$A$2:$A$287,$A12,KPI_Element_Map!$G$2:$G$287,N$1)&gt;0,1,"")</f>
        <v/>
      </c>
      <c r="O12" s="21" t="str">
        <f>IF(COUNTIFS(KPI_Element_Map!$A$2:$A$287,$A12,KPI_Element_Map!$G$2:$G$287,O$1)&gt;0,1,"")</f>
        <v/>
      </c>
      <c r="P12" s="21" t="str">
        <f>IF(COUNTIFS(KPI_Element_Map!$A$2:$A$287,$A12,KPI_Element_Map!$G$2:$G$287,P$1)&gt;0,1,"")</f>
        <v/>
      </c>
      <c r="Q12" s="21" t="str">
        <f>IF(COUNTIFS(KPI_Element_Map!$A$2:$A$287,$A12,KPI_Element_Map!$G$2:$G$287,Q$1)&gt;0,1,"")</f>
        <v/>
      </c>
      <c r="R12" s="21" t="str">
        <f>IF(COUNTIFS(KPI_Element_Map!$A$2:$A$287,$A12,KPI_Element_Map!$G$2:$G$287,R$1)&gt;0,1,"")</f>
        <v/>
      </c>
      <c r="S12" s="21" t="str">
        <f>IF(COUNTIFS(KPI_Element_Map!$A$2:$A$287,$A12,KPI_Element_Map!$G$2:$G$287,S$1)&gt;0,1,"")</f>
        <v/>
      </c>
      <c r="T12" s="21" t="str">
        <f>IF(COUNTIFS(KPI_Element_Map!$A$2:$A$287,$A12,KPI_Element_Map!$G$2:$G$287,T$1)&gt;0,1,"")</f>
        <v/>
      </c>
      <c r="U12" s="21" t="str">
        <f>IF(COUNTIFS(KPI_Element_Map!$A$2:$A$287,$A12,KPI_Element_Map!$G$2:$G$287,U$1)&gt;0,1,"")</f>
        <v/>
      </c>
      <c r="V12" s="21" t="str">
        <f>IF(COUNTIFS(KPI_Element_Map!$A$2:$A$287,$A12,KPI_Element_Map!$G$2:$G$287,V$1)&gt;0,1,"")</f>
        <v/>
      </c>
      <c r="W12" s="21" t="str">
        <f>IF(COUNTIFS(KPI_Element_Map!$A$2:$A$287,$A12,KPI_Element_Map!$G$2:$G$287,W$1)&gt;0,1,"")</f>
        <v/>
      </c>
      <c r="X12" s="21" t="str">
        <f>IF(COUNTIFS(KPI_Element_Map!$A$2:$A$287,$A12,KPI_Element_Map!$G$2:$G$287,X$1)&gt;0,1,"")</f>
        <v/>
      </c>
      <c r="Y12" s="21" t="str">
        <f>IF(COUNTIFS(KPI_Element_Map!$A$2:$A$287,$A12,KPI_Element_Map!$G$2:$G$287,Y$1)&gt;0,1,"")</f>
        <v/>
      </c>
      <c r="Z12" s="21" t="str">
        <f>IF(COUNTIFS(KPI_Element_Map!$A$2:$A$287,$A12,KPI_Element_Map!$G$2:$G$287,Z$1)&gt;0,1,"")</f>
        <v/>
      </c>
      <c r="AA12" s="21" t="str">
        <f>IF(COUNTIFS(KPI_Element_Map!$A$2:$A$287,$A12,KPI_Element_Map!$G$2:$G$287,AA$1)&gt;0,1,"")</f>
        <v/>
      </c>
      <c r="AB12" s="21">
        <f>IF(COUNTIFS(KPI_Element_Map!$A$2:$A$287,$A12,KPI_Element_Map!$G$2:$G$287,AB$1)&gt;0,1,"")</f>
        <v>1</v>
      </c>
      <c r="AC12" s="21" t="str">
        <f>IF(COUNTIFS(KPI_Element_Map!$A$2:$A$287,$A12,KPI_Element_Map!$G$2:$G$287,AC$1)&gt;0,1,"")</f>
        <v/>
      </c>
      <c r="AD12" s="21" t="str">
        <f>IF(COUNTIFS(KPI_Element_Map!$A$2:$A$287,$A12,KPI_Element_Map!$G$2:$G$287,AD$1)&gt;0,1,"")</f>
        <v/>
      </c>
      <c r="AE12" s="21" t="str">
        <f>IF(COUNTIFS(KPI_Element_Map!$A$2:$A$287,$A12,KPI_Element_Map!$G$2:$G$287,AE$1)&gt;0,1,"")</f>
        <v/>
      </c>
      <c r="AF12" s="21" t="str">
        <f>IF(COUNTIFS(KPI_Element_Map!$A$2:$A$287,$A12,KPI_Element_Map!$G$2:$G$287,AF$1)&gt;0,1,"")</f>
        <v/>
      </c>
      <c r="AG12" s="21" t="str">
        <f>IF(COUNTIFS(KPI_Element_Map!$A$2:$A$287,$A12,KPI_Element_Map!$G$2:$G$287,AG$1)&gt;0,1,"")</f>
        <v/>
      </c>
      <c r="AH12" s="21" t="str">
        <f>IF(COUNTIFS(KPI_Element_Map!$A$2:$A$287,$A12,KPI_Element_Map!$G$2:$G$287,AH$1)&gt;0,1,"")</f>
        <v/>
      </c>
      <c r="AI12" s="21" t="str">
        <f>IF(COUNTIFS(KPI_Element_Map!$A$2:$A$287,$A12,KPI_Element_Map!$G$2:$G$287,AI$1)&gt;0,1,"")</f>
        <v/>
      </c>
      <c r="AJ12" s="21" t="str">
        <f>IF(COUNTIFS(KPI_Element_Map!$A$2:$A$287,$A12,KPI_Element_Map!$G$2:$G$287,AJ$1)&gt;0,1,"")</f>
        <v/>
      </c>
      <c r="AK12" s="21" t="str">
        <f>IF(COUNTIFS(KPI_Element_Map!$A$2:$A$287,$A12,KPI_Element_Map!$G$2:$G$287,AK$1)&gt;0,1,"")</f>
        <v/>
      </c>
    </row>
    <row r="13" spans="1:37">
      <c r="A13" s="21">
        <v>12</v>
      </c>
      <c r="B13" s="23" t="str">
        <f>INDEX(KPI_Master!$B:$B,MATCH($A13,KPI_Master!$A:$A,0))</f>
        <v>FINA-01</v>
      </c>
      <c r="C13" s="23" t="str">
        <f>INDEX(KPI_Master!$D:$D,MATCH($A13,KPI_Master!$A:$A,0))</f>
        <v>Occupancy Rate</v>
      </c>
      <c r="D13" s="23" t="str">
        <f>INDEX(KPI_Master!$K:$K,MATCH($A13,KPI_Master!$A:$A,0))</f>
        <v>1 - Core</v>
      </c>
      <c r="E13" s="23" t="str">
        <f t="array" ref="E13">_xlfn.TEXTJOIN(", ",TRUE(),IF(KPI_Element_Map!$A$2:$A$287=$A13,KPI_Element_Map!$E$2:$E$287,""))</f>
        <v>E02, E11</v>
      </c>
      <c r="F13" s="21">
        <f t="shared" si="0"/>
        <v>2</v>
      </c>
      <c r="G13" s="21">
        <f>IF(COUNTIFS(KPI_Element_Map!$A$2:$A$287,$A13,KPI_Element_Map!$G$2:$G$287,G$1)&gt;0,1,"")</f>
        <v>1</v>
      </c>
      <c r="H13" s="21">
        <f>IF(COUNTIFS(KPI_Element_Map!$A$2:$A$287,$A13,KPI_Element_Map!$G$2:$G$287,H$1)&gt;0,1,"")</f>
        <v>1</v>
      </c>
      <c r="I13" s="21" t="str">
        <f>IF(COUNTIFS(KPI_Element_Map!$A$2:$A$287,$A13,KPI_Element_Map!$G$2:$G$287,I$1)&gt;0,1,"")</f>
        <v/>
      </c>
      <c r="J13" s="21" t="str">
        <f>IF(COUNTIFS(KPI_Element_Map!$A$2:$A$287,$A13,KPI_Element_Map!$G$2:$G$287,J$1)&gt;0,1,"")</f>
        <v/>
      </c>
      <c r="K13" s="21" t="str">
        <f>IF(COUNTIFS(KPI_Element_Map!$A$2:$A$287,$A13,KPI_Element_Map!$G$2:$G$287,K$1)&gt;0,1,"")</f>
        <v/>
      </c>
      <c r="L13" s="21" t="str">
        <f>IF(COUNTIFS(KPI_Element_Map!$A$2:$A$287,$A13,KPI_Element_Map!$G$2:$G$287,L$1)&gt;0,1,"")</f>
        <v/>
      </c>
      <c r="M13" s="21" t="str">
        <f>IF(COUNTIFS(KPI_Element_Map!$A$2:$A$287,$A13,KPI_Element_Map!$G$2:$G$287,M$1)&gt;0,1,"")</f>
        <v/>
      </c>
      <c r="N13" s="21" t="str">
        <f>IF(COUNTIFS(KPI_Element_Map!$A$2:$A$287,$A13,KPI_Element_Map!$G$2:$G$287,N$1)&gt;0,1,"")</f>
        <v/>
      </c>
      <c r="O13" s="21" t="str">
        <f>IF(COUNTIFS(KPI_Element_Map!$A$2:$A$287,$A13,KPI_Element_Map!$G$2:$G$287,O$1)&gt;0,1,"")</f>
        <v/>
      </c>
      <c r="P13" s="21" t="str">
        <f>IF(COUNTIFS(KPI_Element_Map!$A$2:$A$287,$A13,KPI_Element_Map!$G$2:$G$287,P$1)&gt;0,1,"")</f>
        <v/>
      </c>
      <c r="Q13" s="21" t="str">
        <f>IF(COUNTIFS(KPI_Element_Map!$A$2:$A$287,$A13,KPI_Element_Map!$G$2:$G$287,Q$1)&gt;0,1,"")</f>
        <v/>
      </c>
      <c r="R13" s="21" t="str">
        <f>IF(COUNTIFS(KPI_Element_Map!$A$2:$A$287,$A13,KPI_Element_Map!$G$2:$G$287,R$1)&gt;0,1,"")</f>
        <v/>
      </c>
      <c r="S13" s="21" t="str">
        <f>IF(COUNTIFS(KPI_Element_Map!$A$2:$A$287,$A13,KPI_Element_Map!$G$2:$G$287,S$1)&gt;0,1,"")</f>
        <v/>
      </c>
      <c r="T13" s="21" t="str">
        <f>IF(COUNTIFS(KPI_Element_Map!$A$2:$A$287,$A13,KPI_Element_Map!$G$2:$G$287,T$1)&gt;0,1,"")</f>
        <v/>
      </c>
      <c r="U13" s="21" t="str">
        <f>IF(COUNTIFS(KPI_Element_Map!$A$2:$A$287,$A13,KPI_Element_Map!$G$2:$G$287,U$1)&gt;0,1,"")</f>
        <v/>
      </c>
      <c r="V13" s="21" t="str">
        <f>IF(COUNTIFS(KPI_Element_Map!$A$2:$A$287,$A13,KPI_Element_Map!$G$2:$G$287,V$1)&gt;0,1,"")</f>
        <v/>
      </c>
      <c r="W13" s="21" t="str">
        <f>IF(COUNTIFS(KPI_Element_Map!$A$2:$A$287,$A13,KPI_Element_Map!$G$2:$G$287,W$1)&gt;0,1,"")</f>
        <v/>
      </c>
      <c r="X13" s="21" t="str">
        <f>IF(COUNTIFS(KPI_Element_Map!$A$2:$A$287,$A13,KPI_Element_Map!$G$2:$G$287,X$1)&gt;0,1,"")</f>
        <v/>
      </c>
      <c r="Y13" s="21" t="str">
        <f>IF(COUNTIFS(KPI_Element_Map!$A$2:$A$287,$A13,KPI_Element_Map!$G$2:$G$287,Y$1)&gt;0,1,"")</f>
        <v/>
      </c>
      <c r="Z13" s="21" t="str">
        <f>IF(COUNTIFS(KPI_Element_Map!$A$2:$A$287,$A13,KPI_Element_Map!$G$2:$G$287,Z$1)&gt;0,1,"")</f>
        <v/>
      </c>
      <c r="AA13" s="21" t="str">
        <f>IF(COUNTIFS(KPI_Element_Map!$A$2:$A$287,$A13,KPI_Element_Map!$G$2:$G$287,AA$1)&gt;0,1,"")</f>
        <v/>
      </c>
      <c r="AB13" s="21" t="str">
        <f>IF(COUNTIFS(KPI_Element_Map!$A$2:$A$287,$A13,KPI_Element_Map!$G$2:$G$287,AB$1)&gt;0,1,"")</f>
        <v/>
      </c>
      <c r="AC13" s="21" t="str">
        <f>IF(COUNTIFS(KPI_Element_Map!$A$2:$A$287,$A13,KPI_Element_Map!$G$2:$G$287,AC$1)&gt;0,1,"")</f>
        <v/>
      </c>
      <c r="AD13" s="21" t="str">
        <f>IF(COUNTIFS(KPI_Element_Map!$A$2:$A$287,$A13,KPI_Element_Map!$G$2:$G$287,AD$1)&gt;0,1,"")</f>
        <v/>
      </c>
      <c r="AE13" s="21" t="str">
        <f>IF(COUNTIFS(KPI_Element_Map!$A$2:$A$287,$A13,KPI_Element_Map!$G$2:$G$287,AE$1)&gt;0,1,"")</f>
        <v/>
      </c>
      <c r="AF13" s="21" t="str">
        <f>IF(COUNTIFS(KPI_Element_Map!$A$2:$A$287,$A13,KPI_Element_Map!$G$2:$G$287,AF$1)&gt;0,1,"")</f>
        <v/>
      </c>
      <c r="AG13" s="21" t="str">
        <f>IF(COUNTIFS(KPI_Element_Map!$A$2:$A$287,$A13,KPI_Element_Map!$G$2:$G$287,AG$1)&gt;0,1,"")</f>
        <v/>
      </c>
      <c r="AH13" s="21" t="str">
        <f>IF(COUNTIFS(KPI_Element_Map!$A$2:$A$287,$A13,KPI_Element_Map!$G$2:$G$287,AH$1)&gt;0,1,"")</f>
        <v/>
      </c>
      <c r="AI13" s="21" t="str">
        <f>IF(COUNTIFS(KPI_Element_Map!$A$2:$A$287,$A13,KPI_Element_Map!$G$2:$G$287,AI$1)&gt;0,1,"")</f>
        <v/>
      </c>
      <c r="AJ13" s="21" t="str">
        <f>IF(COUNTIFS(KPI_Element_Map!$A$2:$A$287,$A13,KPI_Element_Map!$G$2:$G$287,AJ$1)&gt;0,1,"")</f>
        <v/>
      </c>
      <c r="AK13" s="21" t="str">
        <f>IF(COUNTIFS(KPI_Element_Map!$A$2:$A$287,$A13,KPI_Element_Map!$G$2:$G$287,AK$1)&gt;0,1,"")</f>
        <v/>
      </c>
    </row>
    <row r="14" spans="1:37">
      <c r="A14" s="21">
        <v>13</v>
      </c>
      <c r="B14" s="23" t="str">
        <f>INDEX(KPI_Master!$B:$B,MATCH($A14,KPI_Master!$A:$A,0))</f>
        <v>FINA-03</v>
      </c>
      <c r="C14" s="23" t="str">
        <f>INDEX(KPI_Master!$D:$D,MATCH($A14,KPI_Master!$A:$A,0))</f>
        <v>Revenue per Occupied Unit (RevPOU)</v>
      </c>
      <c r="D14" s="23" t="str">
        <f>INDEX(KPI_Master!$K:$K,MATCH($A14,KPI_Master!$A:$A,0))</f>
        <v>1 - Core</v>
      </c>
      <c r="E14" s="23" t="str">
        <f t="array" ref="E14">_xlfn.TEXTJOIN(", ",TRUE(),IF(KPI_Element_Map!$A$2:$A$287=$A14,KPI_Element_Map!$E$2:$E$287,""))</f>
        <v>E24, E02</v>
      </c>
      <c r="F14" s="21">
        <f t="shared" si="0"/>
        <v>2</v>
      </c>
      <c r="G14" s="21">
        <f>IF(COUNTIFS(KPI_Element_Map!$A$2:$A$287,$A14,KPI_Element_Map!$G$2:$G$287,G$1)&gt;0,1,"")</f>
        <v>1</v>
      </c>
      <c r="H14" s="21" t="str">
        <f>IF(COUNTIFS(KPI_Element_Map!$A$2:$A$287,$A14,KPI_Element_Map!$G$2:$G$287,H$1)&gt;0,1,"")</f>
        <v/>
      </c>
      <c r="I14" s="21" t="str">
        <f>IF(COUNTIFS(KPI_Element_Map!$A$2:$A$287,$A14,KPI_Element_Map!$G$2:$G$287,I$1)&gt;0,1,"")</f>
        <v/>
      </c>
      <c r="J14" s="21">
        <f>IF(COUNTIFS(KPI_Element_Map!$A$2:$A$287,$A14,KPI_Element_Map!$G$2:$G$287,J$1)&gt;0,1,"")</f>
        <v>1</v>
      </c>
      <c r="K14" s="21" t="str">
        <f>IF(COUNTIFS(KPI_Element_Map!$A$2:$A$287,$A14,KPI_Element_Map!$G$2:$G$287,K$1)&gt;0,1,"")</f>
        <v/>
      </c>
      <c r="L14" s="21" t="str">
        <f>IF(COUNTIFS(KPI_Element_Map!$A$2:$A$287,$A14,KPI_Element_Map!$G$2:$G$287,L$1)&gt;0,1,"")</f>
        <v/>
      </c>
      <c r="M14" s="21" t="str">
        <f>IF(COUNTIFS(KPI_Element_Map!$A$2:$A$287,$A14,KPI_Element_Map!$G$2:$G$287,M$1)&gt;0,1,"")</f>
        <v/>
      </c>
      <c r="N14" s="21" t="str">
        <f>IF(COUNTIFS(KPI_Element_Map!$A$2:$A$287,$A14,KPI_Element_Map!$G$2:$G$287,N$1)&gt;0,1,"")</f>
        <v/>
      </c>
      <c r="O14" s="21" t="str">
        <f>IF(COUNTIFS(KPI_Element_Map!$A$2:$A$287,$A14,KPI_Element_Map!$G$2:$G$287,O$1)&gt;0,1,"")</f>
        <v/>
      </c>
      <c r="P14" s="21" t="str">
        <f>IF(COUNTIFS(KPI_Element_Map!$A$2:$A$287,$A14,KPI_Element_Map!$G$2:$G$287,P$1)&gt;0,1,"")</f>
        <v/>
      </c>
      <c r="Q14" s="21" t="str">
        <f>IF(COUNTIFS(KPI_Element_Map!$A$2:$A$287,$A14,KPI_Element_Map!$G$2:$G$287,Q$1)&gt;0,1,"")</f>
        <v/>
      </c>
      <c r="R14" s="21" t="str">
        <f>IF(COUNTIFS(KPI_Element_Map!$A$2:$A$287,$A14,KPI_Element_Map!$G$2:$G$287,R$1)&gt;0,1,"")</f>
        <v/>
      </c>
      <c r="S14" s="21" t="str">
        <f>IF(COUNTIFS(KPI_Element_Map!$A$2:$A$287,$A14,KPI_Element_Map!$G$2:$G$287,S$1)&gt;0,1,"")</f>
        <v/>
      </c>
      <c r="T14" s="21" t="str">
        <f>IF(COUNTIFS(KPI_Element_Map!$A$2:$A$287,$A14,KPI_Element_Map!$G$2:$G$287,T$1)&gt;0,1,"")</f>
        <v/>
      </c>
      <c r="U14" s="21" t="str">
        <f>IF(COUNTIFS(KPI_Element_Map!$A$2:$A$287,$A14,KPI_Element_Map!$G$2:$G$287,U$1)&gt;0,1,"")</f>
        <v/>
      </c>
      <c r="V14" s="21" t="str">
        <f>IF(COUNTIFS(KPI_Element_Map!$A$2:$A$287,$A14,KPI_Element_Map!$G$2:$G$287,V$1)&gt;0,1,"")</f>
        <v/>
      </c>
      <c r="W14" s="21" t="str">
        <f>IF(COUNTIFS(KPI_Element_Map!$A$2:$A$287,$A14,KPI_Element_Map!$G$2:$G$287,W$1)&gt;0,1,"")</f>
        <v/>
      </c>
      <c r="X14" s="21" t="str">
        <f>IF(COUNTIFS(KPI_Element_Map!$A$2:$A$287,$A14,KPI_Element_Map!$G$2:$G$287,X$1)&gt;0,1,"")</f>
        <v/>
      </c>
      <c r="Y14" s="21" t="str">
        <f>IF(COUNTIFS(KPI_Element_Map!$A$2:$A$287,$A14,KPI_Element_Map!$G$2:$G$287,Y$1)&gt;0,1,"")</f>
        <v/>
      </c>
      <c r="Z14" s="21" t="str">
        <f>IF(COUNTIFS(KPI_Element_Map!$A$2:$A$287,$A14,KPI_Element_Map!$G$2:$G$287,Z$1)&gt;0,1,"")</f>
        <v/>
      </c>
      <c r="AA14" s="21" t="str">
        <f>IF(COUNTIFS(KPI_Element_Map!$A$2:$A$287,$A14,KPI_Element_Map!$G$2:$G$287,AA$1)&gt;0,1,"")</f>
        <v/>
      </c>
      <c r="AB14" s="21" t="str">
        <f>IF(COUNTIFS(KPI_Element_Map!$A$2:$A$287,$A14,KPI_Element_Map!$G$2:$G$287,AB$1)&gt;0,1,"")</f>
        <v/>
      </c>
      <c r="AC14" s="21" t="str">
        <f>IF(COUNTIFS(KPI_Element_Map!$A$2:$A$287,$A14,KPI_Element_Map!$G$2:$G$287,AC$1)&gt;0,1,"")</f>
        <v/>
      </c>
      <c r="AD14" s="21" t="str">
        <f>IF(COUNTIFS(KPI_Element_Map!$A$2:$A$287,$A14,KPI_Element_Map!$G$2:$G$287,AD$1)&gt;0,1,"")</f>
        <v/>
      </c>
      <c r="AE14" s="21" t="str">
        <f>IF(COUNTIFS(KPI_Element_Map!$A$2:$A$287,$A14,KPI_Element_Map!$G$2:$G$287,AE$1)&gt;0,1,"")</f>
        <v/>
      </c>
      <c r="AF14" s="21" t="str">
        <f>IF(COUNTIFS(KPI_Element_Map!$A$2:$A$287,$A14,KPI_Element_Map!$G$2:$G$287,AF$1)&gt;0,1,"")</f>
        <v/>
      </c>
      <c r="AG14" s="21" t="str">
        <f>IF(COUNTIFS(KPI_Element_Map!$A$2:$A$287,$A14,KPI_Element_Map!$G$2:$G$287,AG$1)&gt;0,1,"")</f>
        <v/>
      </c>
      <c r="AH14" s="21" t="str">
        <f>IF(COUNTIFS(KPI_Element_Map!$A$2:$A$287,$A14,KPI_Element_Map!$G$2:$G$287,AH$1)&gt;0,1,"")</f>
        <v/>
      </c>
      <c r="AI14" s="21" t="str">
        <f>IF(COUNTIFS(KPI_Element_Map!$A$2:$A$287,$A14,KPI_Element_Map!$G$2:$G$287,AI$1)&gt;0,1,"")</f>
        <v/>
      </c>
      <c r="AJ14" s="21" t="str">
        <f>IF(COUNTIFS(KPI_Element_Map!$A$2:$A$287,$A14,KPI_Element_Map!$G$2:$G$287,AJ$1)&gt;0,1,"")</f>
        <v/>
      </c>
      <c r="AK14" s="21" t="str">
        <f>IF(COUNTIFS(KPI_Element_Map!$A$2:$A$287,$A14,KPI_Element_Map!$G$2:$G$287,AK$1)&gt;0,1,"")</f>
        <v/>
      </c>
    </row>
    <row r="15" spans="1:37">
      <c r="A15" s="21">
        <v>14</v>
      </c>
      <c r="B15" s="23" t="str">
        <f>INDEX(KPI_Master!$B:$B,MATCH($A15,KPI_Master!$A:$A,0))</f>
        <v>FINA-04</v>
      </c>
      <c r="C15" s="23" t="str">
        <f>INDEX(KPI_Master!$D:$D,MATCH($A15,KPI_Master!$A:$A,0))</f>
        <v>Net Operating Income (NOI) Margin</v>
      </c>
      <c r="D15" s="23" t="str">
        <f>INDEX(KPI_Master!$K:$K,MATCH($A15,KPI_Master!$A:$A,0))</f>
        <v>1 - Core</v>
      </c>
      <c r="E15" s="23" t="str">
        <f t="array" ref="E15">_xlfn.TEXTJOIN(", ",TRUE(),IF(KPI_Element_Map!$A$2:$A$287=$A15,KPI_Element_Map!$E$2:$E$287,""))</f>
        <v>E15, E16</v>
      </c>
      <c r="F15" s="21">
        <f t="shared" si="0"/>
        <v>1</v>
      </c>
      <c r="G15" s="21" t="str">
        <f>IF(COUNTIFS(KPI_Element_Map!$A$2:$A$287,$A15,KPI_Element_Map!$G$2:$G$287,G$1)&gt;0,1,"")</f>
        <v/>
      </c>
      <c r="H15" s="21" t="str">
        <f>IF(COUNTIFS(KPI_Element_Map!$A$2:$A$287,$A15,KPI_Element_Map!$G$2:$G$287,H$1)&gt;0,1,"")</f>
        <v/>
      </c>
      <c r="I15" s="21">
        <f>IF(COUNTIFS(KPI_Element_Map!$A$2:$A$287,$A15,KPI_Element_Map!$G$2:$G$287,I$1)&gt;0,1,"")</f>
        <v>1</v>
      </c>
      <c r="J15" s="21" t="str">
        <f>IF(COUNTIFS(KPI_Element_Map!$A$2:$A$287,$A15,KPI_Element_Map!$G$2:$G$287,J$1)&gt;0,1,"")</f>
        <v/>
      </c>
      <c r="K15" s="21" t="str">
        <f>IF(COUNTIFS(KPI_Element_Map!$A$2:$A$287,$A15,KPI_Element_Map!$G$2:$G$287,K$1)&gt;0,1,"")</f>
        <v/>
      </c>
      <c r="L15" s="21" t="str">
        <f>IF(COUNTIFS(KPI_Element_Map!$A$2:$A$287,$A15,KPI_Element_Map!$G$2:$G$287,L$1)&gt;0,1,"")</f>
        <v/>
      </c>
      <c r="M15" s="21" t="str">
        <f>IF(COUNTIFS(KPI_Element_Map!$A$2:$A$287,$A15,KPI_Element_Map!$G$2:$G$287,M$1)&gt;0,1,"")</f>
        <v/>
      </c>
      <c r="N15" s="21" t="str">
        <f>IF(COUNTIFS(KPI_Element_Map!$A$2:$A$287,$A15,KPI_Element_Map!$G$2:$G$287,N$1)&gt;0,1,"")</f>
        <v/>
      </c>
      <c r="O15" s="21" t="str">
        <f>IF(COUNTIFS(KPI_Element_Map!$A$2:$A$287,$A15,KPI_Element_Map!$G$2:$G$287,O$1)&gt;0,1,"")</f>
        <v/>
      </c>
      <c r="P15" s="21" t="str">
        <f>IF(COUNTIFS(KPI_Element_Map!$A$2:$A$287,$A15,KPI_Element_Map!$G$2:$G$287,P$1)&gt;0,1,"")</f>
        <v/>
      </c>
      <c r="Q15" s="21" t="str">
        <f>IF(COUNTIFS(KPI_Element_Map!$A$2:$A$287,$A15,KPI_Element_Map!$G$2:$G$287,Q$1)&gt;0,1,"")</f>
        <v/>
      </c>
      <c r="R15" s="21" t="str">
        <f>IF(COUNTIFS(KPI_Element_Map!$A$2:$A$287,$A15,KPI_Element_Map!$G$2:$G$287,R$1)&gt;0,1,"")</f>
        <v/>
      </c>
      <c r="S15" s="21" t="str">
        <f>IF(COUNTIFS(KPI_Element_Map!$A$2:$A$287,$A15,KPI_Element_Map!$G$2:$G$287,S$1)&gt;0,1,"")</f>
        <v/>
      </c>
      <c r="T15" s="21" t="str">
        <f>IF(COUNTIFS(KPI_Element_Map!$A$2:$A$287,$A15,KPI_Element_Map!$G$2:$G$287,T$1)&gt;0,1,"")</f>
        <v/>
      </c>
      <c r="U15" s="21" t="str">
        <f>IF(COUNTIFS(KPI_Element_Map!$A$2:$A$287,$A15,KPI_Element_Map!$G$2:$G$287,U$1)&gt;0,1,"")</f>
        <v/>
      </c>
      <c r="V15" s="21" t="str">
        <f>IF(COUNTIFS(KPI_Element_Map!$A$2:$A$287,$A15,KPI_Element_Map!$G$2:$G$287,V$1)&gt;0,1,"")</f>
        <v/>
      </c>
      <c r="W15" s="21" t="str">
        <f>IF(COUNTIFS(KPI_Element_Map!$A$2:$A$287,$A15,KPI_Element_Map!$G$2:$G$287,W$1)&gt;0,1,"")</f>
        <v/>
      </c>
      <c r="X15" s="21" t="str">
        <f>IF(COUNTIFS(KPI_Element_Map!$A$2:$A$287,$A15,KPI_Element_Map!$G$2:$G$287,X$1)&gt;0,1,"")</f>
        <v/>
      </c>
      <c r="Y15" s="21" t="str">
        <f>IF(COUNTIFS(KPI_Element_Map!$A$2:$A$287,$A15,KPI_Element_Map!$G$2:$G$287,Y$1)&gt;0,1,"")</f>
        <v/>
      </c>
      <c r="Z15" s="21" t="str">
        <f>IF(COUNTIFS(KPI_Element_Map!$A$2:$A$287,$A15,KPI_Element_Map!$G$2:$G$287,Z$1)&gt;0,1,"")</f>
        <v/>
      </c>
      <c r="AA15" s="21" t="str">
        <f>IF(COUNTIFS(KPI_Element_Map!$A$2:$A$287,$A15,KPI_Element_Map!$G$2:$G$287,AA$1)&gt;0,1,"")</f>
        <v/>
      </c>
      <c r="AB15" s="21" t="str">
        <f>IF(COUNTIFS(KPI_Element_Map!$A$2:$A$287,$A15,KPI_Element_Map!$G$2:$G$287,AB$1)&gt;0,1,"")</f>
        <v/>
      </c>
      <c r="AC15" s="21" t="str">
        <f>IF(COUNTIFS(KPI_Element_Map!$A$2:$A$287,$A15,KPI_Element_Map!$G$2:$G$287,AC$1)&gt;0,1,"")</f>
        <v/>
      </c>
      <c r="AD15" s="21" t="str">
        <f>IF(COUNTIFS(KPI_Element_Map!$A$2:$A$287,$A15,KPI_Element_Map!$G$2:$G$287,AD$1)&gt;0,1,"")</f>
        <v/>
      </c>
      <c r="AE15" s="21" t="str">
        <f>IF(COUNTIFS(KPI_Element_Map!$A$2:$A$287,$A15,KPI_Element_Map!$G$2:$G$287,AE$1)&gt;0,1,"")</f>
        <v/>
      </c>
      <c r="AF15" s="21" t="str">
        <f>IF(COUNTIFS(KPI_Element_Map!$A$2:$A$287,$A15,KPI_Element_Map!$G$2:$G$287,AF$1)&gt;0,1,"")</f>
        <v/>
      </c>
      <c r="AG15" s="21" t="str">
        <f>IF(COUNTIFS(KPI_Element_Map!$A$2:$A$287,$A15,KPI_Element_Map!$G$2:$G$287,AG$1)&gt;0,1,"")</f>
        <v/>
      </c>
      <c r="AH15" s="21" t="str">
        <f>IF(COUNTIFS(KPI_Element_Map!$A$2:$A$287,$A15,KPI_Element_Map!$G$2:$G$287,AH$1)&gt;0,1,"")</f>
        <v/>
      </c>
      <c r="AI15" s="21" t="str">
        <f>IF(COUNTIFS(KPI_Element_Map!$A$2:$A$287,$A15,KPI_Element_Map!$G$2:$G$287,AI$1)&gt;0,1,"")</f>
        <v/>
      </c>
      <c r="AJ15" s="21" t="str">
        <f>IF(COUNTIFS(KPI_Element_Map!$A$2:$A$287,$A15,KPI_Element_Map!$G$2:$G$287,AJ$1)&gt;0,1,"")</f>
        <v/>
      </c>
      <c r="AK15" s="21" t="str">
        <f>IF(COUNTIFS(KPI_Element_Map!$A$2:$A$287,$A15,KPI_Element_Map!$G$2:$G$287,AK$1)&gt;0,1,"")</f>
        <v/>
      </c>
    </row>
    <row r="16" spans="1:37">
      <c r="A16" s="21">
        <v>15</v>
      </c>
      <c r="B16" s="23" t="str">
        <f>INDEX(KPI_Master!$B:$B,MATCH($A16,KPI_Master!$A:$A,0))</f>
        <v>FINA-06</v>
      </c>
      <c r="C16" s="23" t="str">
        <f>INDEX(KPI_Master!$D:$D,MATCH($A16,KPI_Master!$A:$A,0))</f>
        <v>Days in Accounts Receivable (DSO)</v>
      </c>
      <c r="D16" s="23" t="str">
        <f>INDEX(KPI_Master!$K:$K,MATCH($A16,KPI_Master!$A:$A,0))</f>
        <v>1 - Core</v>
      </c>
      <c r="E16" s="23" t="str">
        <f t="array" ref="E16">_xlfn.TEXTJOIN(", ",TRUE(),IF(KPI_Element_Map!$A$2:$A$287=$A16,KPI_Element_Map!$E$2:$E$287,""))</f>
        <v>E25, E24</v>
      </c>
      <c r="F16" s="21">
        <f t="shared" si="0"/>
        <v>2</v>
      </c>
      <c r="G16" s="21" t="str">
        <f>IF(COUNTIFS(KPI_Element_Map!$A$2:$A$287,$A16,KPI_Element_Map!$G$2:$G$287,G$1)&gt;0,1,"")</f>
        <v/>
      </c>
      <c r="H16" s="21" t="str">
        <f>IF(COUNTIFS(KPI_Element_Map!$A$2:$A$287,$A16,KPI_Element_Map!$G$2:$G$287,H$1)&gt;0,1,"")</f>
        <v/>
      </c>
      <c r="I16" s="21" t="str">
        <f>IF(COUNTIFS(KPI_Element_Map!$A$2:$A$287,$A16,KPI_Element_Map!$G$2:$G$287,I$1)&gt;0,1,"")</f>
        <v/>
      </c>
      <c r="J16" s="21">
        <f>IF(COUNTIFS(KPI_Element_Map!$A$2:$A$287,$A16,KPI_Element_Map!$G$2:$G$287,J$1)&gt;0,1,"")</f>
        <v>1</v>
      </c>
      <c r="K16" s="21">
        <f>IF(COUNTIFS(KPI_Element_Map!$A$2:$A$287,$A16,KPI_Element_Map!$G$2:$G$287,K$1)&gt;0,1,"")</f>
        <v>1</v>
      </c>
      <c r="L16" s="21" t="str">
        <f>IF(COUNTIFS(KPI_Element_Map!$A$2:$A$287,$A16,KPI_Element_Map!$G$2:$G$287,L$1)&gt;0,1,"")</f>
        <v/>
      </c>
      <c r="M16" s="21" t="str">
        <f>IF(COUNTIFS(KPI_Element_Map!$A$2:$A$287,$A16,KPI_Element_Map!$G$2:$G$287,M$1)&gt;0,1,"")</f>
        <v/>
      </c>
      <c r="N16" s="21" t="str">
        <f>IF(COUNTIFS(KPI_Element_Map!$A$2:$A$287,$A16,KPI_Element_Map!$G$2:$G$287,N$1)&gt;0,1,"")</f>
        <v/>
      </c>
      <c r="O16" s="21" t="str">
        <f>IF(COUNTIFS(KPI_Element_Map!$A$2:$A$287,$A16,KPI_Element_Map!$G$2:$G$287,O$1)&gt;0,1,"")</f>
        <v/>
      </c>
      <c r="P16" s="21" t="str">
        <f>IF(COUNTIFS(KPI_Element_Map!$A$2:$A$287,$A16,KPI_Element_Map!$G$2:$G$287,P$1)&gt;0,1,"")</f>
        <v/>
      </c>
      <c r="Q16" s="21" t="str">
        <f>IF(COUNTIFS(KPI_Element_Map!$A$2:$A$287,$A16,KPI_Element_Map!$G$2:$G$287,Q$1)&gt;0,1,"")</f>
        <v/>
      </c>
      <c r="R16" s="21" t="str">
        <f>IF(COUNTIFS(KPI_Element_Map!$A$2:$A$287,$A16,KPI_Element_Map!$G$2:$G$287,R$1)&gt;0,1,"")</f>
        <v/>
      </c>
      <c r="S16" s="21" t="str">
        <f>IF(COUNTIFS(KPI_Element_Map!$A$2:$A$287,$A16,KPI_Element_Map!$G$2:$G$287,S$1)&gt;0,1,"")</f>
        <v/>
      </c>
      <c r="T16" s="21" t="str">
        <f>IF(COUNTIFS(KPI_Element_Map!$A$2:$A$287,$A16,KPI_Element_Map!$G$2:$G$287,T$1)&gt;0,1,"")</f>
        <v/>
      </c>
      <c r="U16" s="21" t="str">
        <f>IF(COUNTIFS(KPI_Element_Map!$A$2:$A$287,$A16,KPI_Element_Map!$G$2:$G$287,U$1)&gt;0,1,"")</f>
        <v/>
      </c>
      <c r="V16" s="21" t="str">
        <f>IF(COUNTIFS(KPI_Element_Map!$A$2:$A$287,$A16,KPI_Element_Map!$G$2:$G$287,V$1)&gt;0,1,"")</f>
        <v/>
      </c>
      <c r="W16" s="21" t="str">
        <f>IF(COUNTIFS(KPI_Element_Map!$A$2:$A$287,$A16,KPI_Element_Map!$G$2:$G$287,W$1)&gt;0,1,"")</f>
        <v/>
      </c>
      <c r="X16" s="21" t="str">
        <f>IF(COUNTIFS(KPI_Element_Map!$A$2:$A$287,$A16,KPI_Element_Map!$G$2:$G$287,X$1)&gt;0,1,"")</f>
        <v/>
      </c>
      <c r="Y16" s="21" t="str">
        <f>IF(COUNTIFS(KPI_Element_Map!$A$2:$A$287,$A16,KPI_Element_Map!$G$2:$G$287,Y$1)&gt;0,1,"")</f>
        <v/>
      </c>
      <c r="Z16" s="21" t="str">
        <f>IF(COUNTIFS(KPI_Element_Map!$A$2:$A$287,$A16,KPI_Element_Map!$G$2:$G$287,Z$1)&gt;0,1,"")</f>
        <v/>
      </c>
      <c r="AA16" s="21" t="str">
        <f>IF(COUNTIFS(KPI_Element_Map!$A$2:$A$287,$A16,KPI_Element_Map!$G$2:$G$287,AA$1)&gt;0,1,"")</f>
        <v/>
      </c>
      <c r="AB16" s="21" t="str">
        <f>IF(COUNTIFS(KPI_Element_Map!$A$2:$A$287,$A16,KPI_Element_Map!$G$2:$G$287,AB$1)&gt;0,1,"")</f>
        <v/>
      </c>
      <c r="AC16" s="21" t="str">
        <f>IF(COUNTIFS(KPI_Element_Map!$A$2:$A$287,$A16,KPI_Element_Map!$G$2:$G$287,AC$1)&gt;0,1,"")</f>
        <v/>
      </c>
      <c r="AD16" s="21" t="str">
        <f>IF(COUNTIFS(KPI_Element_Map!$A$2:$A$287,$A16,KPI_Element_Map!$G$2:$G$287,AD$1)&gt;0,1,"")</f>
        <v/>
      </c>
      <c r="AE16" s="21" t="str">
        <f>IF(COUNTIFS(KPI_Element_Map!$A$2:$A$287,$A16,KPI_Element_Map!$G$2:$G$287,AE$1)&gt;0,1,"")</f>
        <v/>
      </c>
      <c r="AF16" s="21" t="str">
        <f>IF(COUNTIFS(KPI_Element_Map!$A$2:$A$287,$A16,KPI_Element_Map!$G$2:$G$287,AF$1)&gt;0,1,"")</f>
        <v/>
      </c>
      <c r="AG16" s="21" t="str">
        <f>IF(COUNTIFS(KPI_Element_Map!$A$2:$A$287,$A16,KPI_Element_Map!$G$2:$G$287,AG$1)&gt;0,1,"")</f>
        <v/>
      </c>
      <c r="AH16" s="21" t="str">
        <f>IF(COUNTIFS(KPI_Element_Map!$A$2:$A$287,$A16,KPI_Element_Map!$G$2:$G$287,AH$1)&gt;0,1,"")</f>
        <v/>
      </c>
      <c r="AI16" s="21" t="str">
        <f>IF(COUNTIFS(KPI_Element_Map!$A$2:$A$287,$A16,KPI_Element_Map!$G$2:$G$287,AI$1)&gt;0,1,"")</f>
        <v/>
      </c>
      <c r="AJ16" s="21" t="str">
        <f>IF(COUNTIFS(KPI_Element_Map!$A$2:$A$287,$A16,KPI_Element_Map!$G$2:$G$287,AJ$1)&gt;0,1,"")</f>
        <v/>
      </c>
      <c r="AK16" s="21" t="str">
        <f>IF(COUNTIFS(KPI_Element_Map!$A$2:$A$287,$A16,KPI_Element_Map!$G$2:$G$287,AK$1)&gt;0,1,"")</f>
        <v/>
      </c>
    </row>
    <row r="17" spans="1:37">
      <c r="A17" s="21">
        <v>16</v>
      </c>
      <c r="B17" s="23" t="str">
        <f>INDEX(KPI_Master!$B:$B,MATCH($A17,KPI_Master!$A:$A,0))</f>
        <v>FINA-07</v>
      </c>
      <c r="C17" s="23" t="str">
        <f>INDEX(KPI_Master!$D:$D,MATCH($A17,KPI_Master!$A:$A,0))</f>
        <v>AR Over 90 Days Percentage</v>
      </c>
      <c r="D17" s="23" t="str">
        <f>INDEX(KPI_Master!$K:$K,MATCH($A17,KPI_Master!$A:$A,0))</f>
        <v>2 - Standard</v>
      </c>
      <c r="E17" s="23" t="str">
        <f t="array" ref="E17">_xlfn.TEXTJOIN(", ",TRUE(),IF(KPI_Element_Map!$A$2:$A$287=$A17,KPI_Element_Map!$E$2:$E$287,""))</f>
        <v>E25</v>
      </c>
      <c r="F17" s="21">
        <f t="shared" si="0"/>
        <v>1</v>
      </c>
      <c r="G17" s="21" t="str">
        <f>IF(COUNTIFS(KPI_Element_Map!$A$2:$A$287,$A17,KPI_Element_Map!$G$2:$G$287,G$1)&gt;0,1,"")</f>
        <v/>
      </c>
      <c r="H17" s="21" t="str">
        <f>IF(COUNTIFS(KPI_Element_Map!$A$2:$A$287,$A17,KPI_Element_Map!$G$2:$G$287,H$1)&gt;0,1,"")</f>
        <v/>
      </c>
      <c r="I17" s="21" t="str">
        <f>IF(COUNTIFS(KPI_Element_Map!$A$2:$A$287,$A17,KPI_Element_Map!$G$2:$G$287,I$1)&gt;0,1,"")</f>
        <v/>
      </c>
      <c r="J17" s="21" t="str">
        <f>IF(COUNTIFS(KPI_Element_Map!$A$2:$A$287,$A17,KPI_Element_Map!$G$2:$G$287,J$1)&gt;0,1,"")</f>
        <v/>
      </c>
      <c r="K17" s="21">
        <f>IF(COUNTIFS(KPI_Element_Map!$A$2:$A$287,$A17,KPI_Element_Map!$G$2:$G$287,K$1)&gt;0,1,"")</f>
        <v>1</v>
      </c>
      <c r="L17" s="21" t="str">
        <f>IF(COUNTIFS(KPI_Element_Map!$A$2:$A$287,$A17,KPI_Element_Map!$G$2:$G$287,L$1)&gt;0,1,"")</f>
        <v/>
      </c>
      <c r="M17" s="21" t="str">
        <f>IF(COUNTIFS(KPI_Element_Map!$A$2:$A$287,$A17,KPI_Element_Map!$G$2:$G$287,M$1)&gt;0,1,"")</f>
        <v/>
      </c>
      <c r="N17" s="21" t="str">
        <f>IF(COUNTIFS(KPI_Element_Map!$A$2:$A$287,$A17,KPI_Element_Map!$G$2:$G$287,N$1)&gt;0,1,"")</f>
        <v/>
      </c>
      <c r="O17" s="21" t="str">
        <f>IF(COUNTIFS(KPI_Element_Map!$A$2:$A$287,$A17,KPI_Element_Map!$G$2:$G$287,O$1)&gt;0,1,"")</f>
        <v/>
      </c>
      <c r="P17" s="21" t="str">
        <f>IF(COUNTIFS(KPI_Element_Map!$A$2:$A$287,$A17,KPI_Element_Map!$G$2:$G$287,P$1)&gt;0,1,"")</f>
        <v/>
      </c>
      <c r="Q17" s="21" t="str">
        <f>IF(COUNTIFS(KPI_Element_Map!$A$2:$A$287,$A17,KPI_Element_Map!$G$2:$G$287,Q$1)&gt;0,1,"")</f>
        <v/>
      </c>
      <c r="R17" s="21" t="str">
        <f>IF(COUNTIFS(KPI_Element_Map!$A$2:$A$287,$A17,KPI_Element_Map!$G$2:$G$287,R$1)&gt;0,1,"")</f>
        <v/>
      </c>
      <c r="S17" s="21" t="str">
        <f>IF(COUNTIFS(KPI_Element_Map!$A$2:$A$287,$A17,KPI_Element_Map!$G$2:$G$287,S$1)&gt;0,1,"")</f>
        <v/>
      </c>
      <c r="T17" s="21" t="str">
        <f>IF(COUNTIFS(KPI_Element_Map!$A$2:$A$287,$A17,KPI_Element_Map!$G$2:$G$287,T$1)&gt;0,1,"")</f>
        <v/>
      </c>
      <c r="U17" s="21" t="str">
        <f>IF(COUNTIFS(KPI_Element_Map!$A$2:$A$287,$A17,KPI_Element_Map!$G$2:$G$287,U$1)&gt;0,1,"")</f>
        <v/>
      </c>
      <c r="V17" s="21" t="str">
        <f>IF(COUNTIFS(KPI_Element_Map!$A$2:$A$287,$A17,KPI_Element_Map!$G$2:$G$287,V$1)&gt;0,1,"")</f>
        <v/>
      </c>
      <c r="W17" s="21" t="str">
        <f>IF(COUNTIFS(KPI_Element_Map!$A$2:$A$287,$A17,KPI_Element_Map!$G$2:$G$287,W$1)&gt;0,1,"")</f>
        <v/>
      </c>
      <c r="X17" s="21" t="str">
        <f>IF(COUNTIFS(KPI_Element_Map!$A$2:$A$287,$A17,KPI_Element_Map!$G$2:$G$287,X$1)&gt;0,1,"")</f>
        <v/>
      </c>
      <c r="Y17" s="21" t="str">
        <f>IF(COUNTIFS(KPI_Element_Map!$A$2:$A$287,$A17,KPI_Element_Map!$G$2:$G$287,Y$1)&gt;0,1,"")</f>
        <v/>
      </c>
      <c r="Z17" s="21" t="str">
        <f>IF(COUNTIFS(KPI_Element_Map!$A$2:$A$287,$A17,KPI_Element_Map!$G$2:$G$287,Z$1)&gt;0,1,"")</f>
        <v/>
      </c>
      <c r="AA17" s="21" t="str">
        <f>IF(COUNTIFS(KPI_Element_Map!$A$2:$A$287,$A17,KPI_Element_Map!$G$2:$G$287,AA$1)&gt;0,1,"")</f>
        <v/>
      </c>
      <c r="AB17" s="21" t="str">
        <f>IF(COUNTIFS(KPI_Element_Map!$A$2:$A$287,$A17,KPI_Element_Map!$G$2:$G$287,AB$1)&gt;0,1,"")</f>
        <v/>
      </c>
      <c r="AC17" s="21" t="str">
        <f>IF(COUNTIFS(KPI_Element_Map!$A$2:$A$287,$A17,KPI_Element_Map!$G$2:$G$287,AC$1)&gt;0,1,"")</f>
        <v/>
      </c>
      <c r="AD17" s="21" t="str">
        <f>IF(COUNTIFS(KPI_Element_Map!$A$2:$A$287,$A17,KPI_Element_Map!$G$2:$G$287,AD$1)&gt;0,1,"")</f>
        <v/>
      </c>
      <c r="AE17" s="21" t="str">
        <f>IF(COUNTIFS(KPI_Element_Map!$A$2:$A$287,$A17,KPI_Element_Map!$G$2:$G$287,AE$1)&gt;0,1,"")</f>
        <v/>
      </c>
      <c r="AF17" s="21" t="str">
        <f>IF(COUNTIFS(KPI_Element_Map!$A$2:$A$287,$A17,KPI_Element_Map!$G$2:$G$287,AF$1)&gt;0,1,"")</f>
        <v/>
      </c>
      <c r="AG17" s="21" t="str">
        <f>IF(COUNTIFS(KPI_Element_Map!$A$2:$A$287,$A17,KPI_Element_Map!$G$2:$G$287,AG$1)&gt;0,1,"")</f>
        <v/>
      </c>
      <c r="AH17" s="21" t="str">
        <f>IF(COUNTIFS(KPI_Element_Map!$A$2:$A$287,$A17,KPI_Element_Map!$G$2:$G$287,AH$1)&gt;0,1,"")</f>
        <v/>
      </c>
      <c r="AI17" s="21" t="str">
        <f>IF(COUNTIFS(KPI_Element_Map!$A$2:$A$287,$A17,KPI_Element_Map!$G$2:$G$287,AI$1)&gt;0,1,"")</f>
        <v/>
      </c>
      <c r="AJ17" s="21" t="str">
        <f>IF(COUNTIFS(KPI_Element_Map!$A$2:$A$287,$A17,KPI_Element_Map!$G$2:$G$287,AJ$1)&gt;0,1,"")</f>
        <v/>
      </c>
      <c r="AK17" s="21" t="str">
        <f>IF(COUNTIFS(KPI_Element_Map!$A$2:$A$287,$A17,KPI_Element_Map!$G$2:$G$287,AK$1)&gt;0,1,"")</f>
        <v/>
      </c>
    </row>
    <row r="18" spans="1:37">
      <c r="A18" s="21">
        <v>17</v>
      </c>
      <c r="B18" s="23" t="str">
        <f>INDEX(KPI_Master!$B:$B,MATCH($A18,KPI_Master!$A:$A,0))</f>
        <v>FINA-08</v>
      </c>
      <c r="C18" s="23" t="str">
        <f>INDEX(KPI_Master!$D:$D,MATCH($A18,KPI_Master!$A:$A,0))</f>
        <v>Bad Debt as % of Revenue</v>
      </c>
      <c r="D18" s="23" t="str">
        <f>INDEX(KPI_Master!$K:$K,MATCH($A18,KPI_Master!$A:$A,0))</f>
        <v>2 - Standard</v>
      </c>
      <c r="E18" s="23" t="str">
        <f t="array" ref="E18">_xlfn.TEXTJOIN(", ",TRUE(),IF(KPI_Element_Map!$A$2:$A$287=$A18,KPI_Element_Map!$E$2:$E$287,""))</f>
        <v>E17, E15</v>
      </c>
      <c r="F18" s="21">
        <f t="shared" si="0"/>
        <v>1</v>
      </c>
      <c r="G18" s="21" t="str">
        <f>IF(COUNTIFS(KPI_Element_Map!$A$2:$A$287,$A18,KPI_Element_Map!$G$2:$G$287,G$1)&gt;0,1,"")</f>
        <v/>
      </c>
      <c r="H18" s="21" t="str">
        <f>IF(COUNTIFS(KPI_Element_Map!$A$2:$A$287,$A18,KPI_Element_Map!$G$2:$G$287,H$1)&gt;0,1,"")</f>
        <v/>
      </c>
      <c r="I18" s="21">
        <f>IF(COUNTIFS(KPI_Element_Map!$A$2:$A$287,$A18,KPI_Element_Map!$G$2:$G$287,I$1)&gt;0,1,"")</f>
        <v>1</v>
      </c>
      <c r="J18" s="21" t="str">
        <f>IF(COUNTIFS(KPI_Element_Map!$A$2:$A$287,$A18,KPI_Element_Map!$G$2:$G$287,J$1)&gt;0,1,"")</f>
        <v/>
      </c>
      <c r="K18" s="21" t="str">
        <f>IF(COUNTIFS(KPI_Element_Map!$A$2:$A$287,$A18,KPI_Element_Map!$G$2:$G$287,K$1)&gt;0,1,"")</f>
        <v/>
      </c>
      <c r="L18" s="21" t="str">
        <f>IF(COUNTIFS(KPI_Element_Map!$A$2:$A$287,$A18,KPI_Element_Map!$G$2:$G$287,L$1)&gt;0,1,"")</f>
        <v/>
      </c>
      <c r="M18" s="21" t="str">
        <f>IF(COUNTIFS(KPI_Element_Map!$A$2:$A$287,$A18,KPI_Element_Map!$G$2:$G$287,M$1)&gt;0,1,"")</f>
        <v/>
      </c>
      <c r="N18" s="21" t="str">
        <f>IF(COUNTIFS(KPI_Element_Map!$A$2:$A$287,$A18,KPI_Element_Map!$G$2:$G$287,N$1)&gt;0,1,"")</f>
        <v/>
      </c>
      <c r="O18" s="21" t="str">
        <f>IF(COUNTIFS(KPI_Element_Map!$A$2:$A$287,$A18,KPI_Element_Map!$G$2:$G$287,O$1)&gt;0,1,"")</f>
        <v/>
      </c>
      <c r="P18" s="21" t="str">
        <f>IF(COUNTIFS(KPI_Element_Map!$A$2:$A$287,$A18,KPI_Element_Map!$G$2:$G$287,P$1)&gt;0,1,"")</f>
        <v/>
      </c>
      <c r="Q18" s="21" t="str">
        <f>IF(COUNTIFS(KPI_Element_Map!$A$2:$A$287,$A18,KPI_Element_Map!$G$2:$G$287,Q$1)&gt;0,1,"")</f>
        <v/>
      </c>
      <c r="R18" s="21" t="str">
        <f>IF(COUNTIFS(KPI_Element_Map!$A$2:$A$287,$A18,KPI_Element_Map!$G$2:$G$287,R$1)&gt;0,1,"")</f>
        <v/>
      </c>
      <c r="S18" s="21" t="str">
        <f>IF(COUNTIFS(KPI_Element_Map!$A$2:$A$287,$A18,KPI_Element_Map!$G$2:$G$287,S$1)&gt;0,1,"")</f>
        <v/>
      </c>
      <c r="T18" s="21" t="str">
        <f>IF(COUNTIFS(KPI_Element_Map!$A$2:$A$287,$A18,KPI_Element_Map!$G$2:$G$287,T$1)&gt;0,1,"")</f>
        <v/>
      </c>
      <c r="U18" s="21" t="str">
        <f>IF(COUNTIFS(KPI_Element_Map!$A$2:$A$287,$A18,KPI_Element_Map!$G$2:$G$287,U$1)&gt;0,1,"")</f>
        <v/>
      </c>
      <c r="V18" s="21" t="str">
        <f>IF(COUNTIFS(KPI_Element_Map!$A$2:$A$287,$A18,KPI_Element_Map!$G$2:$G$287,V$1)&gt;0,1,"")</f>
        <v/>
      </c>
      <c r="W18" s="21" t="str">
        <f>IF(COUNTIFS(KPI_Element_Map!$A$2:$A$287,$A18,KPI_Element_Map!$G$2:$G$287,W$1)&gt;0,1,"")</f>
        <v/>
      </c>
      <c r="X18" s="21" t="str">
        <f>IF(COUNTIFS(KPI_Element_Map!$A$2:$A$287,$A18,KPI_Element_Map!$G$2:$G$287,X$1)&gt;0,1,"")</f>
        <v/>
      </c>
      <c r="Y18" s="21" t="str">
        <f>IF(COUNTIFS(KPI_Element_Map!$A$2:$A$287,$A18,KPI_Element_Map!$G$2:$G$287,Y$1)&gt;0,1,"")</f>
        <v/>
      </c>
      <c r="Z18" s="21" t="str">
        <f>IF(COUNTIFS(KPI_Element_Map!$A$2:$A$287,$A18,KPI_Element_Map!$G$2:$G$287,Z$1)&gt;0,1,"")</f>
        <v/>
      </c>
      <c r="AA18" s="21" t="str">
        <f>IF(COUNTIFS(KPI_Element_Map!$A$2:$A$287,$A18,KPI_Element_Map!$G$2:$G$287,AA$1)&gt;0,1,"")</f>
        <v/>
      </c>
      <c r="AB18" s="21" t="str">
        <f>IF(COUNTIFS(KPI_Element_Map!$A$2:$A$287,$A18,KPI_Element_Map!$G$2:$G$287,AB$1)&gt;0,1,"")</f>
        <v/>
      </c>
      <c r="AC18" s="21" t="str">
        <f>IF(COUNTIFS(KPI_Element_Map!$A$2:$A$287,$A18,KPI_Element_Map!$G$2:$G$287,AC$1)&gt;0,1,"")</f>
        <v/>
      </c>
      <c r="AD18" s="21" t="str">
        <f>IF(COUNTIFS(KPI_Element_Map!$A$2:$A$287,$A18,KPI_Element_Map!$G$2:$G$287,AD$1)&gt;0,1,"")</f>
        <v/>
      </c>
      <c r="AE18" s="21" t="str">
        <f>IF(COUNTIFS(KPI_Element_Map!$A$2:$A$287,$A18,KPI_Element_Map!$G$2:$G$287,AE$1)&gt;0,1,"")</f>
        <v/>
      </c>
      <c r="AF18" s="21" t="str">
        <f>IF(COUNTIFS(KPI_Element_Map!$A$2:$A$287,$A18,KPI_Element_Map!$G$2:$G$287,AF$1)&gt;0,1,"")</f>
        <v/>
      </c>
      <c r="AG18" s="21" t="str">
        <f>IF(COUNTIFS(KPI_Element_Map!$A$2:$A$287,$A18,KPI_Element_Map!$G$2:$G$287,AG$1)&gt;0,1,"")</f>
        <v/>
      </c>
      <c r="AH18" s="21" t="str">
        <f>IF(COUNTIFS(KPI_Element_Map!$A$2:$A$287,$A18,KPI_Element_Map!$G$2:$G$287,AH$1)&gt;0,1,"")</f>
        <v/>
      </c>
      <c r="AI18" s="21" t="str">
        <f>IF(COUNTIFS(KPI_Element_Map!$A$2:$A$287,$A18,KPI_Element_Map!$G$2:$G$287,AI$1)&gt;0,1,"")</f>
        <v/>
      </c>
      <c r="AJ18" s="21" t="str">
        <f>IF(COUNTIFS(KPI_Element_Map!$A$2:$A$287,$A18,KPI_Element_Map!$G$2:$G$287,AJ$1)&gt;0,1,"")</f>
        <v/>
      </c>
      <c r="AK18" s="21" t="str">
        <f>IF(COUNTIFS(KPI_Element_Map!$A$2:$A$287,$A18,KPI_Element_Map!$G$2:$G$287,AK$1)&gt;0,1,"")</f>
        <v/>
      </c>
    </row>
    <row r="19" spans="1:37">
      <c r="A19" s="21">
        <v>18</v>
      </c>
      <c r="B19" s="23" t="str">
        <f>INDEX(KPI_Master!$B:$B,MATCH($A19,KPI_Master!$A:$A,0))</f>
        <v>FINA-10</v>
      </c>
      <c r="C19" s="23" t="str">
        <f>INDEX(KPI_Master!$D:$D,MATCH($A19,KPI_Master!$A:$A,0))</f>
        <v>Budget Variance Percentage</v>
      </c>
      <c r="D19" s="23" t="str">
        <f>INDEX(KPI_Master!$K:$K,MATCH($A19,KPI_Master!$A:$A,0))</f>
        <v>1 - Core</v>
      </c>
      <c r="E19" s="23" t="str">
        <f t="array" ref="E19">_xlfn.TEXTJOIN(", ",TRUE(),IF(KPI_Element_Map!$A$2:$A$287=$A19,KPI_Element_Map!$E$2:$E$287,""))</f>
        <v>E20, E15, E16</v>
      </c>
      <c r="F19" s="21">
        <f t="shared" si="0"/>
        <v>1</v>
      </c>
      <c r="G19" s="21" t="str">
        <f>IF(COUNTIFS(KPI_Element_Map!$A$2:$A$287,$A19,KPI_Element_Map!$G$2:$G$287,G$1)&gt;0,1,"")</f>
        <v/>
      </c>
      <c r="H19" s="21" t="str">
        <f>IF(COUNTIFS(KPI_Element_Map!$A$2:$A$287,$A19,KPI_Element_Map!$G$2:$G$287,H$1)&gt;0,1,"")</f>
        <v/>
      </c>
      <c r="I19" s="21">
        <f>IF(COUNTIFS(KPI_Element_Map!$A$2:$A$287,$A19,KPI_Element_Map!$G$2:$G$287,I$1)&gt;0,1,"")</f>
        <v>1</v>
      </c>
      <c r="J19" s="21" t="str">
        <f>IF(COUNTIFS(KPI_Element_Map!$A$2:$A$287,$A19,KPI_Element_Map!$G$2:$G$287,J$1)&gt;0,1,"")</f>
        <v/>
      </c>
      <c r="K19" s="21" t="str">
        <f>IF(COUNTIFS(KPI_Element_Map!$A$2:$A$287,$A19,KPI_Element_Map!$G$2:$G$287,K$1)&gt;0,1,"")</f>
        <v/>
      </c>
      <c r="L19" s="21" t="str">
        <f>IF(COUNTIFS(KPI_Element_Map!$A$2:$A$287,$A19,KPI_Element_Map!$G$2:$G$287,L$1)&gt;0,1,"")</f>
        <v/>
      </c>
      <c r="M19" s="21" t="str">
        <f>IF(COUNTIFS(KPI_Element_Map!$A$2:$A$287,$A19,KPI_Element_Map!$G$2:$G$287,M$1)&gt;0,1,"")</f>
        <v/>
      </c>
      <c r="N19" s="21" t="str">
        <f>IF(COUNTIFS(KPI_Element_Map!$A$2:$A$287,$A19,KPI_Element_Map!$G$2:$G$287,N$1)&gt;0,1,"")</f>
        <v/>
      </c>
      <c r="O19" s="21" t="str">
        <f>IF(COUNTIFS(KPI_Element_Map!$A$2:$A$287,$A19,KPI_Element_Map!$G$2:$G$287,O$1)&gt;0,1,"")</f>
        <v/>
      </c>
      <c r="P19" s="21" t="str">
        <f>IF(COUNTIFS(KPI_Element_Map!$A$2:$A$287,$A19,KPI_Element_Map!$G$2:$G$287,P$1)&gt;0,1,"")</f>
        <v/>
      </c>
      <c r="Q19" s="21" t="str">
        <f>IF(COUNTIFS(KPI_Element_Map!$A$2:$A$287,$A19,KPI_Element_Map!$G$2:$G$287,Q$1)&gt;0,1,"")</f>
        <v/>
      </c>
      <c r="R19" s="21" t="str">
        <f>IF(COUNTIFS(KPI_Element_Map!$A$2:$A$287,$A19,KPI_Element_Map!$G$2:$G$287,R$1)&gt;0,1,"")</f>
        <v/>
      </c>
      <c r="S19" s="21" t="str">
        <f>IF(COUNTIFS(KPI_Element_Map!$A$2:$A$287,$A19,KPI_Element_Map!$G$2:$G$287,S$1)&gt;0,1,"")</f>
        <v/>
      </c>
      <c r="T19" s="21" t="str">
        <f>IF(COUNTIFS(KPI_Element_Map!$A$2:$A$287,$A19,KPI_Element_Map!$G$2:$G$287,T$1)&gt;0,1,"")</f>
        <v/>
      </c>
      <c r="U19" s="21" t="str">
        <f>IF(COUNTIFS(KPI_Element_Map!$A$2:$A$287,$A19,KPI_Element_Map!$G$2:$G$287,U$1)&gt;0,1,"")</f>
        <v/>
      </c>
      <c r="V19" s="21" t="str">
        <f>IF(COUNTIFS(KPI_Element_Map!$A$2:$A$287,$A19,KPI_Element_Map!$G$2:$G$287,V$1)&gt;0,1,"")</f>
        <v/>
      </c>
      <c r="W19" s="21" t="str">
        <f>IF(COUNTIFS(KPI_Element_Map!$A$2:$A$287,$A19,KPI_Element_Map!$G$2:$G$287,W$1)&gt;0,1,"")</f>
        <v/>
      </c>
      <c r="X19" s="21" t="str">
        <f>IF(COUNTIFS(KPI_Element_Map!$A$2:$A$287,$A19,KPI_Element_Map!$G$2:$G$287,X$1)&gt;0,1,"")</f>
        <v/>
      </c>
      <c r="Y19" s="21" t="str">
        <f>IF(COUNTIFS(KPI_Element_Map!$A$2:$A$287,$A19,KPI_Element_Map!$G$2:$G$287,Y$1)&gt;0,1,"")</f>
        <v/>
      </c>
      <c r="Z19" s="21" t="str">
        <f>IF(COUNTIFS(KPI_Element_Map!$A$2:$A$287,$A19,KPI_Element_Map!$G$2:$G$287,Z$1)&gt;0,1,"")</f>
        <v/>
      </c>
      <c r="AA19" s="21" t="str">
        <f>IF(COUNTIFS(KPI_Element_Map!$A$2:$A$287,$A19,KPI_Element_Map!$G$2:$G$287,AA$1)&gt;0,1,"")</f>
        <v/>
      </c>
      <c r="AB19" s="21" t="str">
        <f>IF(COUNTIFS(KPI_Element_Map!$A$2:$A$287,$A19,KPI_Element_Map!$G$2:$G$287,AB$1)&gt;0,1,"")</f>
        <v/>
      </c>
      <c r="AC19" s="21" t="str">
        <f>IF(COUNTIFS(KPI_Element_Map!$A$2:$A$287,$A19,KPI_Element_Map!$G$2:$G$287,AC$1)&gt;0,1,"")</f>
        <v/>
      </c>
      <c r="AD19" s="21" t="str">
        <f>IF(COUNTIFS(KPI_Element_Map!$A$2:$A$287,$A19,KPI_Element_Map!$G$2:$G$287,AD$1)&gt;0,1,"")</f>
        <v/>
      </c>
      <c r="AE19" s="21" t="str">
        <f>IF(COUNTIFS(KPI_Element_Map!$A$2:$A$287,$A19,KPI_Element_Map!$G$2:$G$287,AE$1)&gt;0,1,"")</f>
        <v/>
      </c>
      <c r="AF19" s="21" t="str">
        <f>IF(COUNTIFS(KPI_Element_Map!$A$2:$A$287,$A19,KPI_Element_Map!$G$2:$G$287,AF$1)&gt;0,1,"")</f>
        <v/>
      </c>
      <c r="AG19" s="21" t="str">
        <f>IF(COUNTIFS(KPI_Element_Map!$A$2:$A$287,$A19,KPI_Element_Map!$G$2:$G$287,AG$1)&gt;0,1,"")</f>
        <v/>
      </c>
      <c r="AH19" s="21" t="str">
        <f>IF(COUNTIFS(KPI_Element_Map!$A$2:$A$287,$A19,KPI_Element_Map!$G$2:$G$287,AH$1)&gt;0,1,"")</f>
        <v/>
      </c>
      <c r="AI19" s="21" t="str">
        <f>IF(COUNTIFS(KPI_Element_Map!$A$2:$A$287,$A19,KPI_Element_Map!$G$2:$G$287,AI$1)&gt;0,1,"")</f>
        <v/>
      </c>
      <c r="AJ19" s="21" t="str">
        <f>IF(COUNTIFS(KPI_Element_Map!$A$2:$A$287,$A19,KPI_Element_Map!$G$2:$G$287,AJ$1)&gt;0,1,"")</f>
        <v/>
      </c>
      <c r="AK19" s="21" t="str">
        <f>IF(COUNTIFS(KPI_Element_Map!$A$2:$A$287,$A19,KPI_Element_Map!$G$2:$G$287,AK$1)&gt;0,1,"")</f>
        <v/>
      </c>
    </row>
    <row r="20" spans="1:37">
      <c r="A20" s="21">
        <v>19</v>
      </c>
      <c r="B20" s="23" t="str">
        <f>INDEX(KPI_Master!$B:$B,MATCH($A20,KPI_Master!$A:$A,0))</f>
        <v>FINA-11</v>
      </c>
      <c r="C20" s="23" t="str">
        <f>INDEX(KPI_Master!$D:$D,MATCH($A20,KPI_Master!$A:$A,0))</f>
        <v>Labor Cost as % of Revenue</v>
      </c>
      <c r="D20" s="23" t="str">
        <f>INDEX(KPI_Master!$K:$K,MATCH($A20,KPI_Master!$A:$A,0))</f>
        <v>1 - Core</v>
      </c>
      <c r="E20" s="23" t="str">
        <f t="array" ref="E20">_xlfn.TEXTJOIN(", ",TRUE(),IF(KPI_Element_Map!$A$2:$A$287=$A20,KPI_Element_Map!$E$2:$E$287,""))</f>
        <v>E23, E15</v>
      </c>
      <c r="F20" s="21">
        <f t="shared" si="0"/>
        <v>1</v>
      </c>
      <c r="G20" s="21" t="str">
        <f>IF(COUNTIFS(KPI_Element_Map!$A$2:$A$287,$A20,KPI_Element_Map!$G$2:$G$287,G$1)&gt;0,1,"")</f>
        <v/>
      </c>
      <c r="H20" s="21" t="str">
        <f>IF(COUNTIFS(KPI_Element_Map!$A$2:$A$287,$A20,KPI_Element_Map!$G$2:$G$287,H$1)&gt;0,1,"")</f>
        <v/>
      </c>
      <c r="I20" s="21">
        <f>IF(COUNTIFS(KPI_Element_Map!$A$2:$A$287,$A20,KPI_Element_Map!$G$2:$G$287,I$1)&gt;0,1,"")</f>
        <v>1</v>
      </c>
      <c r="J20" s="21" t="str">
        <f>IF(COUNTIFS(KPI_Element_Map!$A$2:$A$287,$A20,KPI_Element_Map!$G$2:$G$287,J$1)&gt;0,1,"")</f>
        <v/>
      </c>
      <c r="K20" s="21" t="str">
        <f>IF(COUNTIFS(KPI_Element_Map!$A$2:$A$287,$A20,KPI_Element_Map!$G$2:$G$287,K$1)&gt;0,1,"")</f>
        <v/>
      </c>
      <c r="L20" s="21" t="str">
        <f>IF(COUNTIFS(KPI_Element_Map!$A$2:$A$287,$A20,KPI_Element_Map!$G$2:$G$287,L$1)&gt;0,1,"")</f>
        <v/>
      </c>
      <c r="M20" s="21" t="str">
        <f>IF(COUNTIFS(KPI_Element_Map!$A$2:$A$287,$A20,KPI_Element_Map!$G$2:$G$287,M$1)&gt;0,1,"")</f>
        <v/>
      </c>
      <c r="N20" s="21" t="str">
        <f>IF(COUNTIFS(KPI_Element_Map!$A$2:$A$287,$A20,KPI_Element_Map!$G$2:$G$287,N$1)&gt;0,1,"")</f>
        <v/>
      </c>
      <c r="O20" s="21" t="str">
        <f>IF(COUNTIFS(KPI_Element_Map!$A$2:$A$287,$A20,KPI_Element_Map!$G$2:$G$287,O$1)&gt;0,1,"")</f>
        <v/>
      </c>
      <c r="P20" s="21" t="str">
        <f>IF(COUNTIFS(KPI_Element_Map!$A$2:$A$287,$A20,KPI_Element_Map!$G$2:$G$287,P$1)&gt;0,1,"")</f>
        <v/>
      </c>
      <c r="Q20" s="21" t="str">
        <f>IF(COUNTIFS(KPI_Element_Map!$A$2:$A$287,$A20,KPI_Element_Map!$G$2:$G$287,Q$1)&gt;0,1,"")</f>
        <v/>
      </c>
      <c r="R20" s="21" t="str">
        <f>IF(COUNTIFS(KPI_Element_Map!$A$2:$A$287,$A20,KPI_Element_Map!$G$2:$G$287,R$1)&gt;0,1,"")</f>
        <v/>
      </c>
      <c r="S20" s="21" t="str">
        <f>IF(COUNTIFS(KPI_Element_Map!$A$2:$A$287,$A20,KPI_Element_Map!$G$2:$G$287,S$1)&gt;0,1,"")</f>
        <v/>
      </c>
      <c r="T20" s="21" t="str">
        <f>IF(COUNTIFS(KPI_Element_Map!$A$2:$A$287,$A20,KPI_Element_Map!$G$2:$G$287,T$1)&gt;0,1,"")</f>
        <v/>
      </c>
      <c r="U20" s="21" t="str">
        <f>IF(COUNTIFS(KPI_Element_Map!$A$2:$A$287,$A20,KPI_Element_Map!$G$2:$G$287,U$1)&gt;0,1,"")</f>
        <v/>
      </c>
      <c r="V20" s="21" t="str">
        <f>IF(COUNTIFS(KPI_Element_Map!$A$2:$A$287,$A20,KPI_Element_Map!$G$2:$G$287,V$1)&gt;0,1,"")</f>
        <v/>
      </c>
      <c r="W20" s="21" t="str">
        <f>IF(COUNTIFS(KPI_Element_Map!$A$2:$A$287,$A20,KPI_Element_Map!$G$2:$G$287,W$1)&gt;0,1,"")</f>
        <v/>
      </c>
      <c r="X20" s="21" t="str">
        <f>IF(COUNTIFS(KPI_Element_Map!$A$2:$A$287,$A20,KPI_Element_Map!$G$2:$G$287,X$1)&gt;0,1,"")</f>
        <v/>
      </c>
      <c r="Y20" s="21" t="str">
        <f>IF(COUNTIFS(KPI_Element_Map!$A$2:$A$287,$A20,KPI_Element_Map!$G$2:$G$287,Y$1)&gt;0,1,"")</f>
        <v/>
      </c>
      <c r="Z20" s="21" t="str">
        <f>IF(COUNTIFS(KPI_Element_Map!$A$2:$A$287,$A20,KPI_Element_Map!$G$2:$G$287,Z$1)&gt;0,1,"")</f>
        <v/>
      </c>
      <c r="AA20" s="21" t="str">
        <f>IF(COUNTIFS(KPI_Element_Map!$A$2:$A$287,$A20,KPI_Element_Map!$G$2:$G$287,AA$1)&gt;0,1,"")</f>
        <v/>
      </c>
      <c r="AB20" s="21" t="str">
        <f>IF(COUNTIFS(KPI_Element_Map!$A$2:$A$287,$A20,KPI_Element_Map!$G$2:$G$287,AB$1)&gt;0,1,"")</f>
        <v/>
      </c>
      <c r="AC20" s="21" t="str">
        <f>IF(COUNTIFS(KPI_Element_Map!$A$2:$A$287,$A20,KPI_Element_Map!$G$2:$G$287,AC$1)&gt;0,1,"")</f>
        <v/>
      </c>
      <c r="AD20" s="21" t="str">
        <f>IF(COUNTIFS(KPI_Element_Map!$A$2:$A$287,$A20,KPI_Element_Map!$G$2:$G$287,AD$1)&gt;0,1,"")</f>
        <v/>
      </c>
      <c r="AE20" s="21" t="str">
        <f>IF(COUNTIFS(KPI_Element_Map!$A$2:$A$287,$A20,KPI_Element_Map!$G$2:$G$287,AE$1)&gt;0,1,"")</f>
        <v/>
      </c>
      <c r="AF20" s="21" t="str">
        <f>IF(COUNTIFS(KPI_Element_Map!$A$2:$A$287,$A20,KPI_Element_Map!$G$2:$G$287,AF$1)&gt;0,1,"")</f>
        <v/>
      </c>
      <c r="AG20" s="21" t="str">
        <f>IF(COUNTIFS(KPI_Element_Map!$A$2:$A$287,$A20,KPI_Element_Map!$G$2:$G$287,AG$1)&gt;0,1,"")</f>
        <v/>
      </c>
      <c r="AH20" s="21" t="str">
        <f>IF(COUNTIFS(KPI_Element_Map!$A$2:$A$287,$A20,KPI_Element_Map!$G$2:$G$287,AH$1)&gt;0,1,"")</f>
        <v/>
      </c>
      <c r="AI20" s="21" t="str">
        <f>IF(COUNTIFS(KPI_Element_Map!$A$2:$A$287,$A20,KPI_Element_Map!$G$2:$G$287,AI$1)&gt;0,1,"")</f>
        <v/>
      </c>
      <c r="AJ20" s="21" t="str">
        <f>IF(COUNTIFS(KPI_Element_Map!$A$2:$A$287,$A20,KPI_Element_Map!$G$2:$G$287,AJ$1)&gt;0,1,"")</f>
        <v/>
      </c>
      <c r="AK20" s="21" t="str">
        <f>IF(COUNTIFS(KPI_Element_Map!$A$2:$A$287,$A20,KPI_Element_Map!$G$2:$G$287,AK$1)&gt;0,1,"")</f>
        <v/>
      </c>
    </row>
    <row r="21" spans="1:37">
      <c r="A21" s="21">
        <v>20</v>
      </c>
      <c r="B21" s="23" t="str">
        <f>INDEX(KPI_Master!$B:$B,MATCH($A21,KPI_Master!$A:$A,0))</f>
        <v>FINA-12</v>
      </c>
      <c r="C21" s="23" t="str">
        <f>INDEX(KPI_Master!$D:$D,MATCH($A21,KPI_Master!$A:$A,0))</f>
        <v>Days Cash on Hand</v>
      </c>
      <c r="D21" s="23" t="str">
        <f>INDEX(KPI_Master!$K:$K,MATCH($A21,KPI_Master!$A:$A,0))</f>
        <v>1 - Core</v>
      </c>
      <c r="E21" s="23" t="str">
        <f t="array" ref="E21">_xlfn.TEXTJOIN(", ",TRUE(),IF(KPI_Element_Map!$A$2:$A$287=$A21,KPI_Element_Map!$E$2:$E$287,""))</f>
        <v>E21, E16, E18</v>
      </c>
      <c r="F21" s="21">
        <f t="shared" si="0"/>
        <v>1</v>
      </c>
      <c r="G21" s="21" t="str">
        <f>IF(COUNTIFS(KPI_Element_Map!$A$2:$A$287,$A21,KPI_Element_Map!$G$2:$G$287,G$1)&gt;0,1,"")</f>
        <v/>
      </c>
      <c r="H21" s="21" t="str">
        <f>IF(COUNTIFS(KPI_Element_Map!$A$2:$A$287,$A21,KPI_Element_Map!$G$2:$G$287,H$1)&gt;0,1,"")</f>
        <v/>
      </c>
      <c r="I21" s="21">
        <f>IF(COUNTIFS(KPI_Element_Map!$A$2:$A$287,$A21,KPI_Element_Map!$G$2:$G$287,I$1)&gt;0,1,"")</f>
        <v>1</v>
      </c>
      <c r="J21" s="21" t="str">
        <f>IF(COUNTIFS(KPI_Element_Map!$A$2:$A$287,$A21,KPI_Element_Map!$G$2:$G$287,J$1)&gt;0,1,"")</f>
        <v/>
      </c>
      <c r="K21" s="21" t="str">
        <f>IF(COUNTIFS(KPI_Element_Map!$A$2:$A$287,$A21,KPI_Element_Map!$G$2:$G$287,K$1)&gt;0,1,"")</f>
        <v/>
      </c>
      <c r="L21" s="21" t="str">
        <f>IF(COUNTIFS(KPI_Element_Map!$A$2:$A$287,$A21,KPI_Element_Map!$G$2:$G$287,L$1)&gt;0,1,"")</f>
        <v/>
      </c>
      <c r="M21" s="21" t="str">
        <f>IF(COUNTIFS(KPI_Element_Map!$A$2:$A$287,$A21,KPI_Element_Map!$G$2:$G$287,M$1)&gt;0,1,"")</f>
        <v/>
      </c>
      <c r="N21" s="21" t="str">
        <f>IF(COUNTIFS(KPI_Element_Map!$A$2:$A$287,$A21,KPI_Element_Map!$G$2:$G$287,N$1)&gt;0,1,"")</f>
        <v/>
      </c>
      <c r="O21" s="21" t="str">
        <f>IF(COUNTIFS(KPI_Element_Map!$A$2:$A$287,$A21,KPI_Element_Map!$G$2:$G$287,O$1)&gt;0,1,"")</f>
        <v/>
      </c>
      <c r="P21" s="21" t="str">
        <f>IF(COUNTIFS(KPI_Element_Map!$A$2:$A$287,$A21,KPI_Element_Map!$G$2:$G$287,P$1)&gt;0,1,"")</f>
        <v/>
      </c>
      <c r="Q21" s="21" t="str">
        <f>IF(COUNTIFS(KPI_Element_Map!$A$2:$A$287,$A21,KPI_Element_Map!$G$2:$G$287,Q$1)&gt;0,1,"")</f>
        <v/>
      </c>
      <c r="R21" s="21" t="str">
        <f>IF(COUNTIFS(KPI_Element_Map!$A$2:$A$287,$A21,KPI_Element_Map!$G$2:$G$287,R$1)&gt;0,1,"")</f>
        <v/>
      </c>
      <c r="S21" s="21" t="str">
        <f>IF(COUNTIFS(KPI_Element_Map!$A$2:$A$287,$A21,KPI_Element_Map!$G$2:$G$287,S$1)&gt;0,1,"")</f>
        <v/>
      </c>
      <c r="T21" s="21" t="str">
        <f>IF(COUNTIFS(KPI_Element_Map!$A$2:$A$287,$A21,KPI_Element_Map!$G$2:$G$287,T$1)&gt;0,1,"")</f>
        <v/>
      </c>
      <c r="U21" s="21" t="str">
        <f>IF(COUNTIFS(KPI_Element_Map!$A$2:$A$287,$A21,KPI_Element_Map!$G$2:$G$287,U$1)&gt;0,1,"")</f>
        <v/>
      </c>
      <c r="V21" s="21" t="str">
        <f>IF(COUNTIFS(KPI_Element_Map!$A$2:$A$287,$A21,KPI_Element_Map!$G$2:$G$287,V$1)&gt;0,1,"")</f>
        <v/>
      </c>
      <c r="W21" s="21" t="str">
        <f>IF(COUNTIFS(KPI_Element_Map!$A$2:$A$287,$A21,KPI_Element_Map!$G$2:$G$287,W$1)&gt;0,1,"")</f>
        <v/>
      </c>
      <c r="X21" s="21" t="str">
        <f>IF(COUNTIFS(KPI_Element_Map!$A$2:$A$287,$A21,KPI_Element_Map!$G$2:$G$287,X$1)&gt;0,1,"")</f>
        <v/>
      </c>
      <c r="Y21" s="21" t="str">
        <f>IF(COUNTIFS(KPI_Element_Map!$A$2:$A$287,$A21,KPI_Element_Map!$G$2:$G$287,Y$1)&gt;0,1,"")</f>
        <v/>
      </c>
      <c r="Z21" s="21" t="str">
        <f>IF(COUNTIFS(KPI_Element_Map!$A$2:$A$287,$A21,KPI_Element_Map!$G$2:$G$287,Z$1)&gt;0,1,"")</f>
        <v/>
      </c>
      <c r="AA21" s="21" t="str">
        <f>IF(COUNTIFS(KPI_Element_Map!$A$2:$A$287,$A21,KPI_Element_Map!$G$2:$G$287,AA$1)&gt;0,1,"")</f>
        <v/>
      </c>
      <c r="AB21" s="21" t="str">
        <f>IF(COUNTIFS(KPI_Element_Map!$A$2:$A$287,$A21,KPI_Element_Map!$G$2:$G$287,AB$1)&gt;0,1,"")</f>
        <v/>
      </c>
      <c r="AC21" s="21" t="str">
        <f>IF(COUNTIFS(KPI_Element_Map!$A$2:$A$287,$A21,KPI_Element_Map!$G$2:$G$287,AC$1)&gt;0,1,"")</f>
        <v/>
      </c>
      <c r="AD21" s="21" t="str">
        <f>IF(COUNTIFS(KPI_Element_Map!$A$2:$A$287,$A21,KPI_Element_Map!$G$2:$G$287,AD$1)&gt;0,1,"")</f>
        <v/>
      </c>
      <c r="AE21" s="21" t="str">
        <f>IF(COUNTIFS(KPI_Element_Map!$A$2:$A$287,$A21,KPI_Element_Map!$G$2:$G$287,AE$1)&gt;0,1,"")</f>
        <v/>
      </c>
      <c r="AF21" s="21" t="str">
        <f>IF(COUNTIFS(KPI_Element_Map!$A$2:$A$287,$A21,KPI_Element_Map!$G$2:$G$287,AF$1)&gt;0,1,"")</f>
        <v/>
      </c>
      <c r="AG21" s="21" t="str">
        <f>IF(COUNTIFS(KPI_Element_Map!$A$2:$A$287,$A21,KPI_Element_Map!$G$2:$G$287,AG$1)&gt;0,1,"")</f>
        <v/>
      </c>
      <c r="AH21" s="21" t="str">
        <f>IF(COUNTIFS(KPI_Element_Map!$A$2:$A$287,$A21,KPI_Element_Map!$G$2:$G$287,AH$1)&gt;0,1,"")</f>
        <v/>
      </c>
      <c r="AI21" s="21" t="str">
        <f>IF(COUNTIFS(KPI_Element_Map!$A$2:$A$287,$A21,KPI_Element_Map!$G$2:$G$287,AI$1)&gt;0,1,"")</f>
        <v/>
      </c>
      <c r="AJ21" s="21" t="str">
        <f>IF(COUNTIFS(KPI_Element_Map!$A$2:$A$287,$A21,KPI_Element_Map!$G$2:$G$287,AJ$1)&gt;0,1,"")</f>
        <v/>
      </c>
      <c r="AK21" s="21" t="str">
        <f>IF(COUNTIFS(KPI_Element_Map!$A$2:$A$287,$A21,KPI_Element_Map!$G$2:$G$287,AK$1)&gt;0,1,"")</f>
        <v/>
      </c>
    </row>
    <row r="22" spans="1:37">
      <c r="A22" s="21">
        <v>21</v>
      </c>
      <c r="B22" s="23" t="str">
        <f>INDEX(KPI_Master!$B:$B,MATCH($A22,KPI_Master!$A:$A,0))</f>
        <v>FINA-13</v>
      </c>
      <c r="C22" s="23" t="str">
        <f>INDEX(KPI_Master!$D:$D,MATCH($A22,KPI_Master!$A:$A,0))</f>
        <v>Debt Service Coverage Ratio (DSCR)</v>
      </c>
      <c r="D22" s="23" t="str">
        <f>INDEX(KPI_Master!$K:$K,MATCH($A22,KPI_Master!$A:$A,0))</f>
        <v>2 - Standard</v>
      </c>
      <c r="E22" s="23" t="str">
        <f t="array" ref="E22">_xlfn.TEXTJOIN(", ",TRUE(),IF(KPI_Element_Map!$A$2:$A$287=$A22,KPI_Element_Map!$E$2:$E$287,""))</f>
        <v>E15, E16, E22</v>
      </c>
      <c r="F22" s="21">
        <f t="shared" si="0"/>
        <v>1</v>
      </c>
      <c r="G22" s="21" t="str">
        <f>IF(COUNTIFS(KPI_Element_Map!$A$2:$A$287,$A22,KPI_Element_Map!$G$2:$G$287,G$1)&gt;0,1,"")</f>
        <v/>
      </c>
      <c r="H22" s="21" t="str">
        <f>IF(COUNTIFS(KPI_Element_Map!$A$2:$A$287,$A22,KPI_Element_Map!$G$2:$G$287,H$1)&gt;0,1,"")</f>
        <v/>
      </c>
      <c r="I22" s="21">
        <f>IF(COUNTIFS(KPI_Element_Map!$A$2:$A$287,$A22,KPI_Element_Map!$G$2:$G$287,I$1)&gt;0,1,"")</f>
        <v>1</v>
      </c>
      <c r="J22" s="21" t="str">
        <f>IF(COUNTIFS(KPI_Element_Map!$A$2:$A$287,$A22,KPI_Element_Map!$G$2:$G$287,J$1)&gt;0,1,"")</f>
        <v/>
      </c>
      <c r="K22" s="21" t="str">
        <f>IF(COUNTIFS(KPI_Element_Map!$A$2:$A$287,$A22,KPI_Element_Map!$G$2:$G$287,K$1)&gt;0,1,"")</f>
        <v/>
      </c>
      <c r="L22" s="21" t="str">
        <f>IF(COUNTIFS(KPI_Element_Map!$A$2:$A$287,$A22,KPI_Element_Map!$G$2:$G$287,L$1)&gt;0,1,"")</f>
        <v/>
      </c>
      <c r="M22" s="21" t="str">
        <f>IF(COUNTIFS(KPI_Element_Map!$A$2:$A$287,$A22,KPI_Element_Map!$G$2:$G$287,M$1)&gt;0,1,"")</f>
        <v/>
      </c>
      <c r="N22" s="21" t="str">
        <f>IF(COUNTIFS(KPI_Element_Map!$A$2:$A$287,$A22,KPI_Element_Map!$G$2:$G$287,N$1)&gt;0,1,"")</f>
        <v/>
      </c>
      <c r="O22" s="21" t="str">
        <f>IF(COUNTIFS(KPI_Element_Map!$A$2:$A$287,$A22,KPI_Element_Map!$G$2:$G$287,O$1)&gt;0,1,"")</f>
        <v/>
      </c>
      <c r="P22" s="21" t="str">
        <f>IF(COUNTIFS(KPI_Element_Map!$A$2:$A$287,$A22,KPI_Element_Map!$G$2:$G$287,P$1)&gt;0,1,"")</f>
        <v/>
      </c>
      <c r="Q22" s="21" t="str">
        <f>IF(COUNTIFS(KPI_Element_Map!$A$2:$A$287,$A22,KPI_Element_Map!$G$2:$G$287,Q$1)&gt;0,1,"")</f>
        <v/>
      </c>
      <c r="R22" s="21" t="str">
        <f>IF(COUNTIFS(KPI_Element_Map!$A$2:$A$287,$A22,KPI_Element_Map!$G$2:$G$287,R$1)&gt;0,1,"")</f>
        <v/>
      </c>
      <c r="S22" s="21" t="str">
        <f>IF(COUNTIFS(KPI_Element_Map!$A$2:$A$287,$A22,KPI_Element_Map!$G$2:$G$287,S$1)&gt;0,1,"")</f>
        <v/>
      </c>
      <c r="T22" s="21" t="str">
        <f>IF(COUNTIFS(KPI_Element_Map!$A$2:$A$287,$A22,KPI_Element_Map!$G$2:$G$287,T$1)&gt;0,1,"")</f>
        <v/>
      </c>
      <c r="U22" s="21" t="str">
        <f>IF(COUNTIFS(KPI_Element_Map!$A$2:$A$287,$A22,KPI_Element_Map!$G$2:$G$287,U$1)&gt;0,1,"")</f>
        <v/>
      </c>
      <c r="V22" s="21" t="str">
        <f>IF(COUNTIFS(KPI_Element_Map!$A$2:$A$287,$A22,KPI_Element_Map!$G$2:$G$287,V$1)&gt;0,1,"")</f>
        <v/>
      </c>
      <c r="W22" s="21" t="str">
        <f>IF(COUNTIFS(KPI_Element_Map!$A$2:$A$287,$A22,KPI_Element_Map!$G$2:$G$287,W$1)&gt;0,1,"")</f>
        <v/>
      </c>
      <c r="X22" s="21" t="str">
        <f>IF(COUNTIFS(KPI_Element_Map!$A$2:$A$287,$A22,KPI_Element_Map!$G$2:$G$287,X$1)&gt;0,1,"")</f>
        <v/>
      </c>
      <c r="Y22" s="21" t="str">
        <f>IF(COUNTIFS(KPI_Element_Map!$A$2:$A$287,$A22,KPI_Element_Map!$G$2:$G$287,Y$1)&gt;0,1,"")</f>
        <v/>
      </c>
      <c r="Z22" s="21" t="str">
        <f>IF(COUNTIFS(KPI_Element_Map!$A$2:$A$287,$A22,KPI_Element_Map!$G$2:$G$287,Z$1)&gt;0,1,"")</f>
        <v/>
      </c>
      <c r="AA22" s="21" t="str">
        <f>IF(COUNTIFS(KPI_Element_Map!$A$2:$A$287,$A22,KPI_Element_Map!$G$2:$G$287,AA$1)&gt;0,1,"")</f>
        <v/>
      </c>
      <c r="AB22" s="21" t="str">
        <f>IF(COUNTIFS(KPI_Element_Map!$A$2:$A$287,$A22,KPI_Element_Map!$G$2:$G$287,AB$1)&gt;0,1,"")</f>
        <v/>
      </c>
      <c r="AC22" s="21" t="str">
        <f>IF(COUNTIFS(KPI_Element_Map!$A$2:$A$287,$A22,KPI_Element_Map!$G$2:$G$287,AC$1)&gt;0,1,"")</f>
        <v/>
      </c>
      <c r="AD22" s="21" t="str">
        <f>IF(COUNTIFS(KPI_Element_Map!$A$2:$A$287,$A22,KPI_Element_Map!$G$2:$G$287,AD$1)&gt;0,1,"")</f>
        <v/>
      </c>
      <c r="AE22" s="21" t="str">
        <f>IF(COUNTIFS(KPI_Element_Map!$A$2:$A$287,$A22,KPI_Element_Map!$G$2:$G$287,AE$1)&gt;0,1,"")</f>
        <v/>
      </c>
      <c r="AF22" s="21" t="str">
        <f>IF(COUNTIFS(KPI_Element_Map!$A$2:$A$287,$A22,KPI_Element_Map!$G$2:$G$287,AF$1)&gt;0,1,"")</f>
        <v/>
      </c>
      <c r="AG22" s="21" t="str">
        <f>IF(COUNTIFS(KPI_Element_Map!$A$2:$A$287,$A22,KPI_Element_Map!$G$2:$G$287,AG$1)&gt;0,1,"")</f>
        <v/>
      </c>
      <c r="AH22" s="21" t="str">
        <f>IF(COUNTIFS(KPI_Element_Map!$A$2:$A$287,$A22,KPI_Element_Map!$G$2:$G$287,AH$1)&gt;0,1,"")</f>
        <v/>
      </c>
      <c r="AI22" s="21" t="str">
        <f>IF(COUNTIFS(KPI_Element_Map!$A$2:$A$287,$A22,KPI_Element_Map!$G$2:$G$287,AI$1)&gt;0,1,"")</f>
        <v/>
      </c>
      <c r="AJ22" s="21" t="str">
        <f>IF(COUNTIFS(KPI_Element_Map!$A$2:$A$287,$A22,KPI_Element_Map!$G$2:$G$287,AJ$1)&gt;0,1,"")</f>
        <v/>
      </c>
      <c r="AK22" s="21" t="str">
        <f>IF(COUNTIFS(KPI_Element_Map!$A$2:$A$287,$A22,KPI_Element_Map!$G$2:$G$287,AK$1)&gt;0,1,"")</f>
        <v/>
      </c>
    </row>
    <row r="23" spans="1:37">
      <c r="A23" s="21">
        <v>22</v>
      </c>
      <c r="B23" s="23" t="str">
        <f>INDEX(KPI_Master!$B:$B,MATCH($A23,KPI_Master!$A:$A,0))</f>
        <v>FINA-16</v>
      </c>
      <c r="C23" s="23" t="str">
        <f>INDEX(KPI_Master!$D:$D,MATCH($A23,KPI_Master!$A:$A,0))</f>
        <v>Payer Mix Percentage</v>
      </c>
      <c r="D23" s="23" t="str">
        <f>INDEX(KPI_Master!$K:$K,MATCH($A23,KPI_Master!$A:$A,0))</f>
        <v>2 - Standard</v>
      </c>
      <c r="E23" s="23" t="str">
        <f t="array" ref="E23">_xlfn.TEXTJOIN(", ",TRUE(),IF(KPI_Element_Map!$A$2:$A$287=$A23,KPI_Element_Map!$E$2:$E$287,""))</f>
        <v>E04, E01</v>
      </c>
      <c r="F23" s="21">
        <f t="shared" si="0"/>
        <v>1</v>
      </c>
      <c r="G23" s="21">
        <f>IF(COUNTIFS(KPI_Element_Map!$A$2:$A$287,$A23,KPI_Element_Map!$G$2:$G$287,G$1)&gt;0,1,"")</f>
        <v>1</v>
      </c>
      <c r="H23" s="21" t="str">
        <f>IF(COUNTIFS(KPI_Element_Map!$A$2:$A$287,$A23,KPI_Element_Map!$G$2:$G$287,H$1)&gt;0,1,"")</f>
        <v/>
      </c>
      <c r="I23" s="21" t="str">
        <f>IF(COUNTIFS(KPI_Element_Map!$A$2:$A$287,$A23,KPI_Element_Map!$G$2:$G$287,I$1)&gt;0,1,"")</f>
        <v/>
      </c>
      <c r="J23" s="21" t="str">
        <f>IF(COUNTIFS(KPI_Element_Map!$A$2:$A$287,$A23,KPI_Element_Map!$G$2:$G$287,J$1)&gt;0,1,"")</f>
        <v/>
      </c>
      <c r="K23" s="21" t="str">
        <f>IF(COUNTIFS(KPI_Element_Map!$A$2:$A$287,$A23,KPI_Element_Map!$G$2:$G$287,K$1)&gt;0,1,"")</f>
        <v/>
      </c>
      <c r="L23" s="21" t="str">
        <f>IF(COUNTIFS(KPI_Element_Map!$A$2:$A$287,$A23,KPI_Element_Map!$G$2:$G$287,L$1)&gt;0,1,"")</f>
        <v/>
      </c>
      <c r="M23" s="21" t="str">
        <f>IF(COUNTIFS(KPI_Element_Map!$A$2:$A$287,$A23,KPI_Element_Map!$G$2:$G$287,M$1)&gt;0,1,"")</f>
        <v/>
      </c>
      <c r="N23" s="21" t="str">
        <f>IF(COUNTIFS(KPI_Element_Map!$A$2:$A$287,$A23,KPI_Element_Map!$G$2:$G$287,N$1)&gt;0,1,"")</f>
        <v/>
      </c>
      <c r="O23" s="21" t="str">
        <f>IF(COUNTIFS(KPI_Element_Map!$A$2:$A$287,$A23,KPI_Element_Map!$G$2:$G$287,O$1)&gt;0,1,"")</f>
        <v/>
      </c>
      <c r="P23" s="21" t="str">
        <f>IF(COUNTIFS(KPI_Element_Map!$A$2:$A$287,$A23,KPI_Element_Map!$G$2:$G$287,P$1)&gt;0,1,"")</f>
        <v/>
      </c>
      <c r="Q23" s="21" t="str">
        <f>IF(COUNTIFS(KPI_Element_Map!$A$2:$A$287,$A23,KPI_Element_Map!$G$2:$G$287,Q$1)&gt;0,1,"")</f>
        <v/>
      </c>
      <c r="R23" s="21" t="str">
        <f>IF(COUNTIFS(KPI_Element_Map!$A$2:$A$287,$A23,KPI_Element_Map!$G$2:$G$287,R$1)&gt;0,1,"")</f>
        <v/>
      </c>
      <c r="S23" s="21" t="str">
        <f>IF(COUNTIFS(KPI_Element_Map!$A$2:$A$287,$A23,KPI_Element_Map!$G$2:$G$287,S$1)&gt;0,1,"")</f>
        <v/>
      </c>
      <c r="T23" s="21" t="str">
        <f>IF(COUNTIFS(KPI_Element_Map!$A$2:$A$287,$A23,KPI_Element_Map!$G$2:$G$287,T$1)&gt;0,1,"")</f>
        <v/>
      </c>
      <c r="U23" s="21" t="str">
        <f>IF(COUNTIFS(KPI_Element_Map!$A$2:$A$287,$A23,KPI_Element_Map!$G$2:$G$287,U$1)&gt;0,1,"")</f>
        <v/>
      </c>
      <c r="V23" s="21" t="str">
        <f>IF(COUNTIFS(KPI_Element_Map!$A$2:$A$287,$A23,KPI_Element_Map!$G$2:$G$287,V$1)&gt;0,1,"")</f>
        <v/>
      </c>
      <c r="W23" s="21" t="str">
        <f>IF(COUNTIFS(KPI_Element_Map!$A$2:$A$287,$A23,KPI_Element_Map!$G$2:$G$287,W$1)&gt;0,1,"")</f>
        <v/>
      </c>
      <c r="X23" s="21" t="str">
        <f>IF(COUNTIFS(KPI_Element_Map!$A$2:$A$287,$A23,KPI_Element_Map!$G$2:$G$287,X$1)&gt;0,1,"")</f>
        <v/>
      </c>
      <c r="Y23" s="21" t="str">
        <f>IF(COUNTIFS(KPI_Element_Map!$A$2:$A$287,$A23,KPI_Element_Map!$G$2:$G$287,Y$1)&gt;0,1,"")</f>
        <v/>
      </c>
      <c r="Z23" s="21" t="str">
        <f>IF(COUNTIFS(KPI_Element_Map!$A$2:$A$287,$A23,KPI_Element_Map!$G$2:$G$287,Z$1)&gt;0,1,"")</f>
        <v/>
      </c>
      <c r="AA23" s="21" t="str">
        <f>IF(COUNTIFS(KPI_Element_Map!$A$2:$A$287,$A23,KPI_Element_Map!$G$2:$G$287,AA$1)&gt;0,1,"")</f>
        <v/>
      </c>
      <c r="AB23" s="21" t="str">
        <f>IF(COUNTIFS(KPI_Element_Map!$A$2:$A$287,$A23,KPI_Element_Map!$G$2:$G$287,AB$1)&gt;0,1,"")</f>
        <v/>
      </c>
      <c r="AC23" s="21" t="str">
        <f>IF(COUNTIFS(KPI_Element_Map!$A$2:$A$287,$A23,KPI_Element_Map!$G$2:$G$287,AC$1)&gt;0,1,"")</f>
        <v/>
      </c>
      <c r="AD23" s="21" t="str">
        <f>IF(COUNTIFS(KPI_Element_Map!$A$2:$A$287,$A23,KPI_Element_Map!$G$2:$G$287,AD$1)&gt;0,1,"")</f>
        <v/>
      </c>
      <c r="AE23" s="21" t="str">
        <f>IF(COUNTIFS(KPI_Element_Map!$A$2:$A$287,$A23,KPI_Element_Map!$G$2:$G$287,AE$1)&gt;0,1,"")</f>
        <v/>
      </c>
      <c r="AF23" s="21" t="str">
        <f>IF(COUNTIFS(KPI_Element_Map!$A$2:$A$287,$A23,KPI_Element_Map!$G$2:$G$287,AF$1)&gt;0,1,"")</f>
        <v/>
      </c>
      <c r="AG23" s="21" t="str">
        <f>IF(COUNTIFS(KPI_Element_Map!$A$2:$A$287,$A23,KPI_Element_Map!$G$2:$G$287,AG$1)&gt;0,1,"")</f>
        <v/>
      </c>
      <c r="AH23" s="21" t="str">
        <f>IF(COUNTIFS(KPI_Element_Map!$A$2:$A$287,$A23,KPI_Element_Map!$G$2:$G$287,AH$1)&gt;0,1,"")</f>
        <v/>
      </c>
      <c r="AI23" s="21" t="str">
        <f>IF(COUNTIFS(KPI_Element_Map!$A$2:$A$287,$A23,KPI_Element_Map!$G$2:$G$287,AI$1)&gt;0,1,"")</f>
        <v/>
      </c>
      <c r="AJ23" s="21" t="str">
        <f>IF(COUNTIFS(KPI_Element_Map!$A$2:$A$287,$A23,KPI_Element_Map!$G$2:$G$287,AJ$1)&gt;0,1,"")</f>
        <v/>
      </c>
      <c r="AK23" s="21" t="str">
        <f>IF(COUNTIFS(KPI_Element_Map!$A$2:$A$287,$A23,KPI_Element_Map!$G$2:$G$287,AK$1)&gt;0,1,"")</f>
        <v/>
      </c>
    </row>
    <row r="24" spans="1:37">
      <c r="A24" s="21">
        <v>23</v>
      </c>
      <c r="B24" s="23" t="str">
        <f>INDEX(KPI_Master!$B:$B,MATCH($A24,KPI_Master!$A:$A,0))</f>
        <v>FINA-18</v>
      </c>
      <c r="C24" s="23" t="str">
        <f>INDEX(KPI_Master!$D:$D,MATCH($A24,KPI_Master!$A:$A,0))</f>
        <v>Skilled Revenue per Patient Day</v>
      </c>
      <c r="D24" s="23" t="str">
        <f>INDEX(KPI_Master!$K:$K,MATCH($A24,KPI_Master!$A:$A,0))</f>
        <v>1 - Core</v>
      </c>
      <c r="E24" s="23" t="str">
        <f t="array" ref="E24">_xlfn.TEXTJOIN(", ",TRUE(),IF(KPI_Element_Map!$A$2:$A$287=$A24,KPI_Element_Map!$E$2:$E$287,""))</f>
        <v>E24, E05</v>
      </c>
      <c r="F24" s="21">
        <f t="shared" si="0"/>
        <v>2</v>
      </c>
      <c r="G24" s="21">
        <f>IF(COUNTIFS(KPI_Element_Map!$A$2:$A$287,$A24,KPI_Element_Map!$G$2:$G$287,G$1)&gt;0,1,"")</f>
        <v>1</v>
      </c>
      <c r="H24" s="21" t="str">
        <f>IF(COUNTIFS(KPI_Element_Map!$A$2:$A$287,$A24,KPI_Element_Map!$G$2:$G$287,H$1)&gt;0,1,"")</f>
        <v/>
      </c>
      <c r="I24" s="21" t="str">
        <f>IF(COUNTIFS(KPI_Element_Map!$A$2:$A$287,$A24,KPI_Element_Map!$G$2:$G$287,I$1)&gt;0,1,"")</f>
        <v/>
      </c>
      <c r="J24" s="21">
        <f>IF(COUNTIFS(KPI_Element_Map!$A$2:$A$287,$A24,KPI_Element_Map!$G$2:$G$287,J$1)&gt;0,1,"")</f>
        <v>1</v>
      </c>
      <c r="K24" s="21" t="str">
        <f>IF(COUNTIFS(KPI_Element_Map!$A$2:$A$287,$A24,KPI_Element_Map!$G$2:$G$287,K$1)&gt;0,1,"")</f>
        <v/>
      </c>
      <c r="L24" s="21" t="str">
        <f>IF(COUNTIFS(KPI_Element_Map!$A$2:$A$287,$A24,KPI_Element_Map!$G$2:$G$287,L$1)&gt;0,1,"")</f>
        <v/>
      </c>
      <c r="M24" s="21" t="str">
        <f>IF(COUNTIFS(KPI_Element_Map!$A$2:$A$287,$A24,KPI_Element_Map!$G$2:$G$287,M$1)&gt;0,1,"")</f>
        <v/>
      </c>
      <c r="N24" s="21" t="str">
        <f>IF(COUNTIFS(KPI_Element_Map!$A$2:$A$287,$A24,KPI_Element_Map!$G$2:$G$287,N$1)&gt;0,1,"")</f>
        <v/>
      </c>
      <c r="O24" s="21" t="str">
        <f>IF(COUNTIFS(KPI_Element_Map!$A$2:$A$287,$A24,KPI_Element_Map!$G$2:$G$287,O$1)&gt;0,1,"")</f>
        <v/>
      </c>
      <c r="P24" s="21" t="str">
        <f>IF(COUNTIFS(KPI_Element_Map!$A$2:$A$287,$A24,KPI_Element_Map!$G$2:$G$287,P$1)&gt;0,1,"")</f>
        <v/>
      </c>
      <c r="Q24" s="21" t="str">
        <f>IF(COUNTIFS(KPI_Element_Map!$A$2:$A$287,$A24,KPI_Element_Map!$G$2:$G$287,Q$1)&gt;0,1,"")</f>
        <v/>
      </c>
      <c r="R24" s="21" t="str">
        <f>IF(COUNTIFS(KPI_Element_Map!$A$2:$A$287,$A24,KPI_Element_Map!$G$2:$G$287,R$1)&gt;0,1,"")</f>
        <v/>
      </c>
      <c r="S24" s="21" t="str">
        <f>IF(COUNTIFS(KPI_Element_Map!$A$2:$A$287,$A24,KPI_Element_Map!$G$2:$G$287,S$1)&gt;0,1,"")</f>
        <v/>
      </c>
      <c r="T24" s="21" t="str">
        <f>IF(COUNTIFS(KPI_Element_Map!$A$2:$A$287,$A24,KPI_Element_Map!$G$2:$G$287,T$1)&gt;0,1,"")</f>
        <v/>
      </c>
      <c r="U24" s="21" t="str">
        <f>IF(COUNTIFS(KPI_Element_Map!$A$2:$A$287,$A24,KPI_Element_Map!$G$2:$G$287,U$1)&gt;0,1,"")</f>
        <v/>
      </c>
      <c r="V24" s="21" t="str">
        <f>IF(COUNTIFS(KPI_Element_Map!$A$2:$A$287,$A24,KPI_Element_Map!$G$2:$G$287,V$1)&gt;0,1,"")</f>
        <v/>
      </c>
      <c r="W24" s="21" t="str">
        <f>IF(COUNTIFS(KPI_Element_Map!$A$2:$A$287,$A24,KPI_Element_Map!$G$2:$G$287,W$1)&gt;0,1,"")</f>
        <v/>
      </c>
      <c r="X24" s="21" t="str">
        <f>IF(COUNTIFS(KPI_Element_Map!$A$2:$A$287,$A24,KPI_Element_Map!$G$2:$G$287,X$1)&gt;0,1,"")</f>
        <v/>
      </c>
      <c r="Y24" s="21" t="str">
        <f>IF(COUNTIFS(KPI_Element_Map!$A$2:$A$287,$A24,KPI_Element_Map!$G$2:$G$287,Y$1)&gt;0,1,"")</f>
        <v/>
      </c>
      <c r="Z24" s="21" t="str">
        <f>IF(COUNTIFS(KPI_Element_Map!$A$2:$A$287,$A24,KPI_Element_Map!$G$2:$G$287,Z$1)&gt;0,1,"")</f>
        <v/>
      </c>
      <c r="AA24" s="21" t="str">
        <f>IF(COUNTIFS(KPI_Element_Map!$A$2:$A$287,$A24,KPI_Element_Map!$G$2:$G$287,AA$1)&gt;0,1,"")</f>
        <v/>
      </c>
      <c r="AB24" s="21" t="str">
        <f>IF(COUNTIFS(KPI_Element_Map!$A$2:$A$287,$A24,KPI_Element_Map!$G$2:$G$287,AB$1)&gt;0,1,"")</f>
        <v/>
      </c>
      <c r="AC24" s="21" t="str">
        <f>IF(COUNTIFS(KPI_Element_Map!$A$2:$A$287,$A24,KPI_Element_Map!$G$2:$G$287,AC$1)&gt;0,1,"")</f>
        <v/>
      </c>
      <c r="AD24" s="21" t="str">
        <f>IF(COUNTIFS(KPI_Element_Map!$A$2:$A$287,$A24,KPI_Element_Map!$G$2:$G$287,AD$1)&gt;0,1,"")</f>
        <v/>
      </c>
      <c r="AE24" s="21" t="str">
        <f>IF(COUNTIFS(KPI_Element_Map!$A$2:$A$287,$A24,KPI_Element_Map!$G$2:$G$287,AE$1)&gt;0,1,"")</f>
        <v/>
      </c>
      <c r="AF24" s="21" t="str">
        <f>IF(COUNTIFS(KPI_Element_Map!$A$2:$A$287,$A24,KPI_Element_Map!$G$2:$G$287,AF$1)&gt;0,1,"")</f>
        <v/>
      </c>
      <c r="AG24" s="21" t="str">
        <f>IF(COUNTIFS(KPI_Element_Map!$A$2:$A$287,$A24,KPI_Element_Map!$G$2:$G$287,AG$1)&gt;0,1,"")</f>
        <v/>
      </c>
      <c r="AH24" s="21" t="str">
        <f>IF(COUNTIFS(KPI_Element_Map!$A$2:$A$287,$A24,KPI_Element_Map!$G$2:$G$287,AH$1)&gt;0,1,"")</f>
        <v/>
      </c>
      <c r="AI24" s="21" t="str">
        <f>IF(COUNTIFS(KPI_Element_Map!$A$2:$A$287,$A24,KPI_Element_Map!$G$2:$G$287,AI$1)&gt;0,1,"")</f>
        <v/>
      </c>
      <c r="AJ24" s="21" t="str">
        <f>IF(COUNTIFS(KPI_Element_Map!$A$2:$A$287,$A24,KPI_Element_Map!$G$2:$G$287,AJ$1)&gt;0,1,"")</f>
        <v/>
      </c>
      <c r="AK24" s="21" t="str">
        <f>IF(COUNTIFS(KPI_Element_Map!$A$2:$A$287,$A24,KPI_Element_Map!$G$2:$G$287,AK$1)&gt;0,1,"")</f>
        <v/>
      </c>
    </row>
    <row r="25" spans="1:37">
      <c r="A25" s="21">
        <v>24</v>
      </c>
      <c r="B25" s="23" t="str">
        <f>INDEX(KPI_Master!$B:$B,MATCH($A25,KPI_Master!$A:$A,0))</f>
        <v>FINA-19</v>
      </c>
      <c r="C25" s="23" t="str">
        <f>INDEX(KPI_Master!$D:$D,MATCH($A25,KPI_Master!$A:$A,0))</f>
        <v>SNF Occupancy - 5-Star Benchmark</v>
      </c>
      <c r="D25" s="23" t="str">
        <f>INDEX(KPI_Master!$K:$K,MATCH($A25,KPI_Master!$A:$A,0))</f>
        <v>3 - Optional</v>
      </c>
      <c r="E25" s="23" t="str">
        <f t="array" ref="E25">_xlfn.TEXTJOIN(", ",TRUE(),IF(KPI_Element_Map!$A$2:$A$287=$A25,KPI_Element_Map!$E$2:$E$287,""))</f>
        <v>E02, E11</v>
      </c>
      <c r="F25" s="21">
        <f t="shared" si="0"/>
        <v>2</v>
      </c>
      <c r="G25" s="21">
        <f>IF(COUNTIFS(KPI_Element_Map!$A$2:$A$287,$A25,KPI_Element_Map!$G$2:$G$287,G$1)&gt;0,1,"")</f>
        <v>1</v>
      </c>
      <c r="H25" s="21">
        <f>IF(COUNTIFS(KPI_Element_Map!$A$2:$A$287,$A25,KPI_Element_Map!$G$2:$G$287,H$1)&gt;0,1,"")</f>
        <v>1</v>
      </c>
      <c r="I25" s="21" t="str">
        <f>IF(COUNTIFS(KPI_Element_Map!$A$2:$A$287,$A25,KPI_Element_Map!$G$2:$G$287,I$1)&gt;0,1,"")</f>
        <v/>
      </c>
      <c r="J25" s="21" t="str">
        <f>IF(COUNTIFS(KPI_Element_Map!$A$2:$A$287,$A25,KPI_Element_Map!$G$2:$G$287,J$1)&gt;0,1,"")</f>
        <v/>
      </c>
      <c r="K25" s="21" t="str">
        <f>IF(COUNTIFS(KPI_Element_Map!$A$2:$A$287,$A25,KPI_Element_Map!$G$2:$G$287,K$1)&gt;0,1,"")</f>
        <v/>
      </c>
      <c r="L25" s="21" t="str">
        <f>IF(COUNTIFS(KPI_Element_Map!$A$2:$A$287,$A25,KPI_Element_Map!$G$2:$G$287,L$1)&gt;0,1,"")</f>
        <v/>
      </c>
      <c r="M25" s="21" t="str">
        <f>IF(COUNTIFS(KPI_Element_Map!$A$2:$A$287,$A25,KPI_Element_Map!$G$2:$G$287,M$1)&gt;0,1,"")</f>
        <v/>
      </c>
      <c r="N25" s="21" t="str">
        <f>IF(COUNTIFS(KPI_Element_Map!$A$2:$A$287,$A25,KPI_Element_Map!$G$2:$G$287,N$1)&gt;0,1,"")</f>
        <v/>
      </c>
      <c r="O25" s="21" t="str">
        <f>IF(COUNTIFS(KPI_Element_Map!$A$2:$A$287,$A25,KPI_Element_Map!$G$2:$G$287,O$1)&gt;0,1,"")</f>
        <v/>
      </c>
      <c r="P25" s="21" t="str">
        <f>IF(COUNTIFS(KPI_Element_Map!$A$2:$A$287,$A25,KPI_Element_Map!$G$2:$G$287,P$1)&gt;0,1,"")</f>
        <v/>
      </c>
      <c r="Q25" s="21" t="str">
        <f>IF(COUNTIFS(KPI_Element_Map!$A$2:$A$287,$A25,KPI_Element_Map!$G$2:$G$287,Q$1)&gt;0,1,"")</f>
        <v/>
      </c>
      <c r="R25" s="21" t="str">
        <f>IF(COUNTIFS(KPI_Element_Map!$A$2:$A$287,$A25,KPI_Element_Map!$G$2:$G$287,R$1)&gt;0,1,"")</f>
        <v/>
      </c>
      <c r="S25" s="21" t="str">
        <f>IF(COUNTIFS(KPI_Element_Map!$A$2:$A$287,$A25,KPI_Element_Map!$G$2:$G$287,S$1)&gt;0,1,"")</f>
        <v/>
      </c>
      <c r="T25" s="21" t="str">
        <f>IF(COUNTIFS(KPI_Element_Map!$A$2:$A$287,$A25,KPI_Element_Map!$G$2:$G$287,T$1)&gt;0,1,"")</f>
        <v/>
      </c>
      <c r="U25" s="21" t="str">
        <f>IF(COUNTIFS(KPI_Element_Map!$A$2:$A$287,$A25,KPI_Element_Map!$G$2:$G$287,U$1)&gt;0,1,"")</f>
        <v/>
      </c>
      <c r="V25" s="21" t="str">
        <f>IF(COUNTIFS(KPI_Element_Map!$A$2:$A$287,$A25,KPI_Element_Map!$G$2:$G$287,V$1)&gt;0,1,"")</f>
        <v/>
      </c>
      <c r="W25" s="21" t="str">
        <f>IF(COUNTIFS(KPI_Element_Map!$A$2:$A$287,$A25,KPI_Element_Map!$G$2:$G$287,W$1)&gt;0,1,"")</f>
        <v/>
      </c>
      <c r="X25" s="21" t="str">
        <f>IF(COUNTIFS(KPI_Element_Map!$A$2:$A$287,$A25,KPI_Element_Map!$G$2:$G$287,X$1)&gt;0,1,"")</f>
        <v/>
      </c>
      <c r="Y25" s="21" t="str">
        <f>IF(COUNTIFS(KPI_Element_Map!$A$2:$A$287,$A25,KPI_Element_Map!$G$2:$G$287,Y$1)&gt;0,1,"")</f>
        <v/>
      </c>
      <c r="Z25" s="21" t="str">
        <f>IF(COUNTIFS(KPI_Element_Map!$A$2:$A$287,$A25,KPI_Element_Map!$G$2:$G$287,Z$1)&gt;0,1,"")</f>
        <v/>
      </c>
      <c r="AA25" s="21" t="str">
        <f>IF(COUNTIFS(KPI_Element_Map!$A$2:$A$287,$A25,KPI_Element_Map!$G$2:$G$287,AA$1)&gt;0,1,"")</f>
        <v/>
      </c>
      <c r="AB25" s="21" t="str">
        <f>IF(COUNTIFS(KPI_Element_Map!$A$2:$A$287,$A25,KPI_Element_Map!$G$2:$G$287,AB$1)&gt;0,1,"")</f>
        <v/>
      </c>
      <c r="AC25" s="21" t="str">
        <f>IF(COUNTIFS(KPI_Element_Map!$A$2:$A$287,$A25,KPI_Element_Map!$G$2:$G$287,AC$1)&gt;0,1,"")</f>
        <v/>
      </c>
      <c r="AD25" s="21" t="str">
        <f>IF(COUNTIFS(KPI_Element_Map!$A$2:$A$287,$A25,KPI_Element_Map!$G$2:$G$287,AD$1)&gt;0,1,"")</f>
        <v/>
      </c>
      <c r="AE25" s="21" t="str">
        <f>IF(COUNTIFS(KPI_Element_Map!$A$2:$A$287,$A25,KPI_Element_Map!$G$2:$G$287,AE$1)&gt;0,1,"")</f>
        <v/>
      </c>
      <c r="AF25" s="21" t="str">
        <f>IF(COUNTIFS(KPI_Element_Map!$A$2:$A$287,$A25,KPI_Element_Map!$G$2:$G$287,AF$1)&gt;0,1,"")</f>
        <v/>
      </c>
      <c r="AG25" s="21" t="str">
        <f>IF(COUNTIFS(KPI_Element_Map!$A$2:$A$287,$A25,KPI_Element_Map!$G$2:$G$287,AG$1)&gt;0,1,"")</f>
        <v/>
      </c>
      <c r="AH25" s="21" t="str">
        <f>IF(COUNTIFS(KPI_Element_Map!$A$2:$A$287,$A25,KPI_Element_Map!$G$2:$G$287,AH$1)&gt;0,1,"")</f>
        <v/>
      </c>
      <c r="AI25" s="21" t="str">
        <f>IF(COUNTIFS(KPI_Element_Map!$A$2:$A$287,$A25,KPI_Element_Map!$G$2:$G$287,AI$1)&gt;0,1,"")</f>
        <v/>
      </c>
      <c r="AJ25" s="21" t="str">
        <f>IF(COUNTIFS(KPI_Element_Map!$A$2:$A$287,$A25,KPI_Element_Map!$G$2:$G$287,AJ$1)&gt;0,1,"")</f>
        <v/>
      </c>
      <c r="AK25" s="21" t="str">
        <f>IF(COUNTIFS(KPI_Element_Map!$A$2:$A$287,$A25,KPI_Element_Map!$G$2:$G$287,AK$1)&gt;0,1,"")</f>
        <v/>
      </c>
    </row>
    <row r="26" spans="1:37">
      <c r="A26" s="21">
        <v>25</v>
      </c>
      <c r="B26" s="23" t="str">
        <f>INDEX(KPI_Master!$B:$B,MATCH($A26,KPI_Master!$A:$A,0))</f>
        <v>FINA-20</v>
      </c>
      <c r="C26" s="23" t="str">
        <f>INDEX(KPI_Master!$D:$D,MATCH($A26,KPI_Master!$A:$A,0))</f>
        <v>SNF Occupancy - 1-Star Benchmark</v>
      </c>
      <c r="D26" s="23" t="str">
        <f>INDEX(KPI_Master!$K:$K,MATCH($A26,KPI_Master!$A:$A,0))</f>
        <v>3 - Optional</v>
      </c>
      <c r="E26" s="23" t="str">
        <f t="array" ref="E26">_xlfn.TEXTJOIN(", ",TRUE(),IF(KPI_Element_Map!$A$2:$A$287=$A26,KPI_Element_Map!$E$2:$E$287,""))</f>
        <v>E02, E11</v>
      </c>
      <c r="F26" s="21">
        <f t="shared" si="0"/>
        <v>2</v>
      </c>
      <c r="G26" s="21">
        <f>IF(COUNTIFS(KPI_Element_Map!$A$2:$A$287,$A26,KPI_Element_Map!$G$2:$G$287,G$1)&gt;0,1,"")</f>
        <v>1</v>
      </c>
      <c r="H26" s="21">
        <f>IF(COUNTIFS(KPI_Element_Map!$A$2:$A$287,$A26,KPI_Element_Map!$G$2:$G$287,H$1)&gt;0,1,"")</f>
        <v>1</v>
      </c>
      <c r="I26" s="21" t="str">
        <f>IF(COUNTIFS(KPI_Element_Map!$A$2:$A$287,$A26,KPI_Element_Map!$G$2:$G$287,I$1)&gt;0,1,"")</f>
        <v/>
      </c>
      <c r="J26" s="21" t="str">
        <f>IF(COUNTIFS(KPI_Element_Map!$A$2:$A$287,$A26,KPI_Element_Map!$G$2:$G$287,J$1)&gt;0,1,"")</f>
        <v/>
      </c>
      <c r="K26" s="21" t="str">
        <f>IF(COUNTIFS(KPI_Element_Map!$A$2:$A$287,$A26,KPI_Element_Map!$G$2:$G$287,K$1)&gt;0,1,"")</f>
        <v/>
      </c>
      <c r="L26" s="21" t="str">
        <f>IF(COUNTIFS(KPI_Element_Map!$A$2:$A$287,$A26,KPI_Element_Map!$G$2:$G$287,L$1)&gt;0,1,"")</f>
        <v/>
      </c>
      <c r="M26" s="21" t="str">
        <f>IF(COUNTIFS(KPI_Element_Map!$A$2:$A$287,$A26,KPI_Element_Map!$G$2:$G$287,M$1)&gt;0,1,"")</f>
        <v/>
      </c>
      <c r="N26" s="21" t="str">
        <f>IF(COUNTIFS(KPI_Element_Map!$A$2:$A$287,$A26,KPI_Element_Map!$G$2:$G$287,N$1)&gt;0,1,"")</f>
        <v/>
      </c>
      <c r="O26" s="21" t="str">
        <f>IF(COUNTIFS(KPI_Element_Map!$A$2:$A$287,$A26,KPI_Element_Map!$G$2:$G$287,O$1)&gt;0,1,"")</f>
        <v/>
      </c>
      <c r="P26" s="21" t="str">
        <f>IF(COUNTIFS(KPI_Element_Map!$A$2:$A$287,$A26,KPI_Element_Map!$G$2:$G$287,P$1)&gt;0,1,"")</f>
        <v/>
      </c>
      <c r="Q26" s="21" t="str">
        <f>IF(COUNTIFS(KPI_Element_Map!$A$2:$A$287,$A26,KPI_Element_Map!$G$2:$G$287,Q$1)&gt;0,1,"")</f>
        <v/>
      </c>
      <c r="R26" s="21" t="str">
        <f>IF(COUNTIFS(KPI_Element_Map!$A$2:$A$287,$A26,KPI_Element_Map!$G$2:$G$287,R$1)&gt;0,1,"")</f>
        <v/>
      </c>
      <c r="S26" s="21" t="str">
        <f>IF(COUNTIFS(KPI_Element_Map!$A$2:$A$287,$A26,KPI_Element_Map!$G$2:$G$287,S$1)&gt;0,1,"")</f>
        <v/>
      </c>
      <c r="T26" s="21" t="str">
        <f>IF(COUNTIFS(KPI_Element_Map!$A$2:$A$287,$A26,KPI_Element_Map!$G$2:$G$287,T$1)&gt;0,1,"")</f>
        <v/>
      </c>
      <c r="U26" s="21" t="str">
        <f>IF(COUNTIFS(KPI_Element_Map!$A$2:$A$287,$A26,KPI_Element_Map!$G$2:$G$287,U$1)&gt;0,1,"")</f>
        <v/>
      </c>
      <c r="V26" s="21" t="str">
        <f>IF(COUNTIFS(KPI_Element_Map!$A$2:$A$287,$A26,KPI_Element_Map!$G$2:$G$287,V$1)&gt;0,1,"")</f>
        <v/>
      </c>
      <c r="W26" s="21" t="str">
        <f>IF(COUNTIFS(KPI_Element_Map!$A$2:$A$287,$A26,KPI_Element_Map!$G$2:$G$287,W$1)&gt;0,1,"")</f>
        <v/>
      </c>
      <c r="X26" s="21" t="str">
        <f>IF(COUNTIFS(KPI_Element_Map!$A$2:$A$287,$A26,KPI_Element_Map!$G$2:$G$287,X$1)&gt;0,1,"")</f>
        <v/>
      </c>
      <c r="Y26" s="21" t="str">
        <f>IF(COUNTIFS(KPI_Element_Map!$A$2:$A$287,$A26,KPI_Element_Map!$G$2:$G$287,Y$1)&gt;0,1,"")</f>
        <v/>
      </c>
      <c r="Z26" s="21" t="str">
        <f>IF(COUNTIFS(KPI_Element_Map!$A$2:$A$287,$A26,KPI_Element_Map!$G$2:$G$287,Z$1)&gt;0,1,"")</f>
        <v/>
      </c>
      <c r="AA26" s="21" t="str">
        <f>IF(COUNTIFS(KPI_Element_Map!$A$2:$A$287,$A26,KPI_Element_Map!$G$2:$G$287,AA$1)&gt;0,1,"")</f>
        <v/>
      </c>
      <c r="AB26" s="21" t="str">
        <f>IF(COUNTIFS(KPI_Element_Map!$A$2:$A$287,$A26,KPI_Element_Map!$G$2:$G$287,AB$1)&gt;0,1,"")</f>
        <v/>
      </c>
      <c r="AC26" s="21" t="str">
        <f>IF(COUNTIFS(KPI_Element_Map!$A$2:$A$287,$A26,KPI_Element_Map!$G$2:$G$287,AC$1)&gt;0,1,"")</f>
        <v/>
      </c>
      <c r="AD26" s="21" t="str">
        <f>IF(COUNTIFS(KPI_Element_Map!$A$2:$A$287,$A26,KPI_Element_Map!$G$2:$G$287,AD$1)&gt;0,1,"")</f>
        <v/>
      </c>
      <c r="AE26" s="21" t="str">
        <f>IF(COUNTIFS(KPI_Element_Map!$A$2:$A$287,$A26,KPI_Element_Map!$G$2:$G$287,AE$1)&gt;0,1,"")</f>
        <v/>
      </c>
      <c r="AF26" s="21" t="str">
        <f>IF(COUNTIFS(KPI_Element_Map!$A$2:$A$287,$A26,KPI_Element_Map!$G$2:$G$287,AF$1)&gt;0,1,"")</f>
        <v/>
      </c>
      <c r="AG26" s="21" t="str">
        <f>IF(COUNTIFS(KPI_Element_Map!$A$2:$A$287,$A26,KPI_Element_Map!$G$2:$G$287,AG$1)&gt;0,1,"")</f>
        <v/>
      </c>
      <c r="AH26" s="21" t="str">
        <f>IF(COUNTIFS(KPI_Element_Map!$A$2:$A$287,$A26,KPI_Element_Map!$G$2:$G$287,AH$1)&gt;0,1,"")</f>
        <v/>
      </c>
      <c r="AI26" s="21" t="str">
        <f>IF(COUNTIFS(KPI_Element_Map!$A$2:$A$287,$A26,KPI_Element_Map!$G$2:$G$287,AI$1)&gt;0,1,"")</f>
        <v/>
      </c>
      <c r="AJ26" s="21" t="str">
        <f>IF(COUNTIFS(KPI_Element_Map!$A$2:$A$287,$A26,KPI_Element_Map!$G$2:$G$287,AJ$1)&gt;0,1,"")</f>
        <v/>
      </c>
      <c r="AK26" s="21" t="str">
        <f>IF(COUNTIFS(KPI_Element_Map!$A$2:$A$287,$A26,KPI_Element_Map!$G$2:$G$287,AK$1)&gt;0,1,"")</f>
        <v/>
      </c>
    </row>
    <row r="27" spans="1:37">
      <c r="A27" s="21">
        <v>26</v>
      </c>
      <c r="B27" s="23" t="str">
        <f>INDEX(KPI_Master!$B:$B,MATCH($A27,KPI_Master!$A:$A,0))</f>
        <v>FINA-21</v>
      </c>
      <c r="C27" s="23" t="str">
        <f>INDEX(KPI_Master!$D:$D,MATCH($A27,KPI_Master!$A:$A,0))</f>
        <v>SNF Net Margin</v>
      </c>
      <c r="D27" s="23" t="str">
        <f>INDEX(KPI_Master!$K:$K,MATCH($A27,KPI_Master!$A:$A,0))</f>
        <v>2 - Standard</v>
      </c>
      <c r="E27" s="23" t="str">
        <f t="array" ref="E27">_xlfn.TEXTJOIN(", ",TRUE(),IF(KPI_Element_Map!$A$2:$A$287=$A27,KPI_Element_Map!$E$2:$E$287,""))</f>
        <v>E19, E15</v>
      </c>
      <c r="F27" s="21">
        <f t="shared" si="0"/>
        <v>1</v>
      </c>
      <c r="G27" s="21" t="str">
        <f>IF(COUNTIFS(KPI_Element_Map!$A$2:$A$287,$A27,KPI_Element_Map!$G$2:$G$287,G$1)&gt;0,1,"")</f>
        <v/>
      </c>
      <c r="H27" s="21" t="str">
        <f>IF(COUNTIFS(KPI_Element_Map!$A$2:$A$287,$A27,KPI_Element_Map!$G$2:$G$287,H$1)&gt;0,1,"")</f>
        <v/>
      </c>
      <c r="I27" s="21">
        <f>IF(COUNTIFS(KPI_Element_Map!$A$2:$A$287,$A27,KPI_Element_Map!$G$2:$G$287,I$1)&gt;0,1,"")</f>
        <v>1</v>
      </c>
      <c r="J27" s="21" t="str">
        <f>IF(COUNTIFS(KPI_Element_Map!$A$2:$A$287,$A27,KPI_Element_Map!$G$2:$G$287,J$1)&gt;0,1,"")</f>
        <v/>
      </c>
      <c r="K27" s="21" t="str">
        <f>IF(COUNTIFS(KPI_Element_Map!$A$2:$A$287,$A27,KPI_Element_Map!$G$2:$G$287,K$1)&gt;0,1,"")</f>
        <v/>
      </c>
      <c r="L27" s="21" t="str">
        <f>IF(COUNTIFS(KPI_Element_Map!$A$2:$A$287,$A27,KPI_Element_Map!$G$2:$G$287,L$1)&gt;0,1,"")</f>
        <v/>
      </c>
      <c r="M27" s="21" t="str">
        <f>IF(COUNTIFS(KPI_Element_Map!$A$2:$A$287,$A27,KPI_Element_Map!$G$2:$G$287,M$1)&gt;0,1,"")</f>
        <v/>
      </c>
      <c r="N27" s="21" t="str">
        <f>IF(COUNTIFS(KPI_Element_Map!$A$2:$A$287,$A27,KPI_Element_Map!$G$2:$G$287,N$1)&gt;0,1,"")</f>
        <v/>
      </c>
      <c r="O27" s="21" t="str">
        <f>IF(COUNTIFS(KPI_Element_Map!$A$2:$A$287,$A27,KPI_Element_Map!$G$2:$G$287,O$1)&gt;0,1,"")</f>
        <v/>
      </c>
      <c r="P27" s="21" t="str">
        <f>IF(COUNTIFS(KPI_Element_Map!$A$2:$A$287,$A27,KPI_Element_Map!$G$2:$G$287,P$1)&gt;0,1,"")</f>
        <v/>
      </c>
      <c r="Q27" s="21" t="str">
        <f>IF(COUNTIFS(KPI_Element_Map!$A$2:$A$287,$A27,KPI_Element_Map!$G$2:$G$287,Q$1)&gt;0,1,"")</f>
        <v/>
      </c>
      <c r="R27" s="21" t="str">
        <f>IF(COUNTIFS(KPI_Element_Map!$A$2:$A$287,$A27,KPI_Element_Map!$G$2:$G$287,R$1)&gt;0,1,"")</f>
        <v/>
      </c>
      <c r="S27" s="21" t="str">
        <f>IF(COUNTIFS(KPI_Element_Map!$A$2:$A$287,$A27,KPI_Element_Map!$G$2:$G$287,S$1)&gt;0,1,"")</f>
        <v/>
      </c>
      <c r="T27" s="21" t="str">
        <f>IF(COUNTIFS(KPI_Element_Map!$A$2:$A$287,$A27,KPI_Element_Map!$G$2:$G$287,T$1)&gt;0,1,"")</f>
        <v/>
      </c>
      <c r="U27" s="21" t="str">
        <f>IF(COUNTIFS(KPI_Element_Map!$A$2:$A$287,$A27,KPI_Element_Map!$G$2:$G$287,U$1)&gt;0,1,"")</f>
        <v/>
      </c>
      <c r="V27" s="21" t="str">
        <f>IF(COUNTIFS(KPI_Element_Map!$A$2:$A$287,$A27,KPI_Element_Map!$G$2:$G$287,V$1)&gt;0,1,"")</f>
        <v/>
      </c>
      <c r="W27" s="21" t="str">
        <f>IF(COUNTIFS(KPI_Element_Map!$A$2:$A$287,$A27,KPI_Element_Map!$G$2:$G$287,W$1)&gt;0,1,"")</f>
        <v/>
      </c>
      <c r="X27" s="21" t="str">
        <f>IF(COUNTIFS(KPI_Element_Map!$A$2:$A$287,$A27,KPI_Element_Map!$G$2:$G$287,X$1)&gt;0,1,"")</f>
        <v/>
      </c>
      <c r="Y27" s="21" t="str">
        <f>IF(COUNTIFS(KPI_Element_Map!$A$2:$A$287,$A27,KPI_Element_Map!$G$2:$G$287,Y$1)&gt;0,1,"")</f>
        <v/>
      </c>
      <c r="Z27" s="21" t="str">
        <f>IF(COUNTIFS(KPI_Element_Map!$A$2:$A$287,$A27,KPI_Element_Map!$G$2:$G$287,Z$1)&gt;0,1,"")</f>
        <v/>
      </c>
      <c r="AA27" s="21" t="str">
        <f>IF(COUNTIFS(KPI_Element_Map!$A$2:$A$287,$A27,KPI_Element_Map!$G$2:$G$287,AA$1)&gt;0,1,"")</f>
        <v/>
      </c>
      <c r="AB27" s="21" t="str">
        <f>IF(COUNTIFS(KPI_Element_Map!$A$2:$A$287,$A27,KPI_Element_Map!$G$2:$G$287,AB$1)&gt;0,1,"")</f>
        <v/>
      </c>
      <c r="AC27" s="21" t="str">
        <f>IF(COUNTIFS(KPI_Element_Map!$A$2:$A$287,$A27,KPI_Element_Map!$G$2:$G$287,AC$1)&gt;0,1,"")</f>
        <v/>
      </c>
      <c r="AD27" s="21" t="str">
        <f>IF(COUNTIFS(KPI_Element_Map!$A$2:$A$287,$A27,KPI_Element_Map!$G$2:$G$287,AD$1)&gt;0,1,"")</f>
        <v/>
      </c>
      <c r="AE27" s="21" t="str">
        <f>IF(COUNTIFS(KPI_Element_Map!$A$2:$A$287,$A27,KPI_Element_Map!$G$2:$G$287,AE$1)&gt;0,1,"")</f>
        <v/>
      </c>
      <c r="AF27" s="21" t="str">
        <f>IF(COUNTIFS(KPI_Element_Map!$A$2:$A$287,$A27,KPI_Element_Map!$G$2:$G$287,AF$1)&gt;0,1,"")</f>
        <v/>
      </c>
      <c r="AG27" s="21" t="str">
        <f>IF(COUNTIFS(KPI_Element_Map!$A$2:$A$287,$A27,KPI_Element_Map!$G$2:$G$287,AG$1)&gt;0,1,"")</f>
        <v/>
      </c>
      <c r="AH27" s="21" t="str">
        <f>IF(COUNTIFS(KPI_Element_Map!$A$2:$A$287,$A27,KPI_Element_Map!$G$2:$G$287,AH$1)&gt;0,1,"")</f>
        <v/>
      </c>
      <c r="AI27" s="21" t="str">
        <f>IF(COUNTIFS(KPI_Element_Map!$A$2:$A$287,$A27,KPI_Element_Map!$G$2:$G$287,AI$1)&gt;0,1,"")</f>
        <v/>
      </c>
      <c r="AJ27" s="21" t="str">
        <f>IF(COUNTIFS(KPI_Element_Map!$A$2:$A$287,$A27,KPI_Element_Map!$G$2:$G$287,AJ$1)&gt;0,1,"")</f>
        <v/>
      </c>
      <c r="AK27" s="21" t="str">
        <f>IF(COUNTIFS(KPI_Element_Map!$A$2:$A$287,$A27,KPI_Element_Map!$G$2:$G$287,AK$1)&gt;0,1,"")</f>
        <v/>
      </c>
    </row>
    <row r="28" spans="1:37">
      <c r="A28" s="21">
        <v>27</v>
      </c>
      <c r="B28" s="23" t="str">
        <f>INDEX(KPI_Master!$B:$B,MATCH($A28,KPI_Master!$A:$A,0))</f>
        <v>FINA-22</v>
      </c>
      <c r="C28" s="23" t="str">
        <f>INDEX(KPI_Master!$D:$D,MATCH($A28,KPI_Master!$A:$A,0))</f>
        <v>SNF Operating Margin - 5-Star Benchmark</v>
      </c>
      <c r="D28" s="23" t="str">
        <f>INDEX(KPI_Master!$K:$K,MATCH($A28,KPI_Master!$A:$A,0))</f>
        <v>3 - Optional</v>
      </c>
      <c r="E28" s="23" t="str">
        <f t="array" ref="E28">_xlfn.TEXTJOIN(", ",TRUE(),IF(KPI_Element_Map!$A$2:$A$287=$A28,KPI_Element_Map!$E$2:$E$287,""))</f>
        <v>E19, E15</v>
      </c>
      <c r="F28" s="21">
        <f t="shared" si="0"/>
        <v>1</v>
      </c>
      <c r="G28" s="21" t="str">
        <f>IF(COUNTIFS(KPI_Element_Map!$A$2:$A$287,$A28,KPI_Element_Map!$G$2:$G$287,G$1)&gt;0,1,"")</f>
        <v/>
      </c>
      <c r="H28" s="21" t="str">
        <f>IF(COUNTIFS(KPI_Element_Map!$A$2:$A$287,$A28,KPI_Element_Map!$G$2:$G$287,H$1)&gt;0,1,"")</f>
        <v/>
      </c>
      <c r="I28" s="21">
        <f>IF(COUNTIFS(KPI_Element_Map!$A$2:$A$287,$A28,KPI_Element_Map!$G$2:$G$287,I$1)&gt;0,1,"")</f>
        <v>1</v>
      </c>
      <c r="J28" s="21" t="str">
        <f>IF(COUNTIFS(KPI_Element_Map!$A$2:$A$287,$A28,KPI_Element_Map!$G$2:$G$287,J$1)&gt;0,1,"")</f>
        <v/>
      </c>
      <c r="K28" s="21" t="str">
        <f>IF(COUNTIFS(KPI_Element_Map!$A$2:$A$287,$A28,KPI_Element_Map!$G$2:$G$287,K$1)&gt;0,1,"")</f>
        <v/>
      </c>
      <c r="L28" s="21" t="str">
        <f>IF(COUNTIFS(KPI_Element_Map!$A$2:$A$287,$A28,KPI_Element_Map!$G$2:$G$287,L$1)&gt;0,1,"")</f>
        <v/>
      </c>
      <c r="M28" s="21" t="str">
        <f>IF(COUNTIFS(KPI_Element_Map!$A$2:$A$287,$A28,KPI_Element_Map!$G$2:$G$287,M$1)&gt;0,1,"")</f>
        <v/>
      </c>
      <c r="N28" s="21" t="str">
        <f>IF(COUNTIFS(KPI_Element_Map!$A$2:$A$287,$A28,KPI_Element_Map!$G$2:$G$287,N$1)&gt;0,1,"")</f>
        <v/>
      </c>
      <c r="O28" s="21" t="str">
        <f>IF(COUNTIFS(KPI_Element_Map!$A$2:$A$287,$A28,KPI_Element_Map!$G$2:$G$287,O$1)&gt;0,1,"")</f>
        <v/>
      </c>
      <c r="P28" s="21" t="str">
        <f>IF(COUNTIFS(KPI_Element_Map!$A$2:$A$287,$A28,KPI_Element_Map!$G$2:$G$287,P$1)&gt;0,1,"")</f>
        <v/>
      </c>
      <c r="Q28" s="21" t="str">
        <f>IF(COUNTIFS(KPI_Element_Map!$A$2:$A$287,$A28,KPI_Element_Map!$G$2:$G$287,Q$1)&gt;0,1,"")</f>
        <v/>
      </c>
      <c r="R28" s="21" t="str">
        <f>IF(COUNTIFS(KPI_Element_Map!$A$2:$A$287,$A28,KPI_Element_Map!$G$2:$G$287,R$1)&gt;0,1,"")</f>
        <v/>
      </c>
      <c r="S28" s="21" t="str">
        <f>IF(COUNTIFS(KPI_Element_Map!$A$2:$A$287,$A28,KPI_Element_Map!$G$2:$G$287,S$1)&gt;0,1,"")</f>
        <v/>
      </c>
      <c r="T28" s="21" t="str">
        <f>IF(COUNTIFS(KPI_Element_Map!$A$2:$A$287,$A28,KPI_Element_Map!$G$2:$G$287,T$1)&gt;0,1,"")</f>
        <v/>
      </c>
      <c r="U28" s="21" t="str">
        <f>IF(COUNTIFS(KPI_Element_Map!$A$2:$A$287,$A28,KPI_Element_Map!$G$2:$G$287,U$1)&gt;0,1,"")</f>
        <v/>
      </c>
      <c r="V28" s="21" t="str">
        <f>IF(COUNTIFS(KPI_Element_Map!$A$2:$A$287,$A28,KPI_Element_Map!$G$2:$G$287,V$1)&gt;0,1,"")</f>
        <v/>
      </c>
      <c r="W28" s="21" t="str">
        <f>IF(COUNTIFS(KPI_Element_Map!$A$2:$A$287,$A28,KPI_Element_Map!$G$2:$G$287,W$1)&gt;0,1,"")</f>
        <v/>
      </c>
      <c r="X28" s="21" t="str">
        <f>IF(COUNTIFS(KPI_Element_Map!$A$2:$A$287,$A28,KPI_Element_Map!$G$2:$G$287,X$1)&gt;0,1,"")</f>
        <v/>
      </c>
      <c r="Y28" s="21" t="str">
        <f>IF(COUNTIFS(KPI_Element_Map!$A$2:$A$287,$A28,KPI_Element_Map!$G$2:$G$287,Y$1)&gt;0,1,"")</f>
        <v/>
      </c>
      <c r="Z28" s="21" t="str">
        <f>IF(COUNTIFS(KPI_Element_Map!$A$2:$A$287,$A28,KPI_Element_Map!$G$2:$G$287,Z$1)&gt;0,1,"")</f>
        <v/>
      </c>
      <c r="AA28" s="21" t="str">
        <f>IF(COUNTIFS(KPI_Element_Map!$A$2:$A$287,$A28,KPI_Element_Map!$G$2:$G$287,AA$1)&gt;0,1,"")</f>
        <v/>
      </c>
      <c r="AB28" s="21" t="str">
        <f>IF(COUNTIFS(KPI_Element_Map!$A$2:$A$287,$A28,KPI_Element_Map!$G$2:$G$287,AB$1)&gt;0,1,"")</f>
        <v/>
      </c>
      <c r="AC28" s="21" t="str">
        <f>IF(COUNTIFS(KPI_Element_Map!$A$2:$A$287,$A28,KPI_Element_Map!$G$2:$G$287,AC$1)&gt;0,1,"")</f>
        <v/>
      </c>
      <c r="AD28" s="21" t="str">
        <f>IF(COUNTIFS(KPI_Element_Map!$A$2:$A$287,$A28,KPI_Element_Map!$G$2:$G$287,AD$1)&gt;0,1,"")</f>
        <v/>
      </c>
      <c r="AE28" s="21" t="str">
        <f>IF(COUNTIFS(KPI_Element_Map!$A$2:$A$287,$A28,KPI_Element_Map!$G$2:$G$287,AE$1)&gt;0,1,"")</f>
        <v/>
      </c>
      <c r="AF28" s="21" t="str">
        <f>IF(COUNTIFS(KPI_Element_Map!$A$2:$A$287,$A28,KPI_Element_Map!$G$2:$G$287,AF$1)&gt;0,1,"")</f>
        <v/>
      </c>
      <c r="AG28" s="21" t="str">
        <f>IF(COUNTIFS(KPI_Element_Map!$A$2:$A$287,$A28,KPI_Element_Map!$G$2:$G$287,AG$1)&gt;0,1,"")</f>
        <v/>
      </c>
      <c r="AH28" s="21" t="str">
        <f>IF(COUNTIFS(KPI_Element_Map!$A$2:$A$287,$A28,KPI_Element_Map!$G$2:$G$287,AH$1)&gt;0,1,"")</f>
        <v/>
      </c>
      <c r="AI28" s="21" t="str">
        <f>IF(COUNTIFS(KPI_Element_Map!$A$2:$A$287,$A28,KPI_Element_Map!$G$2:$G$287,AI$1)&gt;0,1,"")</f>
        <v/>
      </c>
      <c r="AJ28" s="21" t="str">
        <f>IF(COUNTIFS(KPI_Element_Map!$A$2:$A$287,$A28,KPI_Element_Map!$G$2:$G$287,AJ$1)&gt;0,1,"")</f>
        <v/>
      </c>
      <c r="AK28" s="21" t="str">
        <f>IF(COUNTIFS(KPI_Element_Map!$A$2:$A$287,$A28,KPI_Element_Map!$G$2:$G$287,AK$1)&gt;0,1,"")</f>
        <v/>
      </c>
    </row>
    <row r="29" spans="1:37">
      <c r="A29" s="21">
        <v>28</v>
      </c>
      <c r="B29" s="23" t="str">
        <f>INDEX(KPI_Master!$B:$B,MATCH($A29,KPI_Master!$A:$A,0))</f>
        <v>FINA-23</v>
      </c>
      <c r="C29" s="23" t="str">
        <f>INDEX(KPI_Master!$D:$D,MATCH($A29,KPI_Master!$A:$A,0))</f>
        <v>SNF Operating Margin - 1-Star Benchmark</v>
      </c>
      <c r="D29" s="23" t="str">
        <f>INDEX(KPI_Master!$K:$K,MATCH($A29,KPI_Master!$A:$A,0))</f>
        <v>3 - Optional</v>
      </c>
      <c r="E29" s="23" t="str">
        <f t="array" ref="E29">_xlfn.TEXTJOIN(", ",TRUE(),IF(KPI_Element_Map!$A$2:$A$287=$A29,KPI_Element_Map!$E$2:$E$287,""))</f>
        <v>E19, E15</v>
      </c>
      <c r="F29" s="21">
        <f t="shared" si="0"/>
        <v>1</v>
      </c>
      <c r="G29" s="21" t="str">
        <f>IF(COUNTIFS(KPI_Element_Map!$A$2:$A$287,$A29,KPI_Element_Map!$G$2:$G$287,G$1)&gt;0,1,"")</f>
        <v/>
      </c>
      <c r="H29" s="21" t="str">
        <f>IF(COUNTIFS(KPI_Element_Map!$A$2:$A$287,$A29,KPI_Element_Map!$G$2:$G$287,H$1)&gt;0,1,"")</f>
        <v/>
      </c>
      <c r="I29" s="21">
        <f>IF(COUNTIFS(KPI_Element_Map!$A$2:$A$287,$A29,KPI_Element_Map!$G$2:$G$287,I$1)&gt;0,1,"")</f>
        <v>1</v>
      </c>
      <c r="J29" s="21" t="str">
        <f>IF(COUNTIFS(KPI_Element_Map!$A$2:$A$287,$A29,KPI_Element_Map!$G$2:$G$287,J$1)&gt;0,1,"")</f>
        <v/>
      </c>
      <c r="K29" s="21" t="str">
        <f>IF(COUNTIFS(KPI_Element_Map!$A$2:$A$287,$A29,KPI_Element_Map!$G$2:$G$287,K$1)&gt;0,1,"")</f>
        <v/>
      </c>
      <c r="L29" s="21" t="str">
        <f>IF(COUNTIFS(KPI_Element_Map!$A$2:$A$287,$A29,KPI_Element_Map!$G$2:$G$287,L$1)&gt;0,1,"")</f>
        <v/>
      </c>
      <c r="M29" s="21" t="str">
        <f>IF(COUNTIFS(KPI_Element_Map!$A$2:$A$287,$A29,KPI_Element_Map!$G$2:$G$287,M$1)&gt;0,1,"")</f>
        <v/>
      </c>
      <c r="N29" s="21" t="str">
        <f>IF(COUNTIFS(KPI_Element_Map!$A$2:$A$287,$A29,KPI_Element_Map!$G$2:$G$287,N$1)&gt;0,1,"")</f>
        <v/>
      </c>
      <c r="O29" s="21" t="str">
        <f>IF(COUNTIFS(KPI_Element_Map!$A$2:$A$287,$A29,KPI_Element_Map!$G$2:$G$287,O$1)&gt;0,1,"")</f>
        <v/>
      </c>
      <c r="P29" s="21" t="str">
        <f>IF(COUNTIFS(KPI_Element_Map!$A$2:$A$287,$A29,KPI_Element_Map!$G$2:$G$287,P$1)&gt;0,1,"")</f>
        <v/>
      </c>
      <c r="Q29" s="21" t="str">
        <f>IF(COUNTIFS(KPI_Element_Map!$A$2:$A$287,$A29,KPI_Element_Map!$G$2:$G$287,Q$1)&gt;0,1,"")</f>
        <v/>
      </c>
      <c r="R29" s="21" t="str">
        <f>IF(COUNTIFS(KPI_Element_Map!$A$2:$A$287,$A29,KPI_Element_Map!$G$2:$G$287,R$1)&gt;0,1,"")</f>
        <v/>
      </c>
      <c r="S29" s="21" t="str">
        <f>IF(COUNTIFS(KPI_Element_Map!$A$2:$A$287,$A29,KPI_Element_Map!$G$2:$G$287,S$1)&gt;0,1,"")</f>
        <v/>
      </c>
      <c r="T29" s="21" t="str">
        <f>IF(COUNTIFS(KPI_Element_Map!$A$2:$A$287,$A29,KPI_Element_Map!$G$2:$G$287,T$1)&gt;0,1,"")</f>
        <v/>
      </c>
      <c r="U29" s="21" t="str">
        <f>IF(COUNTIFS(KPI_Element_Map!$A$2:$A$287,$A29,KPI_Element_Map!$G$2:$G$287,U$1)&gt;0,1,"")</f>
        <v/>
      </c>
      <c r="V29" s="21" t="str">
        <f>IF(COUNTIFS(KPI_Element_Map!$A$2:$A$287,$A29,KPI_Element_Map!$G$2:$G$287,V$1)&gt;0,1,"")</f>
        <v/>
      </c>
      <c r="W29" s="21" t="str">
        <f>IF(COUNTIFS(KPI_Element_Map!$A$2:$A$287,$A29,KPI_Element_Map!$G$2:$G$287,W$1)&gt;0,1,"")</f>
        <v/>
      </c>
      <c r="X29" s="21" t="str">
        <f>IF(COUNTIFS(KPI_Element_Map!$A$2:$A$287,$A29,KPI_Element_Map!$G$2:$G$287,X$1)&gt;0,1,"")</f>
        <v/>
      </c>
      <c r="Y29" s="21" t="str">
        <f>IF(COUNTIFS(KPI_Element_Map!$A$2:$A$287,$A29,KPI_Element_Map!$G$2:$G$287,Y$1)&gt;0,1,"")</f>
        <v/>
      </c>
      <c r="Z29" s="21" t="str">
        <f>IF(COUNTIFS(KPI_Element_Map!$A$2:$A$287,$A29,KPI_Element_Map!$G$2:$G$287,Z$1)&gt;0,1,"")</f>
        <v/>
      </c>
      <c r="AA29" s="21" t="str">
        <f>IF(COUNTIFS(KPI_Element_Map!$A$2:$A$287,$A29,KPI_Element_Map!$G$2:$G$287,AA$1)&gt;0,1,"")</f>
        <v/>
      </c>
      <c r="AB29" s="21" t="str">
        <f>IF(COUNTIFS(KPI_Element_Map!$A$2:$A$287,$A29,KPI_Element_Map!$G$2:$G$287,AB$1)&gt;0,1,"")</f>
        <v/>
      </c>
      <c r="AC29" s="21" t="str">
        <f>IF(COUNTIFS(KPI_Element_Map!$A$2:$A$287,$A29,KPI_Element_Map!$G$2:$G$287,AC$1)&gt;0,1,"")</f>
        <v/>
      </c>
      <c r="AD29" s="21" t="str">
        <f>IF(COUNTIFS(KPI_Element_Map!$A$2:$A$287,$A29,KPI_Element_Map!$G$2:$G$287,AD$1)&gt;0,1,"")</f>
        <v/>
      </c>
      <c r="AE29" s="21" t="str">
        <f>IF(COUNTIFS(KPI_Element_Map!$A$2:$A$287,$A29,KPI_Element_Map!$G$2:$G$287,AE$1)&gt;0,1,"")</f>
        <v/>
      </c>
      <c r="AF29" s="21" t="str">
        <f>IF(COUNTIFS(KPI_Element_Map!$A$2:$A$287,$A29,KPI_Element_Map!$G$2:$G$287,AF$1)&gt;0,1,"")</f>
        <v/>
      </c>
      <c r="AG29" s="21" t="str">
        <f>IF(COUNTIFS(KPI_Element_Map!$A$2:$A$287,$A29,KPI_Element_Map!$G$2:$G$287,AG$1)&gt;0,1,"")</f>
        <v/>
      </c>
      <c r="AH29" s="21" t="str">
        <f>IF(COUNTIFS(KPI_Element_Map!$A$2:$A$287,$A29,KPI_Element_Map!$G$2:$G$287,AH$1)&gt;0,1,"")</f>
        <v/>
      </c>
      <c r="AI29" s="21" t="str">
        <f>IF(COUNTIFS(KPI_Element_Map!$A$2:$A$287,$A29,KPI_Element_Map!$G$2:$G$287,AI$1)&gt;0,1,"")</f>
        <v/>
      </c>
      <c r="AJ29" s="21" t="str">
        <f>IF(COUNTIFS(KPI_Element_Map!$A$2:$A$287,$A29,KPI_Element_Map!$G$2:$G$287,AJ$1)&gt;0,1,"")</f>
        <v/>
      </c>
      <c r="AK29" s="21" t="str">
        <f>IF(COUNTIFS(KPI_Element_Map!$A$2:$A$287,$A29,KPI_Element_Map!$G$2:$G$287,AK$1)&gt;0,1,"")</f>
        <v/>
      </c>
    </row>
    <row r="30" spans="1:37">
      <c r="A30" s="21">
        <v>29</v>
      </c>
      <c r="B30" s="23" t="str">
        <f>INDEX(KPI_Master!$B:$B,MATCH($A30,KPI_Master!$A:$A,0))</f>
        <v>FINA-24</v>
      </c>
      <c r="C30" s="23" t="str">
        <f>INDEX(KPI_Master!$D:$D,MATCH($A30,KPI_Master!$A:$A,0))</f>
        <v>EBITDAR Margin (IL)</v>
      </c>
      <c r="D30" s="23" t="str">
        <f>INDEX(KPI_Master!$K:$K,MATCH($A30,KPI_Master!$A:$A,0))</f>
        <v>2 - Standard</v>
      </c>
      <c r="E30" s="23" t="str">
        <f t="array" ref="E30">_xlfn.TEXTJOIN(", ",TRUE(),IF(KPI_Element_Map!$A$2:$A$287=$A30,KPI_Element_Map!$E$2:$E$287,""))</f>
        <v>E19, E18, E15</v>
      </c>
      <c r="F30" s="21">
        <f t="shared" si="0"/>
        <v>1</v>
      </c>
      <c r="G30" s="21" t="str">
        <f>IF(COUNTIFS(KPI_Element_Map!$A$2:$A$287,$A30,KPI_Element_Map!$G$2:$G$287,G$1)&gt;0,1,"")</f>
        <v/>
      </c>
      <c r="H30" s="21" t="str">
        <f>IF(COUNTIFS(KPI_Element_Map!$A$2:$A$287,$A30,KPI_Element_Map!$G$2:$G$287,H$1)&gt;0,1,"")</f>
        <v/>
      </c>
      <c r="I30" s="21">
        <f>IF(COUNTIFS(KPI_Element_Map!$A$2:$A$287,$A30,KPI_Element_Map!$G$2:$G$287,I$1)&gt;0,1,"")</f>
        <v>1</v>
      </c>
      <c r="J30" s="21" t="str">
        <f>IF(COUNTIFS(KPI_Element_Map!$A$2:$A$287,$A30,KPI_Element_Map!$G$2:$G$287,J$1)&gt;0,1,"")</f>
        <v/>
      </c>
      <c r="K30" s="21" t="str">
        <f>IF(COUNTIFS(KPI_Element_Map!$A$2:$A$287,$A30,KPI_Element_Map!$G$2:$G$287,K$1)&gt;0,1,"")</f>
        <v/>
      </c>
      <c r="L30" s="21" t="str">
        <f>IF(COUNTIFS(KPI_Element_Map!$A$2:$A$287,$A30,KPI_Element_Map!$G$2:$G$287,L$1)&gt;0,1,"")</f>
        <v/>
      </c>
      <c r="M30" s="21" t="str">
        <f>IF(COUNTIFS(KPI_Element_Map!$A$2:$A$287,$A30,KPI_Element_Map!$G$2:$G$287,M$1)&gt;0,1,"")</f>
        <v/>
      </c>
      <c r="N30" s="21" t="str">
        <f>IF(COUNTIFS(KPI_Element_Map!$A$2:$A$287,$A30,KPI_Element_Map!$G$2:$G$287,N$1)&gt;0,1,"")</f>
        <v/>
      </c>
      <c r="O30" s="21" t="str">
        <f>IF(COUNTIFS(KPI_Element_Map!$A$2:$A$287,$A30,KPI_Element_Map!$G$2:$G$287,O$1)&gt;0,1,"")</f>
        <v/>
      </c>
      <c r="P30" s="21" t="str">
        <f>IF(COUNTIFS(KPI_Element_Map!$A$2:$A$287,$A30,KPI_Element_Map!$G$2:$G$287,P$1)&gt;0,1,"")</f>
        <v/>
      </c>
      <c r="Q30" s="21" t="str">
        <f>IF(COUNTIFS(KPI_Element_Map!$A$2:$A$287,$A30,KPI_Element_Map!$G$2:$G$287,Q$1)&gt;0,1,"")</f>
        <v/>
      </c>
      <c r="R30" s="21" t="str">
        <f>IF(COUNTIFS(KPI_Element_Map!$A$2:$A$287,$A30,KPI_Element_Map!$G$2:$G$287,R$1)&gt;0,1,"")</f>
        <v/>
      </c>
      <c r="S30" s="21" t="str">
        <f>IF(COUNTIFS(KPI_Element_Map!$A$2:$A$287,$A30,KPI_Element_Map!$G$2:$G$287,S$1)&gt;0,1,"")</f>
        <v/>
      </c>
      <c r="T30" s="21" t="str">
        <f>IF(COUNTIFS(KPI_Element_Map!$A$2:$A$287,$A30,KPI_Element_Map!$G$2:$G$287,T$1)&gt;0,1,"")</f>
        <v/>
      </c>
      <c r="U30" s="21" t="str">
        <f>IF(COUNTIFS(KPI_Element_Map!$A$2:$A$287,$A30,KPI_Element_Map!$G$2:$G$287,U$1)&gt;0,1,"")</f>
        <v/>
      </c>
      <c r="V30" s="21" t="str">
        <f>IF(COUNTIFS(KPI_Element_Map!$A$2:$A$287,$A30,KPI_Element_Map!$G$2:$G$287,V$1)&gt;0,1,"")</f>
        <v/>
      </c>
      <c r="W30" s="21" t="str">
        <f>IF(COUNTIFS(KPI_Element_Map!$A$2:$A$287,$A30,KPI_Element_Map!$G$2:$G$287,W$1)&gt;0,1,"")</f>
        <v/>
      </c>
      <c r="X30" s="21" t="str">
        <f>IF(COUNTIFS(KPI_Element_Map!$A$2:$A$287,$A30,KPI_Element_Map!$G$2:$G$287,X$1)&gt;0,1,"")</f>
        <v/>
      </c>
      <c r="Y30" s="21" t="str">
        <f>IF(COUNTIFS(KPI_Element_Map!$A$2:$A$287,$A30,KPI_Element_Map!$G$2:$G$287,Y$1)&gt;0,1,"")</f>
        <v/>
      </c>
      <c r="Z30" s="21" t="str">
        <f>IF(COUNTIFS(KPI_Element_Map!$A$2:$A$287,$A30,KPI_Element_Map!$G$2:$G$287,Z$1)&gt;0,1,"")</f>
        <v/>
      </c>
      <c r="AA30" s="21" t="str">
        <f>IF(COUNTIFS(KPI_Element_Map!$A$2:$A$287,$A30,KPI_Element_Map!$G$2:$G$287,AA$1)&gt;0,1,"")</f>
        <v/>
      </c>
      <c r="AB30" s="21" t="str">
        <f>IF(COUNTIFS(KPI_Element_Map!$A$2:$A$287,$A30,KPI_Element_Map!$G$2:$G$287,AB$1)&gt;0,1,"")</f>
        <v/>
      </c>
      <c r="AC30" s="21" t="str">
        <f>IF(COUNTIFS(KPI_Element_Map!$A$2:$A$287,$A30,KPI_Element_Map!$G$2:$G$287,AC$1)&gt;0,1,"")</f>
        <v/>
      </c>
      <c r="AD30" s="21" t="str">
        <f>IF(COUNTIFS(KPI_Element_Map!$A$2:$A$287,$A30,KPI_Element_Map!$G$2:$G$287,AD$1)&gt;0,1,"")</f>
        <v/>
      </c>
      <c r="AE30" s="21" t="str">
        <f>IF(COUNTIFS(KPI_Element_Map!$A$2:$A$287,$A30,KPI_Element_Map!$G$2:$G$287,AE$1)&gt;0,1,"")</f>
        <v/>
      </c>
      <c r="AF30" s="21" t="str">
        <f>IF(COUNTIFS(KPI_Element_Map!$A$2:$A$287,$A30,KPI_Element_Map!$G$2:$G$287,AF$1)&gt;0,1,"")</f>
        <v/>
      </c>
      <c r="AG30" s="21" t="str">
        <f>IF(COUNTIFS(KPI_Element_Map!$A$2:$A$287,$A30,KPI_Element_Map!$G$2:$G$287,AG$1)&gt;0,1,"")</f>
        <v/>
      </c>
      <c r="AH30" s="21" t="str">
        <f>IF(COUNTIFS(KPI_Element_Map!$A$2:$A$287,$A30,KPI_Element_Map!$G$2:$G$287,AH$1)&gt;0,1,"")</f>
        <v/>
      </c>
      <c r="AI30" s="21" t="str">
        <f>IF(COUNTIFS(KPI_Element_Map!$A$2:$A$287,$A30,KPI_Element_Map!$G$2:$G$287,AI$1)&gt;0,1,"")</f>
        <v/>
      </c>
      <c r="AJ30" s="21" t="str">
        <f>IF(COUNTIFS(KPI_Element_Map!$A$2:$A$287,$A30,KPI_Element_Map!$G$2:$G$287,AJ$1)&gt;0,1,"")</f>
        <v/>
      </c>
      <c r="AK30" s="21" t="str">
        <f>IF(COUNTIFS(KPI_Element_Map!$A$2:$A$287,$A30,KPI_Element_Map!$G$2:$G$287,AK$1)&gt;0,1,"")</f>
        <v/>
      </c>
    </row>
    <row r="31" spans="1:37">
      <c r="A31" s="21">
        <v>30</v>
      </c>
      <c r="B31" s="23" t="str">
        <f>INDEX(KPI_Master!$B:$B,MATCH($A31,KPI_Master!$A:$A,0))</f>
        <v>FINA-25</v>
      </c>
      <c r="C31" s="23" t="str">
        <f>INDEX(KPI_Master!$D:$D,MATCH($A31,KPI_Master!$A:$A,0))</f>
        <v>Days in Accounts Payable (DPO)</v>
      </c>
      <c r="D31" s="23" t="str">
        <f>INDEX(KPI_Master!$K:$K,MATCH($A31,KPI_Master!$A:$A,0))</f>
        <v>2 - Standard</v>
      </c>
      <c r="E31" s="23" t="str">
        <f t="array" ref="E31">_xlfn.TEXTJOIN(", ",TRUE(),IF(KPI_Element_Map!$A$2:$A$287=$A31,KPI_Element_Map!$E$2:$E$287,""))</f>
        <v>E21, E16, E18</v>
      </c>
      <c r="F31" s="21">
        <f t="shared" si="0"/>
        <v>1</v>
      </c>
      <c r="G31" s="21" t="str">
        <f>IF(COUNTIFS(KPI_Element_Map!$A$2:$A$287,$A31,KPI_Element_Map!$G$2:$G$287,G$1)&gt;0,1,"")</f>
        <v/>
      </c>
      <c r="H31" s="21" t="str">
        <f>IF(COUNTIFS(KPI_Element_Map!$A$2:$A$287,$A31,KPI_Element_Map!$G$2:$G$287,H$1)&gt;0,1,"")</f>
        <v/>
      </c>
      <c r="I31" s="21">
        <f>IF(COUNTIFS(KPI_Element_Map!$A$2:$A$287,$A31,KPI_Element_Map!$G$2:$G$287,I$1)&gt;0,1,"")</f>
        <v>1</v>
      </c>
      <c r="J31" s="21" t="str">
        <f>IF(COUNTIFS(KPI_Element_Map!$A$2:$A$287,$A31,KPI_Element_Map!$G$2:$G$287,J$1)&gt;0,1,"")</f>
        <v/>
      </c>
      <c r="K31" s="21" t="str">
        <f>IF(COUNTIFS(KPI_Element_Map!$A$2:$A$287,$A31,KPI_Element_Map!$G$2:$G$287,K$1)&gt;0,1,"")</f>
        <v/>
      </c>
      <c r="L31" s="21" t="str">
        <f>IF(COUNTIFS(KPI_Element_Map!$A$2:$A$287,$A31,KPI_Element_Map!$G$2:$G$287,L$1)&gt;0,1,"")</f>
        <v/>
      </c>
      <c r="M31" s="21" t="str">
        <f>IF(COUNTIFS(KPI_Element_Map!$A$2:$A$287,$A31,KPI_Element_Map!$G$2:$G$287,M$1)&gt;0,1,"")</f>
        <v/>
      </c>
      <c r="N31" s="21" t="str">
        <f>IF(COUNTIFS(KPI_Element_Map!$A$2:$A$287,$A31,KPI_Element_Map!$G$2:$G$287,N$1)&gt;0,1,"")</f>
        <v/>
      </c>
      <c r="O31" s="21" t="str">
        <f>IF(COUNTIFS(KPI_Element_Map!$A$2:$A$287,$A31,KPI_Element_Map!$G$2:$G$287,O$1)&gt;0,1,"")</f>
        <v/>
      </c>
      <c r="P31" s="21" t="str">
        <f>IF(COUNTIFS(KPI_Element_Map!$A$2:$A$287,$A31,KPI_Element_Map!$G$2:$G$287,P$1)&gt;0,1,"")</f>
        <v/>
      </c>
      <c r="Q31" s="21" t="str">
        <f>IF(COUNTIFS(KPI_Element_Map!$A$2:$A$287,$A31,KPI_Element_Map!$G$2:$G$287,Q$1)&gt;0,1,"")</f>
        <v/>
      </c>
      <c r="R31" s="21" t="str">
        <f>IF(COUNTIFS(KPI_Element_Map!$A$2:$A$287,$A31,KPI_Element_Map!$G$2:$G$287,R$1)&gt;0,1,"")</f>
        <v/>
      </c>
      <c r="S31" s="21" t="str">
        <f>IF(COUNTIFS(KPI_Element_Map!$A$2:$A$287,$A31,KPI_Element_Map!$G$2:$G$287,S$1)&gt;0,1,"")</f>
        <v/>
      </c>
      <c r="T31" s="21" t="str">
        <f>IF(COUNTIFS(KPI_Element_Map!$A$2:$A$287,$A31,KPI_Element_Map!$G$2:$G$287,T$1)&gt;0,1,"")</f>
        <v/>
      </c>
      <c r="U31" s="21" t="str">
        <f>IF(COUNTIFS(KPI_Element_Map!$A$2:$A$287,$A31,KPI_Element_Map!$G$2:$G$287,U$1)&gt;0,1,"")</f>
        <v/>
      </c>
      <c r="V31" s="21" t="str">
        <f>IF(COUNTIFS(KPI_Element_Map!$A$2:$A$287,$A31,KPI_Element_Map!$G$2:$G$287,V$1)&gt;0,1,"")</f>
        <v/>
      </c>
      <c r="W31" s="21" t="str">
        <f>IF(COUNTIFS(KPI_Element_Map!$A$2:$A$287,$A31,KPI_Element_Map!$G$2:$G$287,W$1)&gt;0,1,"")</f>
        <v/>
      </c>
      <c r="X31" s="21" t="str">
        <f>IF(COUNTIFS(KPI_Element_Map!$A$2:$A$287,$A31,KPI_Element_Map!$G$2:$G$287,X$1)&gt;0,1,"")</f>
        <v/>
      </c>
      <c r="Y31" s="21" t="str">
        <f>IF(COUNTIFS(KPI_Element_Map!$A$2:$A$287,$A31,KPI_Element_Map!$G$2:$G$287,Y$1)&gt;0,1,"")</f>
        <v/>
      </c>
      <c r="Z31" s="21" t="str">
        <f>IF(COUNTIFS(KPI_Element_Map!$A$2:$A$287,$A31,KPI_Element_Map!$G$2:$G$287,Z$1)&gt;0,1,"")</f>
        <v/>
      </c>
      <c r="AA31" s="21" t="str">
        <f>IF(COUNTIFS(KPI_Element_Map!$A$2:$A$287,$A31,KPI_Element_Map!$G$2:$G$287,AA$1)&gt;0,1,"")</f>
        <v/>
      </c>
      <c r="AB31" s="21" t="str">
        <f>IF(COUNTIFS(KPI_Element_Map!$A$2:$A$287,$A31,KPI_Element_Map!$G$2:$G$287,AB$1)&gt;0,1,"")</f>
        <v/>
      </c>
      <c r="AC31" s="21" t="str">
        <f>IF(COUNTIFS(KPI_Element_Map!$A$2:$A$287,$A31,KPI_Element_Map!$G$2:$G$287,AC$1)&gt;0,1,"")</f>
        <v/>
      </c>
      <c r="AD31" s="21" t="str">
        <f>IF(COUNTIFS(KPI_Element_Map!$A$2:$A$287,$A31,KPI_Element_Map!$G$2:$G$287,AD$1)&gt;0,1,"")</f>
        <v/>
      </c>
      <c r="AE31" s="21" t="str">
        <f>IF(COUNTIFS(KPI_Element_Map!$A$2:$A$287,$A31,KPI_Element_Map!$G$2:$G$287,AE$1)&gt;0,1,"")</f>
        <v/>
      </c>
      <c r="AF31" s="21" t="str">
        <f>IF(COUNTIFS(KPI_Element_Map!$A$2:$A$287,$A31,KPI_Element_Map!$G$2:$G$287,AF$1)&gt;0,1,"")</f>
        <v/>
      </c>
      <c r="AG31" s="21" t="str">
        <f>IF(COUNTIFS(KPI_Element_Map!$A$2:$A$287,$A31,KPI_Element_Map!$G$2:$G$287,AG$1)&gt;0,1,"")</f>
        <v/>
      </c>
      <c r="AH31" s="21" t="str">
        <f>IF(COUNTIFS(KPI_Element_Map!$A$2:$A$287,$A31,KPI_Element_Map!$G$2:$G$287,AH$1)&gt;0,1,"")</f>
        <v/>
      </c>
      <c r="AI31" s="21" t="str">
        <f>IF(COUNTIFS(KPI_Element_Map!$A$2:$A$287,$A31,KPI_Element_Map!$G$2:$G$287,AI$1)&gt;0,1,"")</f>
        <v/>
      </c>
      <c r="AJ31" s="21" t="str">
        <f>IF(COUNTIFS(KPI_Element_Map!$A$2:$A$287,$A31,KPI_Element_Map!$G$2:$G$287,AJ$1)&gt;0,1,"")</f>
        <v/>
      </c>
      <c r="AK31" s="21" t="str">
        <f>IF(COUNTIFS(KPI_Element_Map!$A$2:$A$287,$A31,KPI_Element_Map!$G$2:$G$287,AK$1)&gt;0,1,"")</f>
        <v/>
      </c>
    </row>
    <row r="32" spans="1:37">
      <c r="A32" s="21">
        <v>31</v>
      </c>
      <c r="B32" s="23" t="str">
        <f>INDEX(KPI_Master!$B:$B,MATCH($A32,KPI_Master!$A:$A,0))</f>
        <v>FINA-26</v>
      </c>
      <c r="C32" s="23" t="str">
        <f>INDEX(KPI_Master!$D:$D,MATCH($A32,KPI_Master!$A:$A,0))</f>
        <v>Capital Expenditure as % of Depreciation</v>
      </c>
      <c r="D32" s="23" t="str">
        <f>INDEX(KPI_Master!$K:$K,MATCH($A32,KPI_Master!$A:$A,0))</f>
        <v>2 - Standard</v>
      </c>
      <c r="E32" s="23" t="str">
        <f t="array" ref="E32">_xlfn.TEXTJOIN(", ",TRUE(),IF(KPI_Element_Map!$A$2:$A$287=$A32,KPI_Element_Map!$E$2:$E$287,""))</f>
        <v>E22, E18</v>
      </c>
      <c r="F32" s="21">
        <f t="shared" si="0"/>
        <v>1</v>
      </c>
      <c r="G32" s="21" t="str">
        <f>IF(COUNTIFS(KPI_Element_Map!$A$2:$A$287,$A32,KPI_Element_Map!$G$2:$G$287,G$1)&gt;0,1,"")</f>
        <v/>
      </c>
      <c r="H32" s="21" t="str">
        <f>IF(COUNTIFS(KPI_Element_Map!$A$2:$A$287,$A32,KPI_Element_Map!$G$2:$G$287,H$1)&gt;0,1,"")</f>
        <v/>
      </c>
      <c r="I32" s="21">
        <f>IF(COUNTIFS(KPI_Element_Map!$A$2:$A$287,$A32,KPI_Element_Map!$G$2:$G$287,I$1)&gt;0,1,"")</f>
        <v>1</v>
      </c>
      <c r="J32" s="21" t="str">
        <f>IF(COUNTIFS(KPI_Element_Map!$A$2:$A$287,$A32,KPI_Element_Map!$G$2:$G$287,J$1)&gt;0,1,"")</f>
        <v/>
      </c>
      <c r="K32" s="21" t="str">
        <f>IF(COUNTIFS(KPI_Element_Map!$A$2:$A$287,$A32,KPI_Element_Map!$G$2:$G$287,K$1)&gt;0,1,"")</f>
        <v/>
      </c>
      <c r="L32" s="21" t="str">
        <f>IF(COUNTIFS(KPI_Element_Map!$A$2:$A$287,$A32,KPI_Element_Map!$G$2:$G$287,L$1)&gt;0,1,"")</f>
        <v/>
      </c>
      <c r="M32" s="21" t="str">
        <f>IF(COUNTIFS(KPI_Element_Map!$A$2:$A$287,$A32,KPI_Element_Map!$G$2:$G$287,M$1)&gt;0,1,"")</f>
        <v/>
      </c>
      <c r="N32" s="21" t="str">
        <f>IF(COUNTIFS(KPI_Element_Map!$A$2:$A$287,$A32,KPI_Element_Map!$G$2:$G$287,N$1)&gt;0,1,"")</f>
        <v/>
      </c>
      <c r="O32" s="21" t="str">
        <f>IF(COUNTIFS(KPI_Element_Map!$A$2:$A$287,$A32,KPI_Element_Map!$G$2:$G$287,O$1)&gt;0,1,"")</f>
        <v/>
      </c>
      <c r="P32" s="21" t="str">
        <f>IF(COUNTIFS(KPI_Element_Map!$A$2:$A$287,$A32,KPI_Element_Map!$G$2:$G$287,P$1)&gt;0,1,"")</f>
        <v/>
      </c>
      <c r="Q32" s="21" t="str">
        <f>IF(COUNTIFS(KPI_Element_Map!$A$2:$A$287,$A32,KPI_Element_Map!$G$2:$G$287,Q$1)&gt;0,1,"")</f>
        <v/>
      </c>
      <c r="R32" s="21" t="str">
        <f>IF(COUNTIFS(KPI_Element_Map!$A$2:$A$287,$A32,KPI_Element_Map!$G$2:$G$287,R$1)&gt;0,1,"")</f>
        <v/>
      </c>
      <c r="S32" s="21" t="str">
        <f>IF(COUNTIFS(KPI_Element_Map!$A$2:$A$287,$A32,KPI_Element_Map!$G$2:$G$287,S$1)&gt;0,1,"")</f>
        <v/>
      </c>
      <c r="T32" s="21" t="str">
        <f>IF(COUNTIFS(KPI_Element_Map!$A$2:$A$287,$A32,KPI_Element_Map!$G$2:$G$287,T$1)&gt;0,1,"")</f>
        <v/>
      </c>
      <c r="U32" s="21" t="str">
        <f>IF(COUNTIFS(KPI_Element_Map!$A$2:$A$287,$A32,KPI_Element_Map!$G$2:$G$287,U$1)&gt;0,1,"")</f>
        <v/>
      </c>
      <c r="V32" s="21" t="str">
        <f>IF(COUNTIFS(KPI_Element_Map!$A$2:$A$287,$A32,KPI_Element_Map!$G$2:$G$287,V$1)&gt;0,1,"")</f>
        <v/>
      </c>
      <c r="W32" s="21" t="str">
        <f>IF(COUNTIFS(KPI_Element_Map!$A$2:$A$287,$A32,KPI_Element_Map!$G$2:$G$287,W$1)&gt;0,1,"")</f>
        <v/>
      </c>
      <c r="X32" s="21" t="str">
        <f>IF(COUNTIFS(KPI_Element_Map!$A$2:$A$287,$A32,KPI_Element_Map!$G$2:$G$287,X$1)&gt;0,1,"")</f>
        <v/>
      </c>
      <c r="Y32" s="21" t="str">
        <f>IF(COUNTIFS(KPI_Element_Map!$A$2:$A$287,$A32,KPI_Element_Map!$G$2:$G$287,Y$1)&gt;0,1,"")</f>
        <v/>
      </c>
      <c r="Z32" s="21" t="str">
        <f>IF(COUNTIFS(KPI_Element_Map!$A$2:$A$287,$A32,KPI_Element_Map!$G$2:$G$287,Z$1)&gt;0,1,"")</f>
        <v/>
      </c>
      <c r="AA32" s="21" t="str">
        <f>IF(COUNTIFS(KPI_Element_Map!$A$2:$A$287,$A32,KPI_Element_Map!$G$2:$G$287,AA$1)&gt;0,1,"")</f>
        <v/>
      </c>
      <c r="AB32" s="21" t="str">
        <f>IF(COUNTIFS(KPI_Element_Map!$A$2:$A$287,$A32,KPI_Element_Map!$G$2:$G$287,AB$1)&gt;0,1,"")</f>
        <v/>
      </c>
      <c r="AC32" s="21" t="str">
        <f>IF(COUNTIFS(KPI_Element_Map!$A$2:$A$287,$A32,KPI_Element_Map!$G$2:$G$287,AC$1)&gt;0,1,"")</f>
        <v/>
      </c>
      <c r="AD32" s="21" t="str">
        <f>IF(COUNTIFS(KPI_Element_Map!$A$2:$A$287,$A32,KPI_Element_Map!$G$2:$G$287,AD$1)&gt;0,1,"")</f>
        <v/>
      </c>
      <c r="AE32" s="21" t="str">
        <f>IF(COUNTIFS(KPI_Element_Map!$A$2:$A$287,$A32,KPI_Element_Map!$G$2:$G$287,AE$1)&gt;0,1,"")</f>
        <v/>
      </c>
      <c r="AF32" s="21" t="str">
        <f>IF(COUNTIFS(KPI_Element_Map!$A$2:$A$287,$A32,KPI_Element_Map!$G$2:$G$287,AF$1)&gt;0,1,"")</f>
        <v/>
      </c>
      <c r="AG32" s="21" t="str">
        <f>IF(COUNTIFS(KPI_Element_Map!$A$2:$A$287,$A32,KPI_Element_Map!$G$2:$G$287,AG$1)&gt;0,1,"")</f>
        <v/>
      </c>
      <c r="AH32" s="21" t="str">
        <f>IF(COUNTIFS(KPI_Element_Map!$A$2:$A$287,$A32,KPI_Element_Map!$G$2:$G$287,AH$1)&gt;0,1,"")</f>
        <v/>
      </c>
      <c r="AI32" s="21" t="str">
        <f>IF(COUNTIFS(KPI_Element_Map!$A$2:$A$287,$A32,KPI_Element_Map!$G$2:$G$287,AI$1)&gt;0,1,"")</f>
        <v/>
      </c>
      <c r="AJ32" s="21" t="str">
        <f>IF(COUNTIFS(KPI_Element_Map!$A$2:$A$287,$A32,KPI_Element_Map!$G$2:$G$287,AJ$1)&gt;0,1,"")</f>
        <v/>
      </c>
      <c r="AK32" s="21" t="str">
        <f>IF(COUNTIFS(KPI_Element_Map!$A$2:$A$287,$A32,KPI_Element_Map!$G$2:$G$287,AK$1)&gt;0,1,"")</f>
        <v/>
      </c>
    </row>
    <row r="33" spans="1:37">
      <c r="A33" s="21">
        <v>32</v>
      </c>
      <c r="B33" s="23" t="str">
        <f>INDEX(KPI_Master!$B:$B,MATCH($A33,KPI_Master!$A:$A,0))</f>
        <v>FINA-27</v>
      </c>
      <c r="C33" s="23" t="str">
        <f>INDEX(KPI_Master!$D:$D,MATCH($A33,KPI_Master!$A:$A,0))</f>
        <v>Capital Expenditure per Available Unit</v>
      </c>
      <c r="D33" s="23" t="str">
        <f>INDEX(KPI_Master!$K:$K,MATCH($A33,KPI_Master!$A:$A,0))</f>
        <v>3 - Optional</v>
      </c>
      <c r="E33" s="23" t="str">
        <f t="array" ref="E33">_xlfn.TEXTJOIN(", ",TRUE(),IF(KPI_Element_Map!$A$2:$A$287=$A33,KPI_Element_Map!$E$2:$E$287,""))</f>
        <v>E22, E11</v>
      </c>
      <c r="F33" s="21">
        <f t="shared" si="0"/>
        <v>2</v>
      </c>
      <c r="G33" s="21" t="str">
        <f>IF(COUNTIFS(KPI_Element_Map!$A$2:$A$287,$A33,KPI_Element_Map!$G$2:$G$287,G$1)&gt;0,1,"")</f>
        <v/>
      </c>
      <c r="H33" s="21">
        <f>IF(COUNTIFS(KPI_Element_Map!$A$2:$A$287,$A33,KPI_Element_Map!$G$2:$G$287,H$1)&gt;0,1,"")</f>
        <v>1</v>
      </c>
      <c r="I33" s="21">
        <f>IF(COUNTIFS(KPI_Element_Map!$A$2:$A$287,$A33,KPI_Element_Map!$G$2:$G$287,I$1)&gt;0,1,"")</f>
        <v>1</v>
      </c>
      <c r="J33" s="21" t="str">
        <f>IF(COUNTIFS(KPI_Element_Map!$A$2:$A$287,$A33,KPI_Element_Map!$G$2:$G$287,J$1)&gt;0,1,"")</f>
        <v/>
      </c>
      <c r="K33" s="21" t="str">
        <f>IF(COUNTIFS(KPI_Element_Map!$A$2:$A$287,$A33,KPI_Element_Map!$G$2:$G$287,K$1)&gt;0,1,"")</f>
        <v/>
      </c>
      <c r="L33" s="21" t="str">
        <f>IF(COUNTIFS(KPI_Element_Map!$A$2:$A$287,$A33,KPI_Element_Map!$G$2:$G$287,L$1)&gt;0,1,"")</f>
        <v/>
      </c>
      <c r="M33" s="21" t="str">
        <f>IF(COUNTIFS(KPI_Element_Map!$A$2:$A$287,$A33,KPI_Element_Map!$G$2:$G$287,M$1)&gt;0,1,"")</f>
        <v/>
      </c>
      <c r="N33" s="21" t="str">
        <f>IF(COUNTIFS(KPI_Element_Map!$A$2:$A$287,$A33,KPI_Element_Map!$G$2:$G$287,N$1)&gt;0,1,"")</f>
        <v/>
      </c>
      <c r="O33" s="21" t="str">
        <f>IF(COUNTIFS(KPI_Element_Map!$A$2:$A$287,$A33,KPI_Element_Map!$G$2:$G$287,O$1)&gt;0,1,"")</f>
        <v/>
      </c>
      <c r="P33" s="21" t="str">
        <f>IF(COUNTIFS(KPI_Element_Map!$A$2:$A$287,$A33,KPI_Element_Map!$G$2:$G$287,P$1)&gt;0,1,"")</f>
        <v/>
      </c>
      <c r="Q33" s="21" t="str">
        <f>IF(COUNTIFS(KPI_Element_Map!$A$2:$A$287,$A33,KPI_Element_Map!$G$2:$G$287,Q$1)&gt;0,1,"")</f>
        <v/>
      </c>
      <c r="R33" s="21" t="str">
        <f>IF(COUNTIFS(KPI_Element_Map!$A$2:$A$287,$A33,KPI_Element_Map!$G$2:$G$287,R$1)&gt;0,1,"")</f>
        <v/>
      </c>
      <c r="S33" s="21" t="str">
        <f>IF(COUNTIFS(KPI_Element_Map!$A$2:$A$287,$A33,KPI_Element_Map!$G$2:$G$287,S$1)&gt;0,1,"")</f>
        <v/>
      </c>
      <c r="T33" s="21" t="str">
        <f>IF(COUNTIFS(KPI_Element_Map!$A$2:$A$287,$A33,KPI_Element_Map!$G$2:$G$287,T$1)&gt;0,1,"")</f>
        <v/>
      </c>
      <c r="U33" s="21" t="str">
        <f>IF(COUNTIFS(KPI_Element_Map!$A$2:$A$287,$A33,KPI_Element_Map!$G$2:$G$287,U$1)&gt;0,1,"")</f>
        <v/>
      </c>
      <c r="V33" s="21" t="str">
        <f>IF(COUNTIFS(KPI_Element_Map!$A$2:$A$287,$A33,KPI_Element_Map!$G$2:$G$287,V$1)&gt;0,1,"")</f>
        <v/>
      </c>
      <c r="W33" s="21" t="str">
        <f>IF(COUNTIFS(KPI_Element_Map!$A$2:$A$287,$A33,KPI_Element_Map!$G$2:$G$287,W$1)&gt;0,1,"")</f>
        <v/>
      </c>
      <c r="X33" s="21" t="str">
        <f>IF(COUNTIFS(KPI_Element_Map!$A$2:$A$287,$A33,KPI_Element_Map!$G$2:$G$287,X$1)&gt;0,1,"")</f>
        <v/>
      </c>
      <c r="Y33" s="21" t="str">
        <f>IF(COUNTIFS(KPI_Element_Map!$A$2:$A$287,$A33,KPI_Element_Map!$G$2:$G$287,Y$1)&gt;0,1,"")</f>
        <v/>
      </c>
      <c r="Z33" s="21" t="str">
        <f>IF(COUNTIFS(KPI_Element_Map!$A$2:$A$287,$A33,KPI_Element_Map!$G$2:$G$287,Z$1)&gt;0,1,"")</f>
        <v/>
      </c>
      <c r="AA33" s="21" t="str">
        <f>IF(COUNTIFS(KPI_Element_Map!$A$2:$A$287,$A33,KPI_Element_Map!$G$2:$G$287,AA$1)&gt;0,1,"")</f>
        <v/>
      </c>
      <c r="AB33" s="21" t="str">
        <f>IF(COUNTIFS(KPI_Element_Map!$A$2:$A$287,$A33,KPI_Element_Map!$G$2:$G$287,AB$1)&gt;0,1,"")</f>
        <v/>
      </c>
      <c r="AC33" s="21" t="str">
        <f>IF(COUNTIFS(KPI_Element_Map!$A$2:$A$287,$A33,KPI_Element_Map!$G$2:$G$287,AC$1)&gt;0,1,"")</f>
        <v/>
      </c>
      <c r="AD33" s="21" t="str">
        <f>IF(COUNTIFS(KPI_Element_Map!$A$2:$A$287,$A33,KPI_Element_Map!$G$2:$G$287,AD$1)&gt;0,1,"")</f>
        <v/>
      </c>
      <c r="AE33" s="21" t="str">
        <f>IF(COUNTIFS(KPI_Element_Map!$A$2:$A$287,$A33,KPI_Element_Map!$G$2:$G$287,AE$1)&gt;0,1,"")</f>
        <v/>
      </c>
      <c r="AF33" s="21" t="str">
        <f>IF(COUNTIFS(KPI_Element_Map!$A$2:$A$287,$A33,KPI_Element_Map!$G$2:$G$287,AF$1)&gt;0,1,"")</f>
        <v/>
      </c>
      <c r="AG33" s="21" t="str">
        <f>IF(COUNTIFS(KPI_Element_Map!$A$2:$A$287,$A33,KPI_Element_Map!$G$2:$G$287,AG$1)&gt;0,1,"")</f>
        <v/>
      </c>
      <c r="AH33" s="21" t="str">
        <f>IF(COUNTIFS(KPI_Element_Map!$A$2:$A$287,$A33,KPI_Element_Map!$G$2:$G$287,AH$1)&gt;0,1,"")</f>
        <v/>
      </c>
      <c r="AI33" s="21" t="str">
        <f>IF(COUNTIFS(KPI_Element_Map!$A$2:$A$287,$A33,KPI_Element_Map!$G$2:$G$287,AI$1)&gt;0,1,"")</f>
        <v/>
      </c>
      <c r="AJ33" s="21" t="str">
        <f>IF(COUNTIFS(KPI_Element_Map!$A$2:$A$287,$A33,KPI_Element_Map!$G$2:$G$287,AJ$1)&gt;0,1,"")</f>
        <v/>
      </c>
      <c r="AK33" s="21" t="str">
        <f>IF(COUNTIFS(KPI_Element_Map!$A$2:$A$287,$A33,KPI_Element_Map!$G$2:$G$287,AK$1)&gt;0,1,"")</f>
        <v/>
      </c>
    </row>
    <row r="34" spans="1:37">
      <c r="A34" s="21">
        <v>33</v>
      </c>
      <c r="B34" s="23" t="str">
        <f>INDEX(KPI_Master!$B:$B,MATCH($A34,KPI_Master!$A:$A,0))</f>
        <v>FINA-28</v>
      </c>
      <c r="C34" s="23" t="str">
        <f>INDEX(KPI_Master!$D:$D,MATCH($A34,KPI_Master!$A:$A,0))</f>
        <v>Management Fees as % of Revenue</v>
      </c>
      <c r="D34" s="23" t="str">
        <f>INDEX(KPI_Master!$K:$K,MATCH($A34,KPI_Master!$A:$A,0))</f>
        <v>3 - Optional</v>
      </c>
      <c r="E34" s="23" t="str">
        <f t="array" ref="E34">_xlfn.TEXTJOIN(", ",TRUE(),IF(KPI_Element_Map!$A$2:$A$287=$A34,KPI_Element_Map!$E$2:$E$287,""))</f>
        <v>E17, E15</v>
      </c>
      <c r="F34" s="21">
        <f t="shared" ref="F34:F65" si="1">SUM(G34:AK34)</f>
        <v>1</v>
      </c>
      <c r="G34" s="21" t="str">
        <f>IF(COUNTIFS(KPI_Element_Map!$A$2:$A$287,$A34,KPI_Element_Map!$G$2:$G$287,G$1)&gt;0,1,"")</f>
        <v/>
      </c>
      <c r="H34" s="21" t="str">
        <f>IF(COUNTIFS(KPI_Element_Map!$A$2:$A$287,$A34,KPI_Element_Map!$G$2:$G$287,H$1)&gt;0,1,"")</f>
        <v/>
      </c>
      <c r="I34" s="21">
        <f>IF(COUNTIFS(KPI_Element_Map!$A$2:$A$287,$A34,KPI_Element_Map!$G$2:$G$287,I$1)&gt;0,1,"")</f>
        <v>1</v>
      </c>
      <c r="J34" s="21" t="str">
        <f>IF(COUNTIFS(KPI_Element_Map!$A$2:$A$287,$A34,KPI_Element_Map!$G$2:$G$287,J$1)&gt;0,1,"")</f>
        <v/>
      </c>
      <c r="K34" s="21" t="str">
        <f>IF(COUNTIFS(KPI_Element_Map!$A$2:$A$287,$A34,KPI_Element_Map!$G$2:$G$287,K$1)&gt;0,1,"")</f>
        <v/>
      </c>
      <c r="L34" s="21" t="str">
        <f>IF(COUNTIFS(KPI_Element_Map!$A$2:$A$287,$A34,KPI_Element_Map!$G$2:$G$287,L$1)&gt;0,1,"")</f>
        <v/>
      </c>
      <c r="M34" s="21" t="str">
        <f>IF(COUNTIFS(KPI_Element_Map!$A$2:$A$287,$A34,KPI_Element_Map!$G$2:$G$287,M$1)&gt;0,1,"")</f>
        <v/>
      </c>
      <c r="N34" s="21" t="str">
        <f>IF(COUNTIFS(KPI_Element_Map!$A$2:$A$287,$A34,KPI_Element_Map!$G$2:$G$287,N$1)&gt;0,1,"")</f>
        <v/>
      </c>
      <c r="O34" s="21" t="str">
        <f>IF(COUNTIFS(KPI_Element_Map!$A$2:$A$287,$A34,KPI_Element_Map!$G$2:$G$287,O$1)&gt;0,1,"")</f>
        <v/>
      </c>
      <c r="P34" s="21" t="str">
        <f>IF(COUNTIFS(KPI_Element_Map!$A$2:$A$287,$A34,KPI_Element_Map!$G$2:$G$287,P$1)&gt;0,1,"")</f>
        <v/>
      </c>
      <c r="Q34" s="21" t="str">
        <f>IF(COUNTIFS(KPI_Element_Map!$A$2:$A$287,$A34,KPI_Element_Map!$G$2:$G$287,Q$1)&gt;0,1,"")</f>
        <v/>
      </c>
      <c r="R34" s="21" t="str">
        <f>IF(COUNTIFS(KPI_Element_Map!$A$2:$A$287,$A34,KPI_Element_Map!$G$2:$G$287,R$1)&gt;0,1,"")</f>
        <v/>
      </c>
      <c r="S34" s="21" t="str">
        <f>IF(COUNTIFS(KPI_Element_Map!$A$2:$A$287,$A34,KPI_Element_Map!$G$2:$G$287,S$1)&gt;0,1,"")</f>
        <v/>
      </c>
      <c r="T34" s="21" t="str">
        <f>IF(COUNTIFS(KPI_Element_Map!$A$2:$A$287,$A34,KPI_Element_Map!$G$2:$G$287,T$1)&gt;0,1,"")</f>
        <v/>
      </c>
      <c r="U34" s="21" t="str">
        <f>IF(COUNTIFS(KPI_Element_Map!$A$2:$A$287,$A34,KPI_Element_Map!$G$2:$G$287,U$1)&gt;0,1,"")</f>
        <v/>
      </c>
      <c r="V34" s="21" t="str">
        <f>IF(COUNTIFS(KPI_Element_Map!$A$2:$A$287,$A34,KPI_Element_Map!$G$2:$G$287,V$1)&gt;0,1,"")</f>
        <v/>
      </c>
      <c r="W34" s="21" t="str">
        <f>IF(COUNTIFS(KPI_Element_Map!$A$2:$A$287,$A34,KPI_Element_Map!$G$2:$G$287,W$1)&gt;0,1,"")</f>
        <v/>
      </c>
      <c r="X34" s="21" t="str">
        <f>IF(COUNTIFS(KPI_Element_Map!$A$2:$A$287,$A34,KPI_Element_Map!$G$2:$G$287,X$1)&gt;0,1,"")</f>
        <v/>
      </c>
      <c r="Y34" s="21" t="str">
        <f>IF(COUNTIFS(KPI_Element_Map!$A$2:$A$287,$A34,KPI_Element_Map!$G$2:$G$287,Y$1)&gt;0,1,"")</f>
        <v/>
      </c>
      <c r="Z34" s="21" t="str">
        <f>IF(COUNTIFS(KPI_Element_Map!$A$2:$A$287,$A34,KPI_Element_Map!$G$2:$G$287,Z$1)&gt;0,1,"")</f>
        <v/>
      </c>
      <c r="AA34" s="21" t="str">
        <f>IF(COUNTIFS(KPI_Element_Map!$A$2:$A$287,$A34,KPI_Element_Map!$G$2:$G$287,AA$1)&gt;0,1,"")</f>
        <v/>
      </c>
      <c r="AB34" s="21" t="str">
        <f>IF(COUNTIFS(KPI_Element_Map!$A$2:$A$287,$A34,KPI_Element_Map!$G$2:$G$287,AB$1)&gt;0,1,"")</f>
        <v/>
      </c>
      <c r="AC34" s="21" t="str">
        <f>IF(COUNTIFS(KPI_Element_Map!$A$2:$A$287,$A34,KPI_Element_Map!$G$2:$G$287,AC$1)&gt;0,1,"")</f>
        <v/>
      </c>
      <c r="AD34" s="21" t="str">
        <f>IF(COUNTIFS(KPI_Element_Map!$A$2:$A$287,$A34,KPI_Element_Map!$G$2:$G$287,AD$1)&gt;0,1,"")</f>
        <v/>
      </c>
      <c r="AE34" s="21" t="str">
        <f>IF(COUNTIFS(KPI_Element_Map!$A$2:$A$287,$A34,KPI_Element_Map!$G$2:$G$287,AE$1)&gt;0,1,"")</f>
        <v/>
      </c>
      <c r="AF34" s="21" t="str">
        <f>IF(COUNTIFS(KPI_Element_Map!$A$2:$A$287,$A34,KPI_Element_Map!$G$2:$G$287,AF$1)&gt;0,1,"")</f>
        <v/>
      </c>
      <c r="AG34" s="21" t="str">
        <f>IF(COUNTIFS(KPI_Element_Map!$A$2:$A$287,$A34,KPI_Element_Map!$G$2:$G$287,AG$1)&gt;0,1,"")</f>
        <v/>
      </c>
      <c r="AH34" s="21" t="str">
        <f>IF(COUNTIFS(KPI_Element_Map!$A$2:$A$287,$A34,KPI_Element_Map!$G$2:$G$287,AH$1)&gt;0,1,"")</f>
        <v/>
      </c>
      <c r="AI34" s="21" t="str">
        <f>IF(COUNTIFS(KPI_Element_Map!$A$2:$A$287,$A34,KPI_Element_Map!$G$2:$G$287,AI$1)&gt;0,1,"")</f>
        <v/>
      </c>
      <c r="AJ34" s="21" t="str">
        <f>IF(COUNTIFS(KPI_Element_Map!$A$2:$A$287,$A34,KPI_Element_Map!$G$2:$G$287,AJ$1)&gt;0,1,"")</f>
        <v/>
      </c>
      <c r="AK34" s="21" t="str">
        <f>IF(COUNTIFS(KPI_Element_Map!$A$2:$A$287,$A34,KPI_Element_Map!$G$2:$G$287,AK$1)&gt;0,1,"")</f>
        <v/>
      </c>
    </row>
    <row r="35" spans="1:37">
      <c r="A35" s="21">
        <v>34</v>
      </c>
      <c r="B35" s="23" t="str">
        <f>INDEX(KPI_Master!$B:$B,MATCH($A35,KPI_Master!$A:$A,0))</f>
        <v>FINA-29</v>
      </c>
      <c r="C35" s="23" t="str">
        <f>INDEX(KPI_Master!$D:$D,MATCH($A35,KPI_Master!$A:$A,0))</f>
        <v>IT Expense as % of Revenue</v>
      </c>
      <c r="D35" s="23" t="str">
        <f>INDEX(KPI_Master!$K:$K,MATCH($A35,KPI_Master!$A:$A,0))</f>
        <v>3 - Optional</v>
      </c>
      <c r="E35" s="23" t="str">
        <f t="array" ref="E35">_xlfn.TEXTJOIN(", ",TRUE(),IF(KPI_Element_Map!$A$2:$A$287=$A35,KPI_Element_Map!$E$2:$E$287,""))</f>
        <v>E57, E27, E15</v>
      </c>
      <c r="F35" s="21">
        <f t="shared" si="1"/>
        <v>3</v>
      </c>
      <c r="G35" s="21" t="str">
        <f>IF(COUNTIFS(KPI_Element_Map!$A$2:$A$287,$A35,KPI_Element_Map!$G$2:$G$287,G$1)&gt;0,1,"")</f>
        <v/>
      </c>
      <c r="H35" s="21" t="str">
        <f>IF(COUNTIFS(KPI_Element_Map!$A$2:$A$287,$A35,KPI_Element_Map!$G$2:$G$287,H$1)&gt;0,1,"")</f>
        <v/>
      </c>
      <c r="I35" s="21">
        <f>IF(COUNTIFS(KPI_Element_Map!$A$2:$A$287,$A35,KPI_Element_Map!$G$2:$G$287,I$1)&gt;0,1,"")</f>
        <v>1</v>
      </c>
      <c r="J35" s="21" t="str">
        <f>IF(COUNTIFS(KPI_Element_Map!$A$2:$A$287,$A35,KPI_Element_Map!$G$2:$G$287,J$1)&gt;0,1,"")</f>
        <v/>
      </c>
      <c r="K35" s="21" t="str">
        <f>IF(COUNTIFS(KPI_Element_Map!$A$2:$A$287,$A35,KPI_Element_Map!$G$2:$G$287,K$1)&gt;0,1,"")</f>
        <v/>
      </c>
      <c r="L35" s="21">
        <f>IF(COUNTIFS(KPI_Element_Map!$A$2:$A$287,$A35,KPI_Element_Map!$G$2:$G$287,L$1)&gt;0,1,"")</f>
        <v>1</v>
      </c>
      <c r="M35" s="21" t="str">
        <f>IF(COUNTIFS(KPI_Element_Map!$A$2:$A$287,$A35,KPI_Element_Map!$G$2:$G$287,M$1)&gt;0,1,"")</f>
        <v/>
      </c>
      <c r="N35" s="21" t="str">
        <f>IF(COUNTIFS(KPI_Element_Map!$A$2:$A$287,$A35,KPI_Element_Map!$G$2:$G$287,N$1)&gt;0,1,"")</f>
        <v/>
      </c>
      <c r="O35" s="21" t="str">
        <f>IF(COUNTIFS(KPI_Element_Map!$A$2:$A$287,$A35,KPI_Element_Map!$G$2:$G$287,O$1)&gt;0,1,"")</f>
        <v/>
      </c>
      <c r="P35" s="21" t="str">
        <f>IF(COUNTIFS(KPI_Element_Map!$A$2:$A$287,$A35,KPI_Element_Map!$G$2:$G$287,P$1)&gt;0,1,"")</f>
        <v/>
      </c>
      <c r="Q35" s="21" t="str">
        <f>IF(COUNTIFS(KPI_Element_Map!$A$2:$A$287,$A35,KPI_Element_Map!$G$2:$G$287,Q$1)&gt;0,1,"")</f>
        <v/>
      </c>
      <c r="R35" s="21" t="str">
        <f>IF(COUNTIFS(KPI_Element_Map!$A$2:$A$287,$A35,KPI_Element_Map!$G$2:$G$287,R$1)&gt;0,1,"")</f>
        <v/>
      </c>
      <c r="S35" s="21" t="str">
        <f>IF(COUNTIFS(KPI_Element_Map!$A$2:$A$287,$A35,KPI_Element_Map!$G$2:$G$287,S$1)&gt;0,1,"")</f>
        <v/>
      </c>
      <c r="T35" s="21" t="str">
        <f>IF(COUNTIFS(KPI_Element_Map!$A$2:$A$287,$A35,KPI_Element_Map!$G$2:$G$287,T$1)&gt;0,1,"")</f>
        <v/>
      </c>
      <c r="U35" s="21" t="str">
        <f>IF(COUNTIFS(KPI_Element_Map!$A$2:$A$287,$A35,KPI_Element_Map!$G$2:$G$287,U$1)&gt;0,1,"")</f>
        <v/>
      </c>
      <c r="V35" s="21" t="str">
        <f>IF(COUNTIFS(KPI_Element_Map!$A$2:$A$287,$A35,KPI_Element_Map!$G$2:$G$287,V$1)&gt;0,1,"")</f>
        <v/>
      </c>
      <c r="W35" s="21" t="str">
        <f>IF(COUNTIFS(KPI_Element_Map!$A$2:$A$287,$A35,KPI_Element_Map!$G$2:$G$287,W$1)&gt;0,1,"")</f>
        <v/>
      </c>
      <c r="X35" s="21" t="str">
        <f>IF(COUNTIFS(KPI_Element_Map!$A$2:$A$287,$A35,KPI_Element_Map!$G$2:$G$287,X$1)&gt;0,1,"")</f>
        <v/>
      </c>
      <c r="Y35" s="21" t="str">
        <f>IF(COUNTIFS(KPI_Element_Map!$A$2:$A$287,$A35,KPI_Element_Map!$G$2:$G$287,Y$1)&gt;0,1,"")</f>
        <v/>
      </c>
      <c r="Z35" s="21" t="str">
        <f>IF(COUNTIFS(KPI_Element_Map!$A$2:$A$287,$A35,KPI_Element_Map!$G$2:$G$287,Z$1)&gt;0,1,"")</f>
        <v/>
      </c>
      <c r="AA35" s="21" t="str">
        <f>IF(COUNTIFS(KPI_Element_Map!$A$2:$A$287,$A35,KPI_Element_Map!$G$2:$G$287,AA$1)&gt;0,1,"")</f>
        <v/>
      </c>
      <c r="AB35" s="21" t="str">
        <f>IF(COUNTIFS(KPI_Element_Map!$A$2:$A$287,$A35,KPI_Element_Map!$G$2:$G$287,AB$1)&gt;0,1,"")</f>
        <v/>
      </c>
      <c r="AC35" s="21" t="str">
        <f>IF(COUNTIFS(KPI_Element_Map!$A$2:$A$287,$A35,KPI_Element_Map!$G$2:$G$287,AC$1)&gt;0,1,"")</f>
        <v/>
      </c>
      <c r="AD35" s="21" t="str">
        <f>IF(COUNTIFS(KPI_Element_Map!$A$2:$A$287,$A35,KPI_Element_Map!$G$2:$G$287,AD$1)&gt;0,1,"")</f>
        <v/>
      </c>
      <c r="AE35" s="21" t="str">
        <f>IF(COUNTIFS(KPI_Element_Map!$A$2:$A$287,$A35,KPI_Element_Map!$G$2:$G$287,AE$1)&gt;0,1,"")</f>
        <v/>
      </c>
      <c r="AF35" s="21" t="str">
        <f>IF(COUNTIFS(KPI_Element_Map!$A$2:$A$287,$A35,KPI_Element_Map!$G$2:$G$287,AF$1)&gt;0,1,"")</f>
        <v/>
      </c>
      <c r="AG35" s="21" t="str">
        <f>IF(COUNTIFS(KPI_Element_Map!$A$2:$A$287,$A35,KPI_Element_Map!$G$2:$G$287,AG$1)&gt;0,1,"")</f>
        <v/>
      </c>
      <c r="AH35" s="21" t="str">
        <f>IF(COUNTIFS(KPI_Element_Map!$A$2:$A$287,$A35,KPI_Element_Map!$G$2:$G$287,AH$1)&gt;0,1,"")</f>
        <v/>
      </c>
      <c r="AI35" s="21" t="str">
        <f>IF(COUNTIFS(KPI_Element_Map!$A$2:$A$287,$A35,KPI_Element_Map!$G$2:$G$287,AI$1)&gt;0,1,"")</f>
        <v/>
      </c>
      <c r="AJ35" s="21" t="str">
        <f>IF(COUNTIFS(KPI_Element_Map!$A$2:$A$287,$A35,KPI_Element_Map!$G$2:$G$287,AJ$1)&gt;0,1,"")</f>
        <v/>
      </c>
      <c r="AK35" s="21">
        <f>IF(COUNTIFS(KPI_Element_Map!$A$2:$A$287,$A35,KPI_Element_Map!$G$2:$G$287,AK$1)&gt;0,1,"")</f>
        <v>1</v>
      </c>
    </row>
    <row r="36" spans="1:37">
      <c r="A36" s="21">
        <v>35</v>
      </c>
      <c r="B36" s="23" t="str">
        <f>INDEX(KPI_Master!$B:$B,MATCH($A36,KPI_Master!$A:$A,0))</f>
        <v>FINA-30</v>
      </c>
      <c r="C36" s="23" t="str">
        <f>INDEX(KPI_Master!$D:$D,MATCH($A36,KPI_Master!$A:$A,0))</f>
        <v>Operating Margin (CARF, Entity)</v>
      </c>
      <c r="D36" s="23" t="str">
        <f>INDEX(KPI_Master!$K:$K,MATCH($A36,KPI_Master!$A:$A,0))</f>
        <v>2 - Standard</v>
      </c>
      <c r="E36" s="23" t="str">
        <f t="array" ref="E36">_xlfn.TEXTJOIN(", ",TRUE(),IF(KPI_Element_Map!$A$2:$A$287=$A36,KPI_Element_Map!$E$2:$E$287,""))</f>
        <v>E19, E15</v>
      </c>
      <c r="F36" s="21">
        <f t="shared" si="1"/>
        <v>1</v>
      </c>
      <c r="G36" s="21" t="str">
        <f>IF(COUNTIFS(KPI_Element_Map!$A$2:$A$287,$A36,KPI_Element_Map!$G$2:$G$287,G$1)&gt;0,1,"")</f>
        <v/>
      </c>
      <c r="H36" s="21" t="str">
        <f>IF(COUNTIFS(KPI_Element_Map!$A$2:$A$287,$A36,KPI_Element_Map!$G$2:$G$287,H$1)&gt;0,1,"")</f>
        <v/>
      </c>
      <c r="I36" s="21">
        <f>IF(COUNTIFS(KPI_Element_Map!$A$2:$A$287,$A36,KPI_Element_Map!$G$2:$G$287,I$1)&gt;0,1,"")</f>
        <v>1</v>
      </c>
      <c r="J36" s="21" t="str">
        <f>IF(COUNTIFS(KPI_Element_Map!$A$2:$A$287,$A36,KPI_Element_Map!$G$2:$G$287,J$1)&gt;0,1,"")</f>
        <v/>
      </c>
      <c r="K36" s="21" t="str">
        <f>IF(COUNTIFS(KPI_Element_Map!$A$2:$A$287,$A36,KPI_Element_Map!$G$2:$G$287,K$1)&gt;0,1,"")</f>
        <v/>
      </c>
      <c r="L36" s="21" t="str">
        <f>IF(COUNTIFS(KPI_Element_Map!$A$2:$A$287,$A36,KPI_Element_Map!$G$2:$G$287,L$1)&gt;0,1,"")</f>
        <v/>
      </c>
      <c r="M36" s="21" t="str">
        <f>IF(COUNTIFS(KPI_Element_Map!$A$2:$A$287,$A36,KPI_Element_Map!$G$2:$G$287,M$1)&gt;0,1,"")</f>
        <v/>
      </c>
      <c r="N36" s="21" t="str">
        <f>IF(COUNTIFS(KPI_Element_Map!$A$2:$A$287,$A36,KPI_Element_Map!$G$2:$G$287,N$1)&gt;0,1,"")</f>
        <v/>
      </c>
      <c r="O36" s="21" t="str">
        <f>IF(COUNTIFS(KPI_Element_Map!$A$2:$A$287,$A36,KPI_Element_Map!$G$2:$G$287,O$1)&gt;0,1,"")</f>
        <v/>
      </c>
      <c r="P36" s="21" t="str">
        <f>IF(COUNTIFS(KPI_Element_Map!$A$2:$A$287,$A36,KPI_Element_Map!$G$2:$G$287,P$1)&gt;0,1,"")</f>
        <v/>
      </c>
      <c r="Q36" s="21" t="str">
        <f>IF(COUNTIFS(KPI_Element_Map!$A$2:$A$287,$A36,KPI_Element_Map!$G$2:$G$287,Q$1)&gt;0,1,"")</f>
        <v/>
      </c>
      <c r="R36" s="21" t="str">
        <f>IF(COUNTIFS(KPI_Element_Map!$A$2:$A$287,$A36,KPI_Element_Map!$G$2:$G$287,R$1)&gt;0,1,"")</f>
        <v/>
      </c>
      <c r="S36" s="21" t="str">
        <f>IF(COUNTIFS(KPI_Element_Map!$A$2:$A$287,$A36,KPI_Element_Map!$G$2:$G$287,S$1)&gt;0,1,"")</f>
        <v/>
      </c>
      <c r="T36" s="21" t="str">
        <f>IF(COUNTIFS(KPI_Element_Map!$A$2:$A$287,$A36,KPI_Element_Map!$G$2:$G$287,T$1)&gt;0,1,"")</f>
        <v/>
      </c>
      <c r="U36" s="21" t="str">
        <f>IF(COUNTIFS(KPI_Element_Map!$A$2:$A$287,$A36,KPI_Element_Map!$G$2:$G$287,U$1)&gt;0,1,"")</f>
        <v/>
      </c>
      <c r="V36" s="21" t="str">
        <f>IF(COUNTIFS(KPI_Element_Map!$A$2:$A$287,$A36,KPI_Element_Map!$G$2:$G$287,V$1)&gt;0,1,"")</f>
        <v/>
      </c>
      <c r="W36" s="21" t="str">
        <f>IF(COUNTIFS(KPI_Element_Map!$A$2:$A$287,$A36,KPI_Element_Map!$G$2:$G$287,W$1)&gt;0,1,"")</f>
        <v/>
      </c>
      <c r="X36" s="21" t="str">
        <f>IF(COUNTIFS(KPI_Element_Map!$A$2:$A$287,$A36,KPI_Element_Map!$G$2:$G$287,X$1)&gt;0,1,"")</f>
        <v/>
      </c>
      <c r="Y36" s="21" t="str">
        <f>IF(COUNTIFS(KPI_Element_Map!$A$2:$A$287,$A36,KPI_Element_Map!$G$2:$G$287,Y$1)&gt;0,1,"")</f>
        <v/>
      </c>
      <c r="Z36" s="21" t="str">
        <f>IF(COUNTIFS(KPI_Element_Map!$A$2:$A$287,$A36,KPI_Element_Map!$G$2:$G$287,Z$1)&gt;0,1,"")</f>
        <v/>
      </c>
      <c r="AA36" s="21" t="str">
        <f>IF(COUNTIFS(KPI_Element_Map!$A$2:$A$287,$A36,KPI_Element_Map!$G$2:$G$287,AA$1)&gt;0,1,"")</f>
        <v/>
      </c>
      <c r="AB36" s="21" t="str">
        <f>IF(COUNTIFS(KPI_Element_Map!$A$2:$A$287,$A36,KPI_Element_Map!$G$2:$G$287,AB$1)&gt;0,1,"")</f>
        <v/>
      </c>
      <c r="AC36" s="21" t="str">
        <f>IF(COUNTIFS(KPI_Element_Map!$A$2:$A$287,$A36,KPI_Element_Map!$G$2:$G$287,AC$1)&gt;0,1,"")</f>
        <v/>
      </c>
      <c r="AD36" s="21" t="str">
        <f>IF(COUNTIFS(KPI_Element_Map!$A$2:$A$287,$A36,KPI_Element_Map!$G$2:$G$287,AD$1)&gt;0,1,"")</f>
        <v/>
      </c>
      <c r="AE36" s="21" t="str">
        <f>IF(COUNTIFS(KPI_Element_Map!$A$2:$A$287,$A36,KPI_Element_Map!$G$2:$G$287,AE$1)&gt;0,1,"")</f>
        <v/>
      </c>
      <c r="AF36" s="21" t="str">
        <f>IF(COUNTIFS(KPI_Element_Map!$A$2:$A$287,$A36,KPI_Element_Map!$G$2:$G$287,AF$1)&gt;0,1,"")</f>
        <v/>
      </c>
      <c r="AG36" s="21" t="str">
        <f>IF(COUNTIFS(KPI_Element_Map!$A$2:$A$287,$A36,KPI_Element_Map!$G$2:$G$287,AG$1)&gt;0,1,"")</f>
        <v/>
      </c>
      <c r="AH36" s="21" t="str">
        <f>IF(COUNTIFS(KPI_Element_Map!$A$2:$A$287,$A36,KPI_Element_Map!$G$2:$G$287,AH$1)&gt;0,1,"")</f>
        <v/>
      </c>
      <c r="AI36" s="21" t="str">
        <f>IF(COUNTIFS(KPI_Element_Map!$A$2:$A$287,$A36,KPI_Element_Map!$G$2:$G$287,AI$1)&gt;0,1,"")</f>
        <v/>
      </c>
      <c r="AJ36" s="21" t="str">
        <f>IF(COUNTIFS(KPI_Element_Map!$A$2:$A$287,$A36,KPI_Element_Map!$G$2:$G$287,AJ$1)&gt;0,1,"")</f>
        <v/>
      </c>
      <c r="AK36" s="21" t="str">
        <f>IF(COUNTIFS(KPI_Element_Map!$A$2:$A$287,$A36,KPI_Element_Map!$G$2:$G$287,AK$1)&gt;0,1,"")</f>
        <v/>
      </c>
    </row>
    <row r="37" spans="1:37">
      <c r="A37" s="21">
        <v>36</v>
      </c>
      <c r="B37" s="23" t="str">
        <f>INDEX(KPI_Master!$B:$B,MATCH($A37,KPI_Master!$A:$A,0))</f>
        <v>FINA-31</v>
      </c>
      <c r="C37" s="23" t="str">
        <f>INDEX(KPI_Master!$D:$D,MATCH($A37,KPI_Master!$A:$A,0))</f>
        <v>Net Operating Margin (CARF, Entity)</v>
      </c>
      <c r="D37" s="23" t="str">
        <f>INDEX(KPI_Master!$K:$K,MATCH($A37,KPI_Master!$A:$A,0))</f>
        <v>3 - Optional</v>
      </c>
      <c r="E37" s="23" t="str">
        <f t="array" ref="E37">_xlfn.TEXTJOIN(", ",TRUE(),IF(KPI_Element_Map!$A$2:$A$287=$A37,KPI_Element_Map!$E$2:$E$287,""))</f>
        <v>E15, E16</v>
      </c>
      <c r="F37" s="21">
        <f t="shared" si="1"/>
        <v>1</v>
      </c>
      <c r="G37" s="21" t="str">
        <f>IF(COUNTIFS(KPI_Element_Map!$A$2:$A$287,$A37,KPI_Element_Map!$G$2:$G$287,G$1)&gt;0,1,"")</f>
        <v/>
      </c>
      <c r="H37" s="21" t="str">
        <f>IF(COUNTIFS(KPI_Element_Map!$A$2:$A$287,$A37,KPI_Element_Map!$G$2:$G$287,H$1)&gt;0,1,"")</f>
        <v/>
      </c>
      <c r="I37" s="21">
        <f>IF(COUNTIFS(KPI_Element_Map!$A$2:$A$287,$A37,KPI_Element_Map!$G$2:$G$287,I$1)&gt;0,1,"")</f>
        <v>1</v>
      </c>
      <c r="J37" s="21" t="str">
        <f>IF(COUNTIFS(KPI_Element_Map!$A$2:$A$287,$A37,KPI_Element_Map!$G$2:$G$287,J$1)&gt;0,1,"")</f>
        <v/>
      </c>
      <c r="K37" s="21" t="str">
        <f>IF(COUNTIFS(KPI_Element_Map!$A$2:$A$287,$A37,KPI_Element_Map!$G$2:$G$287,K$1)&gt;0,1,"")</f>
        <v/>
      </c>
      <c r="L37" s="21" t="str">
        <f>IF(COUNTIFS(KPI_Element_Map!$A$2:$A$287,$A37,KPI_Element_Map!$G$2:$G$287,L$1)&gt;0,1,"")</f>
        <v/>
      </c>
      <c r="M37" s="21" t="str">
        <f>IF(COUNTIFS(KPI_Element_Map!$A$2:$A$287,$A37,KPI_Element_Map!$G$2:$G$287,M$1)&gt;0,1,"")</f>
        <v/>
      </c>
      <c r="N37" s="21" t="str">
        <f>IF(COUNTIFS(KPI_Element_Map!$A$2:$A$287,$A37,KPI_Element_Map!$G$2:$G$287,N$1)&gt;0,1,"")</f>
        <v/>
      </c>
      <c r="O37" s="21" t="str">
        <f>IF(COUNTIFS(KPI_Element_Map!$A$2:$A$287,$A37,KPI_Element_Map!$G$2:$G$287,O$1)&gt;0,1,"")</f>
        <v/>
      </c>
      <c r="P37" s="21" t="str">
        <f>IF(COUNTIFS(KPI_Element_Map!$A$2:$A$287,$A37,KPI_Element_Map!$G$2:$G$287,P$1)&gt;0,1,"")</f>
        <v/>
      </c>
      <c r="Q37" s="21" t="str">
        <f>IF(COUNTIFS(KPI_Element_Map!$A$2:$A$287,$A37,KPI_Element_Map!$G$2:$G$287,Q$1)&gt;0,1,"")</f>
        <v/>
      </c>
      <c r="R37" s="21" t="str">
        <f>IF(COUNTIFS(KPI_Element_Map!$A$2:$A$287,$A37,KPI_Element_Map!$G$2:$G$287,R$1)&gt;0,1,"")</f>
        <v/>
      </c>
      <c r="S37" s="21" t="str">
        <f>IF(COUNTIFS(KPI_Element_Map!$A$2:$A$287,$A37,KPI_Element_Map!$G$2:$G$287,S$1)&gt;0,1,"")</f>
        <v/>
      </c>
      <c r="T37" s="21" t="str">
        <f>IF(COUNTIFS(KPI_Element_Map!$A$2:$A$287,$A37,KPI_Element_Map!$G$2:$G$287,T$1)&gt;0,1,"")</f>
        <v/>
      </c>
      <c r="U37" s="21" t="str">
        <f>IF(COUNTIFS(KPI_Element_Map!$A$2:$A$287,$A37,KPI_Element_Map!$G$2:$G$287,U$1)&gt;0,1,"")</f>
        <v/>
      </c>
      <c r="V37" s="21" t="str">
        <f>IF(COUNTIFS(KPI_Element_Map!$A$2:$A$287,$A37,KPI_Element_Map!$G$2:$G$287,V$1)&gt;0,1,"")</f>
        <v/>
      </c>
      <c r="W37" s="21" t="str">
        <f>IF(COUNTIFS(KPI_Element_Map!$A$2:$A$287,$A37,KPI_Element_Map!$G$2:$G$287,W$1)&gt;0,1,"")</f>
        <v/>
      </c>
      <c r="X37" s="21" t="str">
        <f>IF(COUNTIFS(KPI_Element_Map!$A$2:$A$287,$A37,KPI_Element_Map!$G$2:$G$287,X$1)&gt;0,1,"")</f>
        <v/>
      </c>
      <c r="Y37" s="21" t="str">
        <f>IF(COUNTIFS(KPI_Element_Map!$A$2:$A$287,$A37,KPI_Element_Map!$G$2:$G$287,Y$1)&gt;0,1,"")</f>
        <v/>
      </c>
      <c r="Z37" s="21" t="str">
        <f>IF(COUNTIFS(KPI_Element_Map!$A$2:$A$287,$A37,KPI_Element_Map!$G$2:$G$287,Z$1)&gt;0,1,"")</f>
        <v/>
      </c>
      <c r="AA37" s="21" t="str">
        <f>IF(COUNTIFS(KPI_Element_Map!$A$2:$A$287,$A37,KPI_Element_Map!$G$2:$G$287,AA$1)&gt;0,1,"")</f>
        <v/>
      </c>
      <c r="AB37" s="21" t="str">
        <f>IF(COUNTIFS(KPI_Element_Map!$A$2:$A$287,$A37,KPI_Element_Map!$G$2:$G$287,AB$1)&gt;0,1,"")</f>
        <v/>
      </c>
      <c r="AC37" s="21" t="str">
        <f>IF(COUNTIFS(KPI_Element_Map!$A$2:$A$287,$A37,KPI_Element_Map!$G$2:$G$287,AC$1)&gt;0,1,"")</f>
        <v/>
      </c>
      <c r="AD37" s="21" t="str">
        <f>IF(COUNTIFS(KPI_Element_Map!$A$2:$A$287,$A37,KPI_Element_Map!$G$2:$G$287,AD$1)&gt;0,1,"")</f>
        <v/>
      </c>
      <c r="AE37" s="21" t="str">
        <f>IF(COUNTIFS(KPI_Element_Map!$A$2:$A$287,$A37,KPI_Element_Map!$G$2:$G$287,AE$1)&gt;0,1,"")</f>
        <v/>
      </c>
      <c r="AF37" s="21" t="str">
        <f>IF(COUNTIFS(KPI_Element_Map!$A$2:$A$287,$A37,KPI_Element_Map!$G$2:$G$287,AF$1)&gt;0,1,"")</f>
        <v/>
      </c>
      <c r="AG37" s="21" t="str">
        <f>IF(COUNTIFS(KPI_Element_Map!$A$2:$A$287,$A37,KPI_Element_Map!$G$2:$G$287,AG$1)&gt;0,1,"")</f>
        <v/>
      </c>
      <c r="AH37" s="21" t="str">
        <f>IF(COUNTIFS(KPI_Element_Map!$A$2:$A$287,$A37,KPI_Element_Map!$G$2:$G$287,AH$1)&gt;0,1,"")</f>
        <v/>
      </c>
      <c r="AI37" s="21" t="str">
        <f>IF(COUNTIFS(KPI_Element_Map!$A$2:$A$287,$A37,KPI_Element_Map!$G$2:$G$287,AI$1)&gt;0,1,"")</f>
        <v/>
      </c>
      <c r="AJ37" s="21" t="str">
        <f>IF(COUNTIFS(KPI_Element_Map!$A$2:$A$287,$A37,KPI_Element_Map!$G$2:$G$287,AJ$1)&gt;0,1,"")</f>
        <v/>
      </c>
      <c r="AK37" s="21" t="str">
        <f>IF(COUNTIFS(KPI_Element_Map!$A$2:$A$287,$A37,KPI_Element_Map!$G$2:$G$287,AK$1)&gt;0,1,"")</f>
        <v/>
      </c>
    </row>
    <row r="38" spans="1:37">
      <c r="A38" s="21">
        <v>37</v>
      </c>
      <c r="B38" s="23" t="str">
        <f>INDEX(KPI_Master!$B:$B,MATCH($A38,KPI_Master!$A:$A,0))</f>
        <v>FINA-32</v>
      </c>
      <c r="C38" s="23" t="str">
        <f>INDEX(KPI_Master!$D:$D,MATCH($A38,KPI_Master!$A:$A,0))</f>
        <v>Entrance Fee Refund Liability Funding</v>
      </c>
      <c r="D38" s="23" t="str">
        <f>INDEX(KPI_Master!$K:$K,MATCH($A38,KPI_Master!$A:$A,0))</f>
        <v>2 - Standard</v>
      </c>
      <c r="E38" s="23" t="str">
        <f t="array" ref="E38">_xlfn.TEXTJOIN(", ",TRUE(),IF(KPI_Element_Map!$A$2:$A$287=$A38,KPI_Element_Map!$E$2:$E$287,""))</f>
        <v>E21</v>
      </c>
      <c r="F38" s="21">
        <f t="shared" si="1"/>
        <v>1</v>
      </c>
      <c r="G38" s="21" t="str">
        <f>IF(COUNTIFS(KPI_Element_Map!$A$2:$A$287,$A38,KPI_Element_Map!$G$2:$G$287,G$1)&gt;0,1,"")</f>
        <v/>
      </c>
      <c r="H38" s="21" t="str">
        <f>IF(COUNTIFS(KPI_Element_Map!$A$2:$A$287,$A38,KPI_Element_Map!$G$2:$G$287,H$1)&gt;0,1,"")</f>
        <v/>
      </c>
      <c r="I38" s="21">
        <f>IF(COUNTIFS(KPI_Element_Map!$A$2:$A$287,$A38,KPI_Element_Map!$G$2:$G$287,I$1)&gt;0,1,"")</f>
        <v>1</v>
      </c>
      <c r="J38" s="21" t="str">
        <f>IF(COUNTIFS(KPI_Element_Map!$A$2:$A$287,$A38,KPI_Element_Map!$G$2:$G$287,J$1)&gt;0,1,"")</f>
        <v/>
      </c>
      <c r="K38" s="21" t="str">
        <f>IF(COUNTIFS(KPI_Element_Map!$A$2:$A$287,$A38,KPI_Element_Map!$G$2:$G$287,K$1)&gt;0,1,"")</f>
        <v/>
      </c>
      <c r="L38" s="21" t="str">
        <f>IF(COUNTIFS(KPI_Element_Map!$A$2:$A$287,$A38,KPI_Element_Map!$G$2:$G$287,L$1)&gt;0,1,"")</f>
        <v/>
      </c>
      <c r="M38" s="21" t="str">
        <f>IF(COUNTIFS(KPI_Element_Map!$A$2:$A$287,$A38,KPI_Element_Map!$G$2:$G$287,M$1)&gt;0,1,"")</f>
        <v/>
      </c>
      <c r="N38" s="21" t="str">
        <f>IF(COUNTIFS(KPI_Element_Map!$A$2:$A$287,$A38,KPI_Element_Map!$G$2:$G$287,N$1)&gt;0,1,"")</f>
        <v/>
      </c>
      <c r="O38" s="21" t="str">
        <f>IF(COUNTIFS(KPI_Element_Map!$A$2:$A$287,$A38,KPI_Element_Map!$G$2:$G$287,O$1)&gt;0,1,"")</f>
        <v/>
      </c>
      <c r="P38" s="21" t="str">
        <f>IF(COUNTIFS(KPI_Element_Map!$A$2:$A$287,$A38,KPI_Element_Map!$G$2:$G$287,P$1)&gt;0,1,"")</f>
        <v/>
      </c>
      <c r="Q38" s="21" t="str">
        <f>IF(COUNTIFS(KPI_Element_Map!$A$2:$A$287,$A38,KPI_Element_Map!$G$2:$G$287,Q$1)&gt;0,1,"")</f>
        <v/>
      </c>
      <c r="R38" s="21" t="str">
        <f>IF(COUNTIFS(KPI_Element_Map!$A$2:$A$287,$A38,KPI_Element_Map!$G$2:$G$287,R$1)&gt;0,1,"")</f>
        <v/>
      </c>
      <c r="S38" s="21" t="str">
        <f>IF(COUNTIFS(KPI_Element_Map!$A$2:$A$287,$A38,KPI_Element_Map!$G$2:$G$287,S$1)&gt;0,1,"")</f>
        <v/>
      </c>
      <c r="T38" s="21" t="str">
        <f>IF(COUNTIFS(KPI_Element_Map!$A$2:$A$287,$A38,KPI_Element_Map!$G$2:$G$287,T$1)&gt;0,1,"")</f>
        <v/>
      </c>
      <c r="U38" s="21" t="str">
        <f>IF(COUNTIFS(KPI_Element_Map!$A$2:$A$287,$A38,KPI_Element_Map!$G$2:$G$287,U$1)&gt;0,1,"")</f>
        <v/>
      </c>
      <c r="V38" s="21" t="str">
        <f>IF(COUNTIFS(KPI_Element_Map!$A$2:$A$287,$A38,KPI_Element_Map!$G$2:$G$287,V$1)&gt;0,1,"")</f>
        <v/>
      </c>
      <c r="W38" s="21" t="str">
        <f>IF(COUNTIFS(KPI_Element_Map!$A$2:$A$287,$A38,KPI_Element_Map!$G$2:$G$287,W$1)&gt;0,1,"")</f>
        <v/>
      </c>
      <c r="X38" s="21" t="str">
        <f>IF(COUNTIFS(KPI_Element_Map!$A$2:$A$287,$A38,KPI_Element_Map!$G$2:$G$287,X$1)&gt;0,1,"")</f>
        <v/>
      </c>
      <c r="Y38" s="21" t="str">
        <f>IF(COUNTIFS(KPI_Element_Map!$A$2:$A$287,$A38,KPI_Element_Map!$G$2:$G$287,Y$1)&gt;0,1,"")</f>
        <v/>
      </c>
      <c r="Z38" s="21" t="str">
        <f>IF(COUNTIFS(KPI_Element_Map!$A$2:$A$287,$A38,KPI_Element_Map!$G$2:$G$287,Z$1)&gt;0,1,"")</f>
        <v/>
      </c>
      <c r="AA38" s="21" t="str">
        <f>IF(COUNTIFS(KPI_Element_Map!$A$2:$A$287,$A38,KPI_Element_Map!$G$2:$G$287,AA$1)&gt;0,1,"")</f>
        <v/>
      </c>
      <c r="AB38" s="21" t="str">
        <f>IF(COUNTIFS(KPI_Element_Map!$A$2:$A$287,$A38,KPI_Element_Map!$G$2:$G$287,AB$1)&gt;0,1,"")</f>
        <v/>
      </c>
      <c r="AC38" s="21" t="str">
        <f>IF(COUNTIFS(KPI_Element_Map!$A$2:$A$287,$A38,KPI_Element_Map!$G$2:$G$287,AC$1)&gt;0,1,"")</f>
        <v/>
      </c>
      <c r="AD38" s="21" t="str">
        <f>IF(COUNTIFS(KPI_Element_Map!$A$2:$A$287,$A38,KPI_Element_Map!$G$2:$G$287,AD$1)&gt;0,1,"")</f>
        <v/>
      </c>
      <c r="AE38" s="21" t="str">
        <f>IF(COUNTIFS(KPI_Element_Map!$A$2:$A$287,$A38,KPI_Element_Map!$G$2:$G$287,AE$1)&gt;0,1,"")</f>
        <v/>
      </c>
      <c r="AF38" s="21" t="str">
        <f>IF(COUNTIFS(KPI_Element_Map!$A$2:$A$287,$A38,KPI_Element_Map!$G$2:$G$287,AF$1)&gt;0,1,"")</f>
        <v/>
      </c>
      <c r="AG38" s="21" t="str">
        <f>IF(COUNTIFS(KPI_Element_Map!$A$2:$A$287,$A38,KPI_Element_Map!$G$2:$G$287,AG$1)&gt;0,1,"")</f>
        <v/>
      </c>
      <c r="AH38" s="21" t="str">
        <f>IF(COUNTIFS(KPI_Element_Map!$A$2:$A$287,$A38,KPI_Element_Map!$G$2:$G$287,AH$1)&gt;0,1,"")</f>
        <v/>
      </c>
      <c r="AI38" s="21" t="str">
        <f>IF(COUNTIFS(KPI_Element_Map!$A$2:$A$287,$A38,KPI_Element_Map!$G$2:$G$287,AI$1)&gt;0,1,"")</f>
        <v/>
      </c>
      <c r="AJ38" s="21" t="str">
        <f>IF(COUNTIFS(KPI_Element_Map!$A$2:$A$287,$A38,KPI_Element_Map!$G$2:$G$287,AJ$1)&gt;0,1,"")</f>
        <v/>
      </c>
      <c r="AK38" s="21" t="str">
        <f>IF(COUNTIFS(KPI_Element_Map!$A$2:$A$287,$A38,KPI_Element_Map!$G$2:$G$287,AK$1)&gt;0,1,"")</f>
        <v/>
      </c>
    </row>
    <row r="39" spans="1:37">
      <c r="A39" s="21">
        <v>38</v>
      </c>
      <c r="B39" s="23" t="str">
        <f>INDEX(KPI_Master!$B:$B,MATCH($A39,KPI_Master!$A:$A,0))</f>
        <v>FINA-33</v>
      </c>
      <c r="C39" s="23" t="str">
        <f>INDEX(KPI_Master!$D:$D,MATCH($A39,KPI_Master!$A:$A,0))</f>
        <v>Current Return on Investment (Unleveraged)</v>
      </c>
      <c r="D39" s="23" t="str">
        <f>INDEX(KPI_Master!$K:$K,MATCH($A39,KPI_Master!$A:$A,0))</f>
        <v>3 - Optional</v>
      </c>
      <c r="E39" s="23" t="str">
        <f t="array" ref="E39">_xlfn.TEXTJOIN(", ",TRUE(),IF(KPI_Element_Map!$A$2:$A$287=$A39,KPI_Element_Map!$E$2:$E$287,""))</f>
        <v>E15, E16, E21</v>
      </c>
      <c r="F39" s="21">
        <f t="shared" si="1"/>
        <v>1</v>
      </c>
      <c r="G39" s="21" t="str">
        <f>IF(COUNTIFS(KPI_Element_Map!$A$2:$A$287,$A39,KPI_Element_Map!$G$2:$G$287,G$1)&gt;0,1,"")</f>
        <v/>
      </c>
      <c r="H39" s="21" t="str">
        <f>IF(COUNTIFS(KPI_Element_Map!$A$2:$A$287,$A39,KPI_Element_Map!$G$2:$G$287,H$1)&gt;0,1,"")</f>
        <v/>
      </c>
      <c r="I39" s="21">
        <f>IF(COUNTIFS(KPI_Element_Map!$A$2:$A$287,$A39,KPI_Element_Map!$G$2:$G$287,I$1)&gt;0,1,"")</f>
        <v>1</v>
      </c>
      <c r="J39" s="21" t="str">
        <f>IF(COUNTIFS(KPI_Element_Map!$A$2:$A$287,$A39,KPI_Element_Map!$G$2:$G$287,J$1)&gt;0,1,"")</f>
        <v/>
      </c>
      <c r="K39" s="21" t="str">
        <f>IF(COUNTIFS(KPI_Element_Map!$A$2:$A$287,$A39,KPI_Element_Map!$G$2:$G$287,K$1)&gt;0,1,"")</f>
        <v/>
      </c>
      <c r="L39" s="21" t="str">
        <f>IF(COUNTIFS(KPI_Element_Map!$A$2:$A$287,$A39,KPI_Element_Map!$G$2:$G$287,L$1)&gt;0,1,"")</f>
        <v/>
      </c>
      <c r="M39" s="21" t="str">
        <f>IF(COUNTIFS(KPI_Element_Map!$A$2:$A$287,$A39,KPI_Element_Map!$G$2:$G$287,M$1)&gt;0,1,"")</f>
        <v/>
      </c>
      <c r="N39" s="21" t="str">
        <f>IF(COUNTIFS(KPI_Element_Map!$A$2:$A$287,$A39,KPI_Element_Map!$G$2:$G$287,N$1)&gt;0,1,"")</f>
        <v/>
      </c>
      <c r="O39" s="21" t="str">
        <f>IF(COUNTIFS(KPI_Element_Map!$A$2:$A$287,$A39,KPI_Element_Map!$G$2:$G$287,O$1)&gt;0,1,"")</f>
        <v/>
      </c>
      <c r="P39" s="21" t="str">
        <f>IF(COUNTIFS(KPI_Element_Map!$A$2:$A$287,$A39,KPI_Element_Map!$G$2:$G$287,P$1)&gt;0,1,"")</f>
        <v/>
      </c>
      <c r="Q39" s="21" t="str">
        <f>IF(COUNTIFS(KPI_Element_Map!$A$2:$A$287,$A39,KPI_Element_Map!$G$2:$G$287,Q$1)&gt;0,1,"")</f>
        <v/>
      </c>
      <c r="R39" s="21" t="str">
        <f>IF(COUNTIFS(KPI_Element_Map!$A$2:$A$287,$A39,KPI_Element_Map!$G$2:$G$287,R$1)&gt;0,1,"")</f>
        <v/>
      </c>
      <c r="S39" s="21" t="str">
        <f>IF(COUNTIFS(KPI_Element_Map!$A$2:$A$287,$A39,KPI_Element_Map!$G$2:$G$287,S$1)&gt;0,1,"")</f>
        <v/>
      </c>
      <c r="T39" s="21" t="str">
        <f>IF(COUNTIFS(KPI_Element_Map!$A$2:$A$287,$A39,KPI_Element_Map!$G$2:$G$287,T$1)&gt;0,1,"")</f>
        <v/>
      </c>
      <c r="U39" s="21" t="str">
        <f>IF(COUNTIFS(KPI_Element_Map!$A$2:$A$287,$A39,KPI_Element_Map!$G$2:$G$287,U$1)&gt;0,1,"")</f>
        <v/>
      </c>
      <c r="V39" s="21" t="str">
        <f>IF(COUNTIFS(KPI_Element_Map!$A$2:$A$287,$A39,KPI_Element_Map!$G$2:$G$287,V$1)&gt;0,1,"")</f>
        <v/>
      </c>
      <c r="W39" s="21" t="str">
        <f>IF(COUNTIFS(KPI_Element_Map!$A$2:$A$287,$A39,KPI_Element_Map!$G$2:$G$287,W$1)&gt;0,1,"")</f>
        <v/>
      </c>
      <c r="X39" s="21" t="str">
        <f>IF(COUNTIFS(KPI_Element_Map!$A$2:$A$287,$A39,KPI_Element_Map!$G$2:$G$287,X$1)&gt;0,1,"")</f>
        <v/>
      </c>
      <c r="Y39" s="21" t="str">
        <f>IF(COUNTIFS(KPI_Element_Map!$A$2:$A$287,$A39,KPI_Element_Map!$G$2:$G$287,Y$1)&gt;0,1,"")</f>
        <v/>
      </c>
      <c r="Z39" s="21" t="str">
        <f>IF(COUNTIFS(KPI_Element_Map!$A$2:$A$287,$A39,KPI_Element_Map!$G$2:$G$287,Z$1)&gt;0,1,"")</f>
        <v/>
      </c>
      <c r="AA39" s="21" t="str">
        <f>IF(COUNTIFS(KPI_Element_Map!$A$2:$A$287,$A39,KPI_Element_Map!$G$2:$G$287,AA$1)&gt;0,1,"")</f>
        <v/>
      </c>
      <c r="AB39" s="21" t="str">
        <f>IF(COUNTIFS(KPI_Element_Map!$A$2:$A$287,$A39,KPI_Element_Map!$G$2:$G$287,AB$1)&gt;0,1,"")</f>
        <v/>
      </c>
      <c r="AC39" s="21" t="str">
        <f>IF(COUNTIFS(KPI_Element_Map!$A$2:$A$287,$A39,KPI_Element_Map!$G$2:$G$287,AC$1)&gt;0,1,"")</f>
        <v/>
      </c>
      <c r="AD39" s="21" t="str">
        <f>IF(COUNTIFS(KPI_Element_Map!$A$2:$A$287,$A39,KPI_Element_Map!$G$2:$G$287,AD$1)&gt;0,1,"")</f>
        <v/>
      </c>
      <c r="AE39" s="21" t="str">
        <f>IF(COUNTIFS(KPI_Element_Map!$A$2:$A$287,$A39,KPI_Element_Map!$G$2:$G$287,AE$1)&gt;0,1,"")</f>
        <v/>
      </c>
      <c r="AF39" s="21" t="str">
        <f>IF(COUNTIFS(KPI_Element_Map!$A$2:$A$287,$A39,KPI_Element_Map!$G$2:$G$287,AF$1)&gt;0,1,"")</f>
        <v/>
      </c>
      <c r="AG39" s="21" t="str">
        <f>IF(COUNTIFS(KPI_Element_Map!$A$2:$A$287,$A39,KPI_Element_Map!$G$2:$G$287,AG$1)&gt;0,1,"")</f>
        <v/>
      </c>
      <c r="AH39" s="21" t="str">
        <f>IF(COUNTIFS(KPI_Element_Map!$A$2:$A$287,$A39,KPI_Element_Map!$G$2:$G$287,AH$1)&gt;0,1,"")</f>
        <v/>
      </c>
      <c r="AI39" s="21" t="str">
        <f>IF(COUNTIFS(KPI_Element_Map!$A$2:$A$287,$A39,KPI_Element_Map!$G$2:$G$287,AI$1)&gt;0,1,"")</f>
        <v/>
      </c>
      <c r="AJ39" s="21" t="str">
        <f>IF(COUNTIFS(KPI_Element_Map!$A$2:$A$287,$A39,KPI_Element_Map!$G$2:$G$287,AJ$1)&gt;0,1,"")</f>
        <v/>
      </c>
      <c r="AK39" s="21" t="str">
        <f>IF(COUNTIFS(KPI_Element_Map!$A$2:$A$287,$A39,KPI_Element_Map!$G$2:$G$287,AK$1)&gt;0,1,"")</f>
        <v/>
      </c>
    </row>
    <row r="40" spans="1:37" ht="28.5" customHeight="1">
      <c r="A40" s="21">
        <v>39</v>
      </c>
      <c r="B40" s="23" t="str">
        <f>INDEX(KPI_Master!$B:$B,MATCH($A40,KPI_Master!$A:$A,0))</f>
        <v>FINA-34</v>
      </c>
      <c r="C40" s="23" t="str">
        <f>INDEX(KPI_Master!$D:$D,MATCH($A40,KPI_Master!$A:$A,0))</f>
        <v>Property &amp; Liability Insurance Cost per Available Unit</v>
      </c>
      <c r="D40" s="23" t="str">
        <f>INDEX(KPI_Master!$K:$K,MATCH($A40,KPI_Master!$A:$A,0))</f>
        <v>3 - Optional</v>
      </c>
      <c r="E40" s="23" t="str">
        <f t="array" ref="E40">_xlfn.TEXTJOIN(", ",TRUE(),IF(KPI_Element_Map!$A$2:$A$287=$A40,KPI_Element_Map!$E$2:$E$287,""))</f>
        <v>E17, E11</v>
      </c>
      <c r="F40" s="21">
        <f t="shared" si="1"/>
        <v>2</v>
      </c>
      <c r="G40" s="21" t="str">
        <f>IF(COUNTIFS(KPI_Element_Map!$A$2:$A$287,$A40,KPI_Element_Map!$G$2:$G$287,G$1)&gt;0,1,"")</f>
        <v/>
      </c>
      <c r="H40" s="21">
        <f>IF(COUNTIFS(KPI_Element_Map!$A$2:$A$287,$A40,KPI_Element_Map!$G$2:$G$287,H$1)&gt;0,1,"")</f>
        <v>1</v>
      </c>
      <c r="I40" s="21">
        <f>IF(COUNTIFS(KPI_Element_Map!$A$2:$A$287,$A40,KPI_Element_Map!$G$2:$G$287,I$1)&gt;0,1,"")</f>
        <v>1</v>
      </c>
      <c r="J40" s="21" t="str">
        <f>IF(COUNTIFS(KPI_Element_Map!$A$2:$A$287,$A40,KPI_Element_Map!$G$2:$G$287,J$1)&gt;0,1,"")</f>
        <v/>
      </c>
      <c r="K40" s="21" t="str">
        <f>IF(COUNTIFS(KPI_Element_Map!$A$2:$A$287,$A40,KPI_Element_Map!$G$2:$G$287,K$1)&gt;0,1,"")</f>
        <v/>
      </c>
      <c r="L40" s="21" t="str">
        <f>IF(COUNTIFS(KPI_Element_Map!$A$2:$A$287,$A40,KPI_Element_Map!$G$2:$G$287,L$1)&gt;0,1,"")</f>
        <v/>
      </c>
      <c r="M40" s="21" t="str">
        <f>IF(COUNTIFS(KPI_Element_Map!$A$2:$A$287,$A40,KPI_Element_Map!$G$2:$G$287,M$1)&gt;0,1,"")</f>
        <v/>
      </c>
      <c r="N40" s="21" t="str">
        <f>IF(COUNTIFS(KPI_Element_Map!$A$2:$A$287,$A40,KPI_Element_Map!$G$2:$G$287,N$1)&gt;0,1,"")</f>
        <v/>
      </c>
      <c r="O40" s="21" t="str">
        <f>IF(COUNTIFS(KPI_Element_Map!$A$2:$A$287,$A40,KPI_Element_Map!$G$2:$G$287,O$1)&gt;0,1,"")</f>
        <v/>
      </c>
      <c r="P40" s="21" t="str">
        <f>IF(COUNTIFS(KPI_Element_Map!$A$2:$A$287,$A40,KPI_Element_Map!$G$2:$G$287,P$1)&gt;0,1,"")</f>
        <v/>
      </c>
      <c r="Q40" s="21" t="str">
        <f>IF(COUNTIFS(KPI_Element_Map!$A$2:$A$287,$A40,KPI_Element_Map!$G$2:$G$287,Q$1)&gt;0,1,"")</f>
        <v/>
      </c>
      <c r="R40" s="21" t="str">
        <f>IF(COUNTIFS(KPI_Element_Map!$A$2:$A$287,$A40,KPI_Element_Map!$G$2:$G$287,R$1)&gt;0,1,"")</f>
        <v/>
      </c>
      <c r="S40" s="21" t="str">
        <f>IF(COUNTIFS(KPI_Element_Map!$A$2:$A$287,$A40,KPI_Element_Map!$G$2:$G$287,S$1)&gt;0,1,"")</f>
        <v/>
      </c>
      <c r="T40" s="21" t="str">
        <f>IF(COUNTIFS(KPI_Element_Map!$A$2:$A$287,$A40,KPI_Element_Map!$G$2:$G$287,T$1)&gt;0,1,"")</f>
        <v/>
      </c>
      <c r="U40" s="21" t="str">
        <f>IF(COUNTIFS(KPI_Element_Map!$A$2:$A$287,$A40,KPI_Element_Map!$G$2:$G$287,U$1)&gt;0,1,"")</f>
        <v/>
      </c>
      <c r="V40" s="21" t="str">
        <f>IF(COUNTIFS(KPI_Element_Map!$A$2:$A$287,$A40,KPI_Element_Map!$G$2:$G$287,V$1)&gt;0,1,"")</f>
        <v/>
      </c>
      <c r="W40" s="21" t="str">
        <f>IF(COUNTIFS(KPI_Element_Map!$A$2:$A$287,$A40,KPI_Element_Map!$G$2:$G$287,W$1)&gt;0,1,"")</f>
        <v/>
      </c>
      <c r="X40" s="21" t="str">
        <f>IF(COUNTIFS(KPI_Element_Map!$A$2:$A$287,$A40,KPI_Element_Map!$G$2:$G$287,X$1)&gt;0,1,"")</f>
        <v/>
      </c>
      <c r="Y40" s="21" t="str">
        <f>IF(COUNTIFS(KPI_Element_Map!$A$2:$A$287,$A40,KPI_Element_Map!$G$2:$G$287,Y$1)&gt;0,1,"")</f>
        <v/>
      </c>
      <c r="Z40" s="21" t="str">
        <f>IF(COUNTIFS(KPI_Element_Map!$A$2:$A$287,$A40,KPI_Element_Map!$G$2:$G$287,Z$1)&gt;0,1,"")</f>
        <v/>
      </c>
      <c r="AA40" s="21" t="str">
        <f>IF(COUNTIFS(KPI_Element_Map!$A$2:$A$287,$A40,KPI_Element_Map!$G$2:$G$287,AA$1)&gt;0,1,"")</f>
        <v/>
      </c>
      <c r="AB40" s="21" t="str">
        <f>IF(COUNTIFS(KPI_Element_Map!$A$2:$A$287,$A40,KPI_Element_Map!$G$2:$G$287,AB$1)&gt;0,1,"")</f>
        <v/>
      </c>
      <c r="AC40" s="21" t="str">
        <f>IF(COUNTIFS(KPI_Element_Map!$A$2:$A$287,$A40,KPI_Element_Map!$G$2:$G$287,AC$1)&gt;0,1,"")</f>
        <v/>
      </c>
      <c r="AD40" s="21" t="str">
        <f>IF(COUNTIFS(KPI_Element_Map!$A$2:$A$287,$A40,KPI_Element_Map!$G$2:$G$287,AD$1)&gt;0,1,"")</f>
        <v/>
      </c>
      <c r="AE40" s="21" t="str">
        <f>IF(COUNTIFS(KPI_Element_Map!$A$2:$A$287,$A40,KPI_Element_Map!$G$2:$G$287,AE$1)&gt;0,1,"")</f>
        <v/>
      </c>
      <c r="AF40" s="21" t="str">
        <f>IF(COUNTIFS(KPI_Element_Map!$A$2:$A$287,$A40,KPI_Element_Map!$G$2:$G$287,AF$1)&gt;0,1,"")</f>
        <v/>
      </c>
      <c r="AG40" s="21" t="str">
        <f>IF(COUNTIFS(KPI_Element_Map!$A$2:$A$287,$A40,KPI_Element_Map!$G$2:$G$287,AG$1)&gt;0,1,"")</f>
        <v/>
      </c>
      <c r="AH40" s="21" t="str">
        <f>IF(COUNTIFS(KPI_Element_Map!$A$2:$A$287,$A40,KPI_Element_Map!$G$2:$G$287,AH$1)&gt;0,1,"")</f>
        <v/>
      </c>
      <c r="AI40" s="21" t="str">
        <f>IF(COUNTIFS(KPI_Element_Map!$A$2:$A$287,$A40,KPI_Element_Map!$G$2:$G$287,AI$1)&gt;0,1,"")</f>
        <v/>
      </c>
      <c r="AJ40" s="21" t="str">
        <f>IF(COUNTIFS(KPI_Element_Map!$A$2:$A$287,$A40,KPI_Element_Map!$G$2:$G$287,AJ$1)&gt;0,1,"")</f>
        <v/>
      </c>
      <c r="AK40" s="21" t="str">
        <f>IF(COUNTIFS(KPI_Element_Map!$A$2:$A$287,$A40,KPI_Element_Map!$G$2:$G$287,AK$1)&gt;0,1,"")</f>
        <v/>
      </c>
    </row>
    <row r="41" spans="1:37" ht="28.5" customHeight="1">
      <c r="A41" s="21">
        <v>40</v>
      </c>
      <c r="B41" s="23" t="str">
        <f>INDEX(KPI_Master!$B:$B,MATCH($A41,KPI_Master!$A:$A,0))</f>
        <v>FINA-35</v>
      </c>
      <c r="C41" s="23" t="str">
        <f>INDEX(KPI_Master!$D:$D,MATCH($A41,KPI_Master!$A:$A,0))</f>
        <v>Professional Liability Insurance Cost per Available Unit</v>
      </c>
      <c r="D41" s="23" t="str">
        <f>INDEX(KPI_Master!$K:$K,MATCH($A41,KPI_Master!$A:$A,0))</f>
        <v>3 - Optional</v>
      </c>
      <c r="E41" s="23" t="str">
        <f t="array" ref="E41">_xlfn.TEXTJOIN(", ",TRUE(),IF(KPI_Element_Map!$A$2:$A$287=$A41,KPI_Element_Map!$E$2:$E$287,""))</f>
        <v>E17, E11</v>
      </c>
      <c r="F41" s="21">
        <f t="shared" si="1"/>
        <v>2</v>
      </c>
      <c r="G41" s="21" t="str">
        <f>IF(COUNTIFS(KPI_Element_Map!$A$2:$A$287,$A41,KPI_Element_Map!$G$2:$G$287,G$1)&gt;0,1,"")</f>
        <v/>
      </c>
      <c r="H41" s="21">
        <f>IF(COUNTIFS(KPI_Element_Map!$A$2:$A$287,$A41,KPI_Element_Map!$G$2:$G$287,H$1)&gt;0,1,"")</f>
        <v>1</v>
      </c>
      <c r="I41" s="21">
        <f>IF(COUNTIFS(KPI_Element_Map!$A$2:$A$287,$A41,KPI_Element_Map!$G$2:$G$287,I$1)&gt;0,1,"")</f>
        <v>1</v>
      </c>
      <c r="J41" s="21" t="str">
        <f>IF(COUNTIFS(KPI_Element_Map!$A$2:$A$287,$A41,KPI_Element_Map!$G$2:$G$287,J$1)&gt;0,1,"")</f>
        <v/>
      </c>
      <c r="K41" s="21" t="str">
        <f>IF(COUNTIFS(KPI_Element_Map!$A$2:$A$287,$A41,KPI_Element_Map!$G$2:$G$287,K$1)&gt;0,1,"")</f>
        <v/>
      </c>
      <c r="L41" s="21" t="str">
        <f>IF(COUNTIFS(KPI_Element_Map!$A$2:$A$287,$A41,KPI_Element_Map!$G$2:$G$287,L$1)&gt;0,1,"")</f>
        <v/>
      </c>
      <c r="M41" s="21" t="str">
        <f>IF(COUNTIFS(KPI_Element_Map!$A$2:$A$287,$A41,KPI_Element_Map!$G$2:$G$287,M$1)&gt;0,1,"")</f>
        <v/>
      </c>
      <c r="N41" s="21" t="str">
        <f>IF(COUNTIFS(KPI_Element_Map!$A$2:$A$287,$A41,KPI_Element_Map!$G$2:$G$287,N$1)&gt;0,1,"")</f>
        <v/>
      </c>
      <c r="O41" s="21" t="str">
        <f>IF(COUNTIFS(KPI_Element_Map!$A$2:$A$287,$A41,KPI_Element_Map!$G$2:$G$287,O$1)&gt;0,1,"")</f>
        <v/>
      </c>
      <c r="P41" s="21" t="str">
        <f>IF(COUNTIFS(KPI_Element_Map!$A$2:$A$287,$A41,KPI_Element_Map!$G$2:$G$287,P$1)&gt;0,1,"")</f>
        <v/>
      </c>
      <c r="Q41" s="21" t="str">
        <f>IF(COUNTIFS(KPI_Element_Map!$A$2:$A$287,$A41,KPI_Element_Map!$G$2:$G$287,Q$1)&gt;0,1,"")</f>
        <v/>
      </c>
      <c r="R41" s="21" t="str">
        <f>IF(COUNTIFS(KPI_Element_Map!$A$2:$A$287,$A41,KPI_Element_Map!$G$2:$G$287,R$1)&gt;0,1,"")</f>
        <v/>
      </c>
      <c r="S41" s="21" t="str">
        <f>IF(COUNTIFS(KPI_Element_Map!$A$2:$A$287,$A41,KPI_Element_Map!$G$2:$G$287,S$1)&gt;0,1,"")</f>
        <v/>
      </c>
      <c r="T41" s="21" t="str">
        <f>IF(COUNTIFS(KPI_Element_Map!$A$2:$A$287,$A41,KPI_Element_Map!$G$2:$G$287,T$1)&gt;0,1,"")</f>
        <v/>
      </c>
      <c r="U41" s="21" t="str">
        <f>IF(COUNTIFS(KPI_Element_Map!$A$2:$A$287,$A41,KPI_Element_Map!$G$2:$G$287,U$1)&gt;0,1,"")</f>
        <v/>
      </c>
      <c r="V41" s="21" t="str">
        <f>IF(COUNTIFS(KPI_Element_Map!$A$2:$A$287,$A41,KPI_Element_Map!$G$2:$G$287,V$1)&gt;0,1,"")</f>
        <v/>
      </c>
      <c r="W41" s="21" t="str">
        <f>IF(COUNTIFS(KPI_Element_Map!$A$2:$A$287,$A41,KPI_Element_Map!$G$2:$G$287,W$1)&gt;0,1,"")</f>
        <v/>
      </c>
      <c r="X41" s="21" t="str">
        <f>IF(COUNTIFS(KPI_Element_Map!$A$2:$A$287,$A41,KPI_Element_Map!$G$2:$G$287,X$1)&gt;0,1,"")</f>
        <v/>
      </c>
      <c r="Y41" s="21" t="str">
        <f>IF(COUNTIFS(KPI_Element_Map!$A$2:$A$287,$A41,KPI_Element_Map!$G$2:$G$287,Y$1)&gt;0,1,"")</f>
        <v/>
      </c>
      <c r="Z41" s="21" t="str">
        <f>IF(COUNTIFS(KPI_Element_Map!$A$2:$A$287,$A41,KPI_Element_Map!$G$2:$G$287,Z$1)&gt;0,1,"")</f>
        <v/>
      </c>
      <c r="AA41" s="21" t="str">
        <f>IF(COUNTIFS(KPI_Element_Map!$A$2:$A$287,$A41,KPI_Element_Map!$G$2:$G$287,AA$1)&gt;0,1,"")</f>
        <v/>
      </c>
      <c r="AB41" s="21" t="str">
        <f>IF(COUNTIFS(KPI_Element_Map!$A$2:$A$287,$A41,KPI_Element_Map!$G$2:$G$287,AB$1)&gt;0,1,"")</f>
        <v/>
      </c>
      <c r="AC41" s="21" t="str">
        <f>IF(COUNTIFS(KPI_Element_Map!$A$2:$A$287,$A41,KPI_Element_Map!$G$2:$G$287,AC$1)&gt;0,1,"")</f>
        <v/>
      </c>
      <c r="AD41" s="21" t="str">
        <f>IF(COUNTIFS(KPI_Element_Map!$A$2:$A$287,$A41,KPI_Element_Map!$G$2:$G$287,AD$1)&gt;0,1,"")</f>
        <v/>
      </c>
      <c r="AE41" s="21" t="str">
        <f>IF(COUNTIFS(KPI_Element_Map!$A$2:$A$287,$A41,KPI_Element_Map!$G$2:$G$287,AE$1)&gt;0,1,"")</f>
        <v/>
      </c>
      <c r="AF41" s="21" t="str">
        <f>IF(COUNTIFS(KPI_Element_Map!$A$2:$A$287,$A41,KPI_Element_Map!$G$2:$G$287,AF$1)&gt;0,1,"")</f>
        <v/>
      </c>
      <c r="AG41" s="21" t="str">
        <f>IF(COUNTIFS(KPI_Element_Map!$A$2:$A$287,$A41,KPI_Element_Map!$G$2:$G$287,AG$1)&gt;0,1,"")</f>
        <v/>
      </c>
      <c r="AH41" s="21" t="str">
        <f>IF(COUNTIFS(KPI_Element_Map!$A$2:$A$287,$A41,KPI_Element_Map!$G$2:$G$287,AH$1)&gt;0,1,"")</f>
        <v/>
      </c>
      <c r="AI41" s="21" t="str">
        <f>IF(COUNTIFS(KPI_Element_Map!$A$2:$A$287,$A41,KPI_Element_Map!$G$2:$G$287,AI$1)&gt;0,1,"")</f>
        <v/>
      </c>
      <c r="AJ41" s="21" t="str">
        <f>IF(COUNTIFS(KPI_Element_Map!$A$2:$A$287,$A41,KPI_Element_Map!$G$2:$G$287,AJ$1)&gt;0,1,"")</f>
        <v/>
      </c>
      <c r="AK41" s="21" t="str">
        <f>IF(COUNTIFS(KPI_Element_Map!$A$2:$A$287,$A41,KPI_Element_Map!$G$2:$G$287,AK$1)&gt;0,1,"")</f>
        <v/>
      </c>
    </row>
    <row r="42" spans="1:37">
      <c r="A42" s="21">
        <v>41</v>
      </c>
      <c r="B42" s="23" t="str">
        <f>INDEX(KPI_Master!$B:$B,MATCH($A42,KPI_Master!$A:$A,0))</f>
        <v>FINA-36</v>
      </c>
      <c r="C42" s="23" t="str">
        <f>INDEX(KPI_Master!$D:$D,MATCH($A42,KPI_Master!$A:$A,0))</f>
        <v>Average Level-of-Care Fee per AL / MC Resident</v>
      </c>
      <c r="D42" s="23" t="str">
        <f>INDEX(KPI_Master!$K:$K,MATCH($A42,KPI_Master!$A:$A,0))</f>
        <v>2 - Standard</v>
      </c>
      <c r="E42" s="23" t="str">
        <f t="array" ref="E42">_xlfn.TEXTJOIN(", ",TRUE(),IF(KPI_Element_Map!$A$2:$A$287=$A42,KPI_Element_Map!$E$2:$E$287,""))</f>
        <v>E24, E06</v>
      </c>
      <c r="F42" s="21">
        <f t="shared" si="1"/>
        <v>2</v>
      </c>
      <c r="G42" s="21">
        <f>IF(COUNTIFS(KPI_Element_Map!$A$2:$A$287,$A42,KPI_Element_Map!$G$2:$G$287,G$1)&gt;0,1,"")</f>
        <v>1</v>
      </c>
      <c r="H42" s="21" t="str">
        <f>IF(COUNTIFS(KPI_Element_Map!$A$2:$A$287,$A42,KPI_Element_Map!$G$2:$G$287,H$1)&gt;0,1,"")</f>
        <v/>
      </c>
      <c r="I42" s="21" t="str">
        <f>IF(COUNTIFS(KPI_Element_Map!$A$2:$A$287,$A42,KPI_Element_Map!$G$2:$G$287,I$1)&gt;0,1,"")</f>
        <v/>
      </c>
      <c r="J42" s="21">
        <f>IF(COUNTIFS(KPI_Element_Map!$A$2:$A$287,$A42,KPI_Element_Map!$G$2:$G$287,J$1)&gt;0,1,"")</f>
        <v>1</v>
      </c>
      <c r="K42" s="21" t="str">
        <f>IF(COUNTIFS(KPI_Element_Map!$A$2:$A$287,$A42,KPI_Element_Map!$G$2:$G$287,K$1)&gt;0,1,"")</f>
        <v/>
      </c>
      <c r="L42" s="21" t="str">
        <f>IF(COUNTIFS(KPI_Element_Map!$A$2:$A$287,$A42,KPI_Element_Map!$G$2:$G$287,L$1)&gt;0,1,"")</f>
        <v/>
      </c>
      <c r="M42" s="21" t="str">
        <f>IF(COUNTIFS(KPI_Element_Map!$A$2:$A$287,$A42,KPI_Element_Map!$G$2:$G$287,M$1)&gt;0,1,"")</f>
        <v/>
      </c>
      <c r="N42" s="21" t="str">
        <f>IF(COUNTIFS(KPI_Element_Map!$A$2:$A$287,$A42,KPI_Element_Map!$G$2:$G$287,N$1)&gt;0,1,"")</f>
        <v/>
      </c>
      <c r="O42" s="21" t="str">
        <f>IF(COUNTIFS(KPI_Element_Map!$A$2:$A$287,$A42,KPI_Element_Map!$G$2:$G$287,O$1)&gt;0,1,"")</f>
        <v/>
      </c>
      <c r="P42" s="21" t="str">
        <f>IF(COUNTIFS(KPI_Element_Map!$A$2:$A$287,$A42,KPI_Element_Map!$G$2:$G$287,P$1)&gt;0,1,"")</f>
        <v/>
      </c>
      <c r="Q42" s="21" t="str">
        <f>IF(COUNTIFS(KPI_Element_Map!$A$2:$A$287,$A42,KPI_Element_Map!$G$2:$G$287,Q$1)&gt;0,1,"")</f>
        <v/>
      </c>
      <c r="R42" s="21" t="str">
        <f>IF(COUNTIFS(KPI_Element_Map!$A$2:$A$287,$A42,KPI_Element_Map!$G$2:$G$287,R$1)&gt;0,1,"")</f>
        <v/>
      </c>
      <c r="S42" s="21" t="str">
        <f>IF(COUNTIFS(KPI_Element_Map!$A$2:$A$287,$A42,KPI_Element_Map!$G$2:$G$287,S$1)&gt;0,1,"")</f>
        <v/>
      </c>
      <c r="T42" s="21" t="str">
        <f>IF(COUNTIFS(KPI_Element_Map!$A$2:$A$287,$A42,KPI_Element_Map!$G$2:$G$287,T$1)&gt;0,1,"")</f>
        <v/>
      </c>
      <c r="U42" s="21" t="str">
        <f>IF(COUNTIFS(KPI_Element_Map!$A$2:$A$287,$A42,KPI_Element_Map!$G$2:$G$287,U$1)&gt;0,1,"")</f>
        <v/>
      </c>
      <c r="V42" s="21" t="str">
        <f>IF(COUNTIFS(KPI_Element_Map!$A$2:$A$287,$A42,KPI_Element_Map!$G$2:$G$287,V$1)&gt;0,1,"")</f>
        <v/>
      </c>
      <c r="W42" s="21" t="str">
        <f>IF(COUNTIFS(KPI_Element_Map!$A$2:$A$287,$A42,KPI_Element_Map!$G$2:$G$287,W$1)&gt;0,1,"")</f>
        <v/>
      </c>
      <c r="X42" s="21" t="str">
        <f>IF(COUNTIFS(KPI_Element_Map!$A$2:$A$287,$A42,KPI_Element_Map!$G$2:$G$287,X$1)&gt;0,1,"")</f>
        <v/>
      </c>
      <c r="Y42" s="21" t="str">
        <f>IF(COUNTIFS(KPI_Element_Map!$A$2:$A$287,$A42,KPI_Element_Map!$G$2:$G$287,Y$1)&gt;0,1,"")</f>
        <v/>
      </c>
      <c r="Z42" s="21" t="str">
        <f>IF(COUNTIFS(KPI_Element_Map!$A$2:$A$287,$A42,KPI_Element_Map!$G$2:$G$287,Z$1)&gt;0,1,"")</f>
        <v/>
      </c>
      <c r="AA42" s="21" t="str">
        <f>IF(COUNTIFS(KPI_Element_Map!$A$2:$A$287,$A42,KPI_Element_Map!$G$2:$G$287,AA$1)&gt;0,1,"")</f>
        <v/>
      </c>
      <c r="AB42" s="21" t="str">
        <f>IF(COUNTIFS(KPI_Element_Map!$A$2:$A$287,$A42,KPI_Element_Map!$G$2:$G$287,AB$1)&gt;0,1,"")</f>
        <v/>
      </c>
      <c r="AC42" s="21" t="str">
        <f>IF(COUNTIFS(KPI_Element_Map!$A$2:$A$287,$A42,KPI_Element_Map!$G$2:$G$287,AC$1)&gt;0,1,"")</f>
        <v/>
      </c>
      <c r="AD42" s="21" t="str">
        <f>IF(COUNTIFS(KPI_Element_Map!$A$2:$A$287,$A42,KPI_Element_Map!$G$2:$G$287,AD$1)&gt;0,1,"")</f>
        <v/>
      </c>
      <c r="AE42" s="21" t="str">
        <f>IF(COUNTIFS(KPI_Element_Map!$A$2:$A$287,$A42,KPI_Element_Map!$G$2:$G$287,AE$1)&gt;0,1,"")</f>
        <v/>
      </c>
      <c r="AF42" s="21" t="str">
        <f>IF(COUNTIFS(KPI_Element_Map!$A$2:$A$287,$A42,KPI_Element_Map!$G$2:$G$287,AF$1)&gt;0,1,"")</f>
        <v/>
      </c>
      <c r="AG42" s="21" t="str">
        <f>IF(COUNTIFS(KPI_Element_Map!$A$2:$A$287,$A42,KPI_Element_Map!$G$2:$G$287,AG$1)&gt;0,1,"")</f>
        <v/>
      </c>
      <c r="AH42" s="21" t="str">
        <f>IF(COUNTIFS(KPI_Element_Map!$A$2:$A$287,$A42,KPI_Element_Map!$G$2:$G$287,AH$1)&gt;0,1,"")</f>
        <v/>
      </c>
      <c r="AI42" s="21" t="str">
        <f>IF(COUNTIFS(KPI_Element_Map!$A$2:$A$287,$A42,KPI_Element_Map!$G$2:$G$287,AI$1)&gt;0,1,"")</f>
        <v/>
      </c>
      <c r="AJ42" s="21" t="str">
        <f>IF(COUNTIFS(KPI_Element_Map!$A$2:$A$287,$A42,KPI_Element_Map!$G$2:$G$287,AJ$1)&gt;0,1,"")</f>
        <v/>
      </c>
      <c r="AK42" s="21" t="str">
        <f>IF(COUNTIFS(KPI_Element_Map!$A$2:$A$287,$A42,KPI_Element_Map!$G$2:$G$287,AK$1)&gt;0,1,"")</f>
        <v/>
      </c>
    </row>
    <row r="43" spans="1:37">
      <c r="A43" s="21">
        <v>42</v>
      </c>
      <c r="B43" s="23" t="str">
        <f>INDEX(KPI_Master!$B:$B,MATCH($A43,KPI_Master!$A:$A,0))</f>
        <v>HOUL-11</v>
      </c>
      <c r="C43" s="23" t="str">
        <f>INDEX(KPI_Master!$D:$D,MATCH($A43,KPI_Master!$A:$A,0))</f>
        <v>Square Feet per Housekeeping FTE</v>
      </c>
      <c r="D43" s="23" t="str">
        <f>INDEX(KPI_Master!$K:$K,MATCH($A43,KPI_Master!$A:$A,0))</f>
        <v>3 - Optional</v>
      </c>
      <c r="E43" s="23" t="str">
        <f t="array" ref="E43">_xlfn.TEXTJOIN(", ",TRUE(),IF(KPI_Element_Map!$A$2:$A$287=$A43,KPI_Element_Map!$E$2:$E$287,""))</f>
        <v>E12, E28</v>
      </c>
      <c r="F43" s="21">
        <f t="shared" si="1"/>
        <v>2</v>
      </c>
      <c r="G43" s="21" t="str">
        <f>IF(COUNTIFS(KPI_Element_Map!$A$2:$A$287,$A43,KPI_Element_Map!$G$2:$G$287,G$1)&gt;0,1,"")</f>
        <v/>
      </c>
      <c r="H43" s="21">
        <f>IF(COUNTIFS(KPI_Element_Map!$A$2:$A$287,$A43,KPI_Element_Map!$G$2:$G$287,H$1)&gt;0,1,"")</f>
        <v>1</v>
      </c>
      <c r="I43" s="21" t="str">
        <f>IF(COUNTIFS(KPI_Element_Map!$A$2:$A$287,$A43,KPI_Element_Map!$G$2:$G$287,I$1)&gt;0,1,"")</f>
        <v/>
      </c>
      <c r="J43" s="21" t="str">
        <f>IF(COUNTIFS(KPI_Element_Map!$A$2:$A$287,$A43,KPI_Element_Map!$G$2:$G$287,J$1)&gt;0,1,"")</f>
        <v/>
      </c>
      <c r="K43" s="21" t="str">
        <f>IF(COUNTIFS(KPI_Element_Map!$A$2:$A$287,$A43,KPI_Element_Map!$G$2:$G$287,K$1)&gt;0,1,"")</f>
        <v/>
      </c>
      <c r="L43" s="21">
        <f>IF(COUNTIFS(KPI_Element_Map!$A$2:$A$287,$A43,KPI_Element_Map!$G$2:$G$287,L$1)&gt;0,1,"")</f>
        <v>1</v>
      </c>
      <c r="M43" s="21" t="str">
        <f>IF(COUNTIFS(KPI_Element_Map!$A$2:$A$287,$A43,KPI_Element_Map!$G$2:$G$287,M$1)&gt;0,1,"")</f>
        <v/>
      </c>
      <c r="N43" s="21" t="str">
        <f>IF(COUNTIFS(KPI_Element_Map!$A$2:$A$287,$A43,KPI_Element_Map!$G$2:$G$287,N$1)&gt;0,1,"")</f>
        <v/>
      </c>
      <c r="O43" s="21" t="str">
        <f>IF(COUNTIFS(KPI_Element_Map!$A$2:$A$287,$A43,KPI_Element_Map!$G$2:$G$287,O$1)&gt;0,1,"")</f>
        <v/>
      </c>
      <c r="P43" s="21" t="str">
        <f>IF(COUNTIFS(KPI_Element_Map!$A$2:$A$287,$A43,KPI_Element_Map!$G$2:$G$287,P$1)&gt;0,1,"")</f>
        <v/>
      </c>
      <c r="Q43" s="21" t="str">
        <f>IF(COUNTIFS(KPI_Element_Map!$A$2:$A$287,$A43,KPI_Element_Map!$G$2:$G$287,Q$1)&gt;0,1,"")</f>
        <v/>
      </c>
      <c r="R43" s="21" t="str">
        <f>IF(COUNTIFS(KPI_Element_Map!$A$2:$A$287,$A43,KPI_Element_Map!$G$2:$G$287,R$1)&gt;0,1,"")</f>
        <v/>
      </c>
      <c r="S43" s="21" t="str">
        <f>IF(COUNTIFS(KPI_Element_Map!$A$2:$A$287,$A43,KPI_Element_Map!$G$2:$G$287,S$1)&gt;0,1,"")</f>
        <v/>
      </c>
      <c r="T43" s="21" t="str">
        <f>IF(COUNTIFS(KPI_Element_Map!$A$2:$A$287,$A43,KPI_Element_Map!$G$2:$G$287,T$1)&gt;0,1,"")</f>
        <v/>
      </c>
      <c r="U43" s="21" t="str">
        <f>IF(COUNTIFS(KPI_Element_Map!$A$2:$A$287,$A43,KPI_Element_Map!$G$2:$G$287,U$1)&gt;0,1,"")</f>
        <v/>
      </c>
      <c r="V43" s="21" t="str">
        <f>IF(COUNTIFS(KPI_Element_Map!$A$2:$A$287,$A43,KPI_Element_Map!$G$2:$G$287,V$1)&gt;0,1,"")</f>
        <v/>
      </c>
      <c r="W43" s="21" t="str">
        <f>IF(COUNTIFS(KPI_Element_Map!$A$2:$A$287,$A43,KPI_Element_Map!$G$2:$G$287,W$1)&gt;0,1,"")</f>
        <v/>
      </c>
      <c r="X43" s="21" t="str">
        <f>IF(COUNTIFS(KPI_Element_Map!$A$2:$A$287,$A43,KPI_Element_Map!$G$2:$G$287,X$1)&gt;0,1,"")</f>
        <v/>
      </c>
      <c r="Y43" s="21" t="str">
        <f>IF(COUNTIFS(KPI_Element_Map!$A$2:$A$287,$A43,KPI_Element_Map!$G$2:$G$287,Y$1)&gt;0,1,"")</f>
        <v/>
      </c>
      <c r="Z43" s="21" t="str">
        <f>IF(COUNTIFS(KPI_Element_Map!$A$2:$A$287,$A43,KPI_Element_Map!$G$2:$G$287,Z$1)&gt;0,1,"")</f>
        <v/>
      </c>
      <c r="AA43" s="21" t="str">
        <f>IF(COUNTIFS(KPI_Element_Map!$A$2:$A$287,$A43,KPI_Element_Map!$G$2:$G$287,AA$1)&gt;0,1,"")</f>
        <v/>
      </c>
      <c r="AB43" s="21" t="str">
        <f>IF(COUNTIFS(KPI_Element_Map!$A$2:$A$287,$A43,KPI_Element_Map!$G$2:$G$287,AB$1)&gt;0,1,"")</f>
        <v/>
      </c>
      <c r="AC43" s="21" t="str">
        <f>IF(COUNTIFS(KPI_Element_Map!$A$2:$A$287,$A43,KPI_Element_Map!$G$2:$G$287,AC$1)&gt;0,1,"")</f>
        <v/>
      </c>
      <c r="AD43" s="21" t="str">
        <f>IF(COUNTIFS(KPI_Element_Map!$A$2:$A$287,$A43,KPI_Element_Map!$G$2:$G$287,AD$1)&gt;0,1,"")</f>
        <v/>
      </c>
      <c r="AE43" s="21" t="str">
        <f>IF(COUNTIFS(KPI_Element_Map!$A$2:$A$287,$A43,KPI_Element_Map!$G$2:$G$287,AE$1)&gt;0,1,"")</f>
        <v/>
      </c>
      <c r="AF43" s="21" t="str">
        <f>IF(COUNTIFS(KPI_Element_Map!$A$2:$A$287,$A43,KPI_Element_Map!$G$2:$G$287,AF$1)&gt;0,1,"")</f>
        <v/>
      </c>
      <c r="AG43" s="21" t="str">
        <f>IF(COUNTIFS(KPI_Element_Map!$A$2:$A$287,$A43,KPI_Element_Map!$G$2:$G$287,AG$1)&gt;0,1,"")</f>
        <v/>
      </c>
      <c r="AH43" s="21" t="str">
        <f>IF(COUNTIFS(KPI_Element_Map!$A$2:$A$287,$A43,KPI_Element_Map!$G$2:$G$287,AH$1)&gt;0,1,"")</f>
        <v/>
      </c>
      <c r="AI43" s="21" t="str">
        <f>IF(COUNTIFS(KPI_Element_Map!$A$2:$A$287,$A43,KPI_Element_Map!$G$2:$G$287,AI$1)&gt;0,1,"")</f>
        <v/>
      </c>
      <c r="AJ43" s="21" t="str">
        <f>IF(COUNTIFS(KPI_Element_Map!$A$2:$A$287,$A43,KPI_Element_Map!$G$2:$G$287,AJ$1)&gt;0,1,"")</f>
        <v/>
      </c>
      <c r="AK43" s="21" t="str">
        <f>IF(COUNTIFS(KPI_Element_Map!$A$2:$A$287,$A43,KPI_Element_Map!$G$2:$G$287,AK$1)&gt;0,1,"")</f>
        <v/>
      </c>
    </row>
    <row r="44" spans="1:37">
      <c r="A44" s="21">
        <v>43</v>
      </c>
      <c r="B44" s="23" t="str">
        <f>INDEX(KPI_Master!$B:$B,MATCH($A44,KPI_Master!$A:$A,0))</f>
        <v>HOUL-12</v>
      </c>
      <c r="C44" s="23" t="str">
        <f>INDEX(KPI_Master!$D:$D,MATCH($A44,KPI_Master!$A:$A,0))</f>
        <v>Laundry Pounds per Labor Hour</v>
      </c>
      <c r="D44" s="23" t="str">
        <f>INDEX(KPI_Master!$K:$K,MATCH($A44,KPI_Master!$A:$A,0))</f>
        <v>3 - Optional</v>
      </c>
      <c r="E44" s="23" t="str">
        <f t="array" ref="E44">_xlfn.TEXTJOIN(", ",TRUE(),IF(KPI_Element_Map!$A$2:$A$287=$A44,KPI_Element_Map!$E$2:$E$287,""))</f>
        <v>E48, E26</v>
      </c>
      <c r="F44" s="21">
        <f t="shared" si="1"/>
        <v>2</v>
      </c>
      <c r="G44" s="21" t="str">
        <f>IF(COUNTIFS(KPI_Element_Map!$A$2:$A$287,$A44,KPI_Element_Map!$G$2:$G$287,G$1)&gt;0,1,"")</f>
        <v/>
      </c>
      <c r="H44" s="21" t="str">
        <f>IF(COUNTIFS(KPI_Element_Map!$A$2:$A$287,$A44,KPI_Element_Map!$G$2:$G$287,H$1)&gt;0,1,"")</f>
        <v/>
      </c>
      <c r="I44" s="21" t="str">
        <f>IF(COUNTIFS(KPI_Element_Map!$A$2:$A$287,$A44,KPI_Element_Map!$G$2:$G$287,I$1)&gt;0,1,"")</f>
        <v/>
      </c>
      <c r="J44" s="21" t="str">
        <f>IF(COUNTIFS(KPI_Element_Map!$A$2:$A$287,$A44,KPI_Element_Map!$G$2:$G$287,J$1)&gt;0,1,"")</f>
        <v/>
      </c>
      <c r="K44" s="21" t="str">
        <f>IF(COUNTIFS(KPI_Element_Map!$A$2:$A$287,$A44,KPI_Element_Map!$G$2:$G$287,K$1)&gt;0,1,"")</f>
        <v/>
      </c>
      <c r="L44" s="21">
        <f>IF(COUNTIFS(KPI_Element_Map!$A$2:$A$287,$A44,KPI_Element_Map!$G$2:$G$287,L$1)&gt;0,1,"")</f>
        <v>1</v>
      </c>
      <c r="M44" s="21" t="str">
        <f>IF(COUNTIFS(KPI_Element_Map!$A$2:$A$287,$A44,KPI_Element_Map!$G$2:$G$287,M$1)&gt;0,1,"")</f>
        <v/>
      </c>
      <c r="N44" s="21" t="str">
        <f>IF(COUNTIFS(KPI_Element_Map!$A$2:$A$287,$A44,KPI_Element_Map!$G$2:$G$287,N$1)&gt;0,1,"")</f>
        <v/>
      </c>
      <c r="O44" s="21" t="str">
        <f>IF(COUNTIFS(KPI_Element_Map!$A$2:$A$287,$A44,KPI_Element_Map!$G$2:$G$287,O$1)&gt;0,1,"")</f>
        <v/>
      </c>
      <c r="P44" s="21" t="str">
        <f>IF(COUNTIFS(KPI_Element_Map!$A$2:$A$287,$A44,KPI_Element_Map!$G$2:$G$287,P$1)&gt;0,1,"")</f>
        <v/>
      </c>
      <c r="Q44" s="21" t="str">
        <f>IF(COUNTIFS(KPI_Element_Map!$A$2:$A$287,$A44,KPI_Element_Map!$G$2:$G$287,Q$1)&gt;0,1,"")</f>
        <v/>
      </c>
      <c r="R44" s="21" t="str">
        <f>IF(COUNTIFS(KPI_Element_Map!$A$2:$A$287,$A44,KPI_Element_Map!$G$2:$G$287,R$1)&gt;0,1,"")</f>
        <v/>
      </c>
      <c r="S44" s="21" t="str">
        <f>IF(COUNTIFS(KPI_Element_Map!$A$2:$A$287,$A44,KPI_Element_Map!$G$2:$G$287,S$1)&gt;0,1,"")</f>
        <v/>
      </c>
      <c r="T44" s="21" t="str">
        <f>IF(COUNTIFS(KPI_Element_Map!$A$2:$A$287,$A44,KPI_Element_Map!$G$2:$G$287,T$1)&gt;0,1,"")</f>
        <v/>
      </c>
      <c r="U44" s="21" t="str">
        <f>IF(COUNTIFS(KPI_Element_Map!$A$2:$A$287,$A44,KPI_Element_Map!$G$2:$G$287,U$1)&gt;0,1,"")</f>
        <v/>
      </c>
      <c r="V44" s="21" t="str">
        <f>IF(COUNTIFS(KPI_Element_Map!$A$2:$A$287,$A44,KPI_Element_Map!$G$2:$G$287,V$1)&gt;0,1,"")</f>
        <v/>
      </c>
      <c r="W44" s="21" t="str">
        <f>IF(COUNTIFS(KPI_Element_Map!$A$2:$A$287,$A44,KPI_Element_Map!$G$2:$G$287,W$1)&gt;0,1,"")</f>
        <v/>
      </c>
      <c r="X44" s="21" t="str">
        <f>IF(COUNTIFS(KPI_Element_Map!$A$2:$A$287,$A44,KPI_Element_Map!$G$2:$G$287,X$1)&gt;0,1,"")</f>
        <v/>
      </c>
      <c r="Y44" s="21" t="str">
        <f>IF(COUNTIFS(KPI_Element_Map!$A$2:$A$287,$A44,KPI_Element_Map!$G$2:$G$287,Y$1)&gt;0,1,"")</f>
        <v/>
      </c>
      <c r="Z44" s="21" t="str">
        <f>IF(COUNTIFS(KPI_Element_Map!$A$2:$A$287,$A44,KPI_Element_Map!$G$2:$G$287,Z$1)&gt;0,1,"")</f>
        <v/>
      </c>
      <c r="AA44" s="21" t="str">
        <f>IF(COUNTIFS(KPI_Element_Map!$A$2:$A$287,$A44,KPI_Element_Map!$G$2:$G$287,AA$1)&gt;0,1,"")</f>
        <v/>
      </c>
      <c r="AB44" s="21" t="str">
        <f>IF(COUNTIFS(KPI_Element_Map!$A$2:$A$287,$A44,KPI_Element_Map!$G$2:$G$287,AB$1)&gt;0,1,"")</f>
        <v/>
      </c>
      <c r="AC44" s="21">
        <f>IF(COUNTIFS(KPI_Element_Map!$A$2:$A$287,$A44,KPI_Element_Map!$G$2:$G$287,AC$1)&gt;0,1,"")</f>
        <v>1</v>
      </c>
      <c r="AD44" s="21" t="str">
        <f>IF(COUNTIFS(KPI_Element_Map!$A$2:$A$287,$A44,KPI_Element_Map!$G$2:$G$287,AD$1)&gt;0,1,"")</f>
        <v/>
      </c>
      <c r="AE44" s="21" t="str">
        <f>IF(COUNTIFS(KPI_Element_Map!$A$2:$A$287,$A44,KPI_Element_Map!$G$2:$G$287,AE$1)&gt;0,1,"")</f>
        <v/>
      </c>
      <c r="AF44" s="21" t="str">
        <f>IF(COUNTIFS(KPI_Element_Map!$A$2:$A$287,$A44,KPI_Element_Map!$G$2:$G$287,AF$1)&gt;0,1,"")</f>
        <v/>
      </c>
      <c r="AG44" s="21" t="str">
        <f>IF(COUNTIFS(KPI_Element_Map!$A$2:$A$287,$A44,KPI_Element_Map!$G$2:$G$287,AG$1)&gt;0,1,"")</f>
        <v/>
      </c>
      <c r="AH44" s="21" t="str">
        <f>IF(COUNTIFS(KPI_Element_Map!$A$2:$A$287,$A44,KPI_Element_Map!$G$2:$G$287,AH$1)&gt;0,1,"")</f>
        <v/>
      </c>
      <c r="AI44" s="21" t="str">
        <f>IF(COUNTIFS(KPI_Element_Map!$A$2:$A$287,$A44,KPI_Element_Map!$G$2:$G$287,AI$1)&gt;0,1,"")</f>
        <v/>
      </c>
      <c r="AJ44" s="21" t="str">
        <f>IF(COUNTIFS(KPI_Element_Map!$A$2:$A$287,$A44,KPI_Element_Map!$G$2:$G$287,AJ$1)&gt;0,1,"")</f>
        <v/>
      </c>
      <c r="AK44" s="21" t="str">
        <f>IF(COUNTIFS(KPI_Element_Map!$A$2:$A$287,$A44,KPI_Element_Map!$G$2:$G$287,AK$1)&gt;0,1,"")</f>
        <v/>
      </c>
    </row>
    <row r="45" spans="1:37">
      <c r="A45" s="21">
        <v>44</v>
      </c>
      <c r="B45" s="23" t="str">
        <f>INDEX(KPI_Master!$B:$B,MATCH($A45,KPI_Master!$A:$A,0))</f>
        <v>HRP-01</v>
      </c>
      <c r="C45" s="23" t="str">
        <f>INDEX(KPI_Master!$D:$D,MATCH($A45,KPI_Master!$A:$A,0))</f>
        <v>Voluntary Turnover Rate</v>
      </c>
      <c r="D45" s="23" t="str">
        <f>INDEX(KPI_Master!$K:$K,MATCH($A45,KPI_Master!$A:$A,0))</f>
        <v>2 - Standard</v>
      </c>
      <c r="E45" s="23" t="str">
        <f t="array" ref="E45">_xlfn.TEXTJOIN(", ",TRUE(),IF(KPI_Element_Map!$A$2:$A$287=$A45,KPI_Element_Map!$E$2:$E$287,""))</f>
        <v>E31, E30</v>
      </c>
      <c r="F45" s="21">
        <f t="shared" si="1"/>
        <v>1</v>
      </c>
      <c r="G45" s="21" t="str">
        <f>IF(COUNTIFS(KPI_Element_Map!$A$2:$A$287,$A45,KPI_Element_Map!$G$2:$G$287,G$1)&gt;0,1,"")</f>
        <v/>
      </c>
      <c r="H45" s="21" t="str">
        <f>IF(COUNTIFS(KPI_Element_Map!$A$2:$A$287,$A45,KPI_Element_Map!$G$2:$G$287,H$1)&gt;0,1,"")</f>
        <v/>
      </c>
      <c r="I45" s="21" t="str">
        <f>IF(COUNTIFS(KPI_Element_Map!$A$2:$A$287,$A45,KPI_Element_Map!$G$2:$G$287,I$1)&gt;0,1,"")</f>
        <v/>
      </c>
      <c r="J45" s="21" t="str">
        <f>IF(COUNTIFS(KPI_Element_Map!$A$2:$A$287,$A45,KPI_Element_Map!$G$2:$G$287,J$1)&gt;0,1,"")</f>
        <v/>
      </c>
      <c r="K45" s="21" t="str">
        <f>IF(COUNTIFS(KPI_Element_Map!$A$2:$A$287,$A45,KPI_Element_Map!$G$2:$G$287,K$1)&gt;0,1,"")</f>
        <v/>
      </c>
      <c r="L45" s="21" t="str">
        <f>IF(COUNTIFS(KPI_Element_Map!$A$2:$A$287,$A45,KPI_Element_Map!$G$2:$G$287,L$1)&gt;0,1,"")</f>
        <v/>
      </c>
      <c r="M45" s="21" t="str">
        <f>IF(COUNTIFS(KPI_Element_Map!$A$2:$A$287,$A45,KPI_Element_Map!$G$2:$G$287,M$1)&gt;0,1,"")</f>
        <v/>
      </c>
      <c r="N45" s="21">
        <f>IF(COUNTIFS(KPI_Element_Map!$A$2:$A$287,$A45,KPI_Element_Map!$G$2:$G$287,N$1)&gt;0,1,"")</f>
        <v>1</v>
      </c>
      <c r="O45" s="21" t="str">
        <f>IF(COUNTIFS(KPI_Element_Map!$A$2:$A$287,$A45,KPI_Element_Map!$G$2:$G$287,O$1)&gt;0,1,"")</f>
        <v/>
      </c>
      <c r="P45" s="21" t="str">
        <f>IF(COUNTIFS(KPI_Element_Map!$A$2:$A$287,$A45,KPI_Element_Map!$G$2:$G$287,P$1)&gt;0,1,"")</f>
        <v/>
      </c>
      <c r="Q45" s="21" t="str">
        <f>IF(COUNTIFS(KPI_Element_Map!$A$2:$A$287,$A45,KPI_Element_Map!$G$2:$G$287,Q$1)&gt;0,1,"")</f>
        <v/>
      </c>
      <c r="R45" s="21" t="str">
        <f>IF(COUNTIFS(KPI_Element_Map!$A$2:$A$287,$A45,KPI_Element_Map!$G$2:$G$287,R$1)&gt;0,1,"")</f>
        <v/>
      </c>
      <c r="S45" s="21" t="str">
        <f>IF(COUNTIFS(KPI_Element_Map!$A$2:$A$287,$A45,KPI_Element_Map!$G$2:$G$287,S$1)&gt;0,1,"")</f>
        <v/>
      </c>
      <c r="T45" s="21" t="str">
        <f>IF(COUNTIFS(KPI_Element_Map!$A$2:$A$287,$A45,KPI_Element_Map!$G$2:$G$287,T$1)&gt;0,1,"")</f>
        <v/>
      </c>
      <c r="U45" s="21" t="str">
        <f>IF(COUNTIFS(KPI_Element_Map!$A$2:$A$287,$A45,KPI_Element_Map!$G$2:$G$287,U$1)&gt;0,1,"")</f>
        <v/>
      </c>
      <c r="V45" s="21" t="str">
        <f>IF(COUNTIFS(KPI_Element_Map!$A$2:$A$287,$A45,KPI_Element_Map!$G$2:$G$287,V$1)&gt;0,1,"")</f>
        <v/>
      </c>
      <c r="W45" s="21" t="str">
        <f>IF(COUNTIFS(KPI_Element_Map!$A$2:$A$287,$A45,KPI_Element_Map!$G$2:$G$287,W$1)&gt;0,1,"")</f>
        <v/>
      </c>
      <c r="X45" s="21" t="str">
        <f>IF(COUNTIFS(KPI_Element_Map!$A$2:$A$287,$A45,KPI_Element_Map!$G$2:$G$287,X$1)&gt;0,1,"")</f>
        <v/>
      </c>
      <c r="Y45" s="21" t="str">
        <f>IF(COUNTIFS(KPI_Element_Map!$A$2:$A$287,$A45,KPI_Element_Map!$G$2:$G$287,Y$1)&gt;0,1,"")</f>
        <v/>
      </c>
      <c r="Z45" s="21" t="str">
        <f>IF(COUNTIFS(KPI_Element_Map!$A$2:$A$287,$A45,KPI_Element_Map!$G$2:$G$287,Z$1)&gt;0,1,"")</f>
        <v/>
      </c>
      <c r="AA45" s="21" t="str">
        <f>IF(COUNTIFS(KPI_Element_Map!$A$2:$A$287,$A45,KPI_Element_Map!$G$2:$G$287,AA$1)&gt;0,1,"")</f>
        <v/>
      </c>
      <c r="AB45" s="21" t="str">
        <f>IF(COUNTIFS(KPI_Element_Map!$A$2:$A$287,$A45,KPI_Element_Map!$G$2:$G$287,AB$1)&gt;0,1,"")</f>
        <v/>
      </c>
      <c r="AC45" s="21" t="str">
        <f>IF(COUNTIFS(KPI_Element_Map!$A$2:$A$287,$A45,KPI_Element_Map!$G$2:$G$287,AC$1)&gt;0,1,"")</f>
        <v/>
      </c>
      <c r="AD45" s="21" t="str">
        <f>IF(COUNTIFS(KPI_Element_Map!$A$2:$A$287,$A45,KPI_Element_Map!$G$2:$G$287,AD$1)&gt;0,1,"")</f>
        <v/>
      </c>
      <c r="AE45" s="21" t="str">
        <f>IF(COUNTIFS(KPI_Element_Map!$A$2:$A$287,$A45,KPI_Element_Map!$G$2:$G$287,AE$1)&gt;0,1,"")</f>
        <v/>
      </c>
      <c r="AF45" s="21" t="str">
        <f>IF(COUNTIFS(KPI_Element_Map!$A$2:$A$287,$A45,KPI_Element_Map!$G$2:$G$287,AF$1)&gt;0,1,"")</f>
        <v/>
      </c>
      <c r="AG45" s="21" t="str">
        <f>IF(COUNTIFS(KPI_Element_Map!$A$2:$A$287,$A45,KPI_Element_Map!$G$2:$G$287,AG$1)&gt;0,1,"")</f>
        <v/>
      </c>
      <c r="AH45" s="21" t="str">
        <f>IF(COUNTIFS(KPI_Element_Map!$A$2:$A$287,$A45,KPI_Element_Map!$G$2:$G$287,AH$1)&gt;0,1,"")</f>
        <v/>
      </c>
      <c r="AI45" s="21" t="str">
        <f>IF(COUNTIFS(KPI_Element_Map!$A$2:$A$287,$A45,KPI_Element_Map!$G$2:$G$287,AI$1)&gt;0,1,"")</f>
        <v/>
      </c>
      <c r="AJ45" s="21" t="str">
        <f>IF(COUNTIFS(KPI_Element_Map!$A$2:$A$287,$A45,KPI_Element_Map!$G$2:$G$287,AJ$1)&gt;0,1,"")</f>
        <v/>
      </c>
      <c r="AK45" s="21" t="str">
        <f>IF(COUNTIFS(KPI_Element_Map!$A$2:$A$287,$A45,KPI_Element_Map!$G$2:$G$287,AK$1)&gt;0,1,"")</f>
        <v/>
      </c>
    </row>
    <row r="46" spans="1:37">
      <c r="A46" s="21">
        <v>45</v>
      </c>
      <c r="B46" s="23" t="str">
        <f>INDEX(KPI_Master!$B:$B,MATCH($A46,KPI_Master!$A:$A,0))</f>
        <v>HRP-02</v>
      </c>
      <c r="C46" s="23" t="str">
        <f>INDEX(KPI_Master!$D:$D,MATCH($A46,KPI_Master!$A:$A,0))</f>
        <v>Total Turnover Rate</v>
      </c>
      <c r="D46" s="23" t="str">
        <f>INDEX(KPI_Master!$K:$K,MATCH($A46,KPI_Master!$A:$A,0))</f>
        <v>1 - Core</v>
      </c>
      <c r="E46" s="23" t="str">
        <f t="array" ref="E46">_xlfn.TEXTJOIN(", ",TRUE(),IF(KPI_Element_Map!$A$2:$A$287=$A46,KPI_Element_Map!$E$2:$E$287,""))</f>
        <v>E31, E30</v>
      </c>
      <c r="F46" s="21">
        <f t="shared" si="1"/>
        <v>1</v>
      </c>
      <c r="G46" s="21" t="str">
        <f>IF(COUNTIFS(KPI_Element_Map!$A$2:$A$287,$A46,KPI_Element_Map!$G$2:$G$287,G$1)&gt;0,1,"")</f>
        <v/>
      </c>
      <c r="H46" s="21" t="str">
        <f>IF(COUNTIFS(KPI_Element_Map!$A$2:$A$287,$A46,KPI_Element_Map!$G$2:$G$287,H$1)&gt;0,1,"")</f>
        <v/>
      </c>
      <c r="I46" s="21" t="str">
        <f>IF(COUNTIFS(KPI_Element_Map!$A$2:$A$287,$A46,KPI_Element_Map!$G$2:$G$287,I$1)&gt;0,1,"")</f>
        <v/>
      </c>
      <c r="J46" s="21" t="str">
        <f>IF(COUNTIFS(KPI_Element_Map!$A$2:$A$287,$A46,KPI_Element_Map!$G$2:$G$287,J$1)&gt;0,1,"")</f>
        <v/>
      </c>
      <c r="K46" s="21" t="str">
        <f>IF(COUNTIFS(KPI_Element_Map!$A$2:$A$287,$A46,KPI_Element_Map!$G$2:$G$287,K$1)&gt;0,1,"")</f>
        <v/>
      </c>
      <c r="L46" s="21" t="str">
        <f>IF(COUNTIFS(KPI_Element_Map!$A$2:$A$287,$A46,KPI_Element_Map!$G$2:$G$287,L$1)&gt;0,1,"")</f>
        <v/>
      </c>
      <c r="M46" s="21" t="str">
        <f>IF(COUNTIFS(KPI_Element_Map!$A$2:$A$287,$A46,KPI_Element_Map!$G$2:$G$287,M$1)&gt;0,1,"")</f>
        <v/>
      </c>
      <c r="N46" s="21">
        <f>IF(COUNTIFS(KPI_Element_Map!$A$2:$A$287,$A46,KPI_Element_Map!$G$2:$G$287,N$1)&gt;0,1,"")</f>
        <v>1</v>
      </c>
      <c r="O46" s="21" t="str">
        <f>IF(COUNTIFS(KPI_Element_Map!$A$2:$A$287,$A46,KPI_Element_Map!$G$2:$G$287,O$1)&gt;0,1,"")</f>
        <v/>
      </c>
      <c r="P46" s="21" t="str">
        <f>IF(COUNTIFS(KPI_Element_Map!$A$2:$A$287,$A46,KPI_Element_Map!$G$2:$G$287,P$1)&gt;0,1,"")</f>
        <v/>
      </c>
      <c r="Q46" s="21" t="str">
        <f>IF(COUNTIFS(KPI_Element_Map!$A$2:$A$287,$A46,KPI_Element_Map!$G$2:$G$287,Q$1)&gt;0,1,"")</f>
        <v/>
      </c>
      <c r="R46" s="21" t="str">
        <f>IF(COUNTIFS(KPI_Element_Map!$A$2:$A$287,$A46,KPI_Element_Map!$G$2:$G$287,R$1)&gt;0,1,"")</f>
        <v/>
      </c>
      <c r="S46" s="21" t="str">
        <f>IF(COUNTIFS(KPI_Element_Map!$A$2:$A$287,$A46,KPI_Element_Map!$G$2:$G$287,S$1)&gt;0,1,"")</f>
        <v/>
      </c>
      <c r="T46" s="21" t="str">
        <f>IF(COUNTIFS(KPI_Element_Map!$A$2:$A$287,$A46,KPI_Element_Map!$G$2:$G$287,T$1)&gt;0,1,"")</f>
        <v/>
      </c>
      <c r="U46" s="21" t="str">
        <f>IF(COUNTIFS(KPI_Element_Map!$A$2:$A$287,$A46,KPI_Element_Map!$G$2:$G$287,U$1)&gt;0,1,"")</f>
        <v/>
      </c>
      <c r="V46" s="21" t="str">
        <f>IF(COUNTIFS(KPI_Element_Map!$A$2:$A$287,$A46,KPI_Element_Map!$G$2:$G$287,V$1)&gt;0,1,"")</f>
        <v/>
      </c>
      <c r="W46" s="21" t="str">
        <f>IF(COUNTIFS(KPI_Element_Map!$A$2:$A$287,$A46,KPI_Element_Map!$G$2:$G$287,W$1)&gt;0,1,"")</f>
        <v/>
      </c>
      <c r="X46" s="21" t="str">
        <f>IF(COUNTIFS(KPI_Element_Map!$A$2:$A$287,$A46,KPI_Element_Map!$G$2:$G$287,X$1)&gt;0,1,"")</f>
        <v/>
      </c>
      <c r="Y46" s="21" t="str">
        <f>IF(COUNTIFS(KPI_Element_Map!$A$2:$A$287,$A46,KPI_Element_Map!$G$2:$G$287,Y$1)&gt;0,1,"")</f>
        <v/>
      </c>
      <c r="Z46" s="21" t="str">
        <f>IF(COUNTIFS(KPI_Element_Map!$A$2:$A$287,$A46,KPI_Element_Map!$G$2:$G$287,Z$1)&gt;0,1,"")</f>
        <v/>
      </c>
      <c r="AA46" s="21" t="str">
        <f>IF(COUNTIFS(KPI_Element_Map!$A$2:$A$287,$A46,KPI_Element_Map!$G$2:$G$287,AA$1)&gt;0,1,"")</f>
        <v/>
      </c>
      <c r="AB46" s="21" t="str">
        <f>IF(COUNTIFS(KPI_Element_Map!$A$2:$A$287,$A46,KPI_Element_Map!$G$2:$G$287,AB$1)&gt;0,1,"")</f>
        <v/>
      </c>
      <c r="AC46" s="21" t="str">
        <f>IF(COUNTIFS(KPI_Element_Map!$A$2:$A$287,$A46,KPI_Element_Map!$G$2:$G$287,AC$1)&gt;0,1,"")</f>
        <v/>
      </c>
      <c r="AD46" s="21" t="str">
        <f>IF(COUNTIFS(KPI_Element_Map!$A$2:$A$287,$A46,KPI_Element_Map!$G$2:$G$287,AD$1)&gt;0,1,"")</f>
        <v/>
      </c>
      <c r="AE46" s="21" t="str">
        <f>IF(COUNTIFS(KPI_Element_Map!$A$2:$A$287,$A46,KPI_Element_Map!$G$2:$G$287,AE$1)&gt;0,1,"")</f>
        <v/>
      </c>
      <c r="AF46" s="21" t="str">
        <f>IF(COUNTIFS(KPI_Element_Map!$A$2:$A$287,$A46,KPI_Element_Map!$G$2:$G$287,AF$1)&gt;0,1,"")</f>
        <v/>
      </c>
      <c r="AG46" s="21" t="str">
        <f>IF(COUNTIFS(KPI_Element_Map!$A$2:$A$287,$A46,KPI_Element_Map!$G$2:$G$287,AG$1)&gt;0,1,"")</f>
        <v/>
      </c>
      <c r="AH46" s="21" t="str">
        <f>IF(COUNTIFS(KPI_Element_Map!$A$2:$A$287,$A46,KPI_Element_Map!$G$2:$G$287,AH$1)&gt;0,1,"")</f>
        <v/>
      </c>
      <c r="AI46" s="21" t="str">
        <f>IF(COUNTIFS(KPI_Element_Map!$A$2:$A$287,$A46,KPI_Element_Map!$G$2:$G$287,AI$1)&gt;0,1,"")</f>
        <v/>
      </c>
      <c r="AJ46" s="21" t="str">
        <f>IF(COUNTIFS(KPI_Element_Map!$A$2:$A$287,$A46,KPI_Element_Map!$G$2:$G$287,AJ$1)&gt;0,1,"")</f>
        <v/>
      </c>
      <c r="AK46" s="21" t="str">
        <f>IF(COUNTIFS(KPI_Element_Map!$A$2:$A$287,$A46,KPI_Element_Map!$G$2:$G$287,AK$1)&gt;0,1,"")</f>
        <v/>
      </c>
    </row>
    <row r="47" spans="1:37">
      <c r="A47" s="21">
        <v>46</v>
      </c>
      <c r="B47" s="23" t="str">
        <f>INDEX(KPI_Master!$B:$B,MATCH($A47,KPI_Master!$A:$A,0))</f>
        <v>HRP-03</v>
      </c>
      <c r="C47" s="23" t="str">
        <f>INDEX(KPI_Master!$D:$D,MATCH($A47,KPI_Master!$A:$A,0))</f>
        <v>90-Day New Hire Retention Rate</v>
      </c>
      <c r="D47" s="23" t="str">
        <f>INDEX(KPI_Master!$K:$K,MATCH($A47,KPI_Master!$A:$A,0))</f>
        <v>1 - Core</v>
      </c>
      <c r="E47" s="23" t="str">
        <f t="array" ref="E47">_xlfn.TEXTJOIN(", ",TRUE(),IF(KPI_Element_Map!$A$2:$A$287=$A47,KPI_Element_Map!$E$2:$E$287,""))</f>
        <v>E32, E31</v>
      </c>
      <c r="F47" s="21">
        <f t="shared" si="1"/>
        <v>1</v>
      </c>
      <c r="G47" s="21" t="str">
        <f>IF(COUNTIFS(KPI_Element_Map!$A$2:$A$287,$A47,KPI_Element_Map!$G$2:$G$287,G$1)&gt;0,1,"")</f>
        <v/>
      </c>
      <c r="H47" s="21" t="str">
        <f>IF(COUNTIFS(KPI_Element_Map!$A$2:$A$287,$A47,KPI_Element_Map!$G$2:$G$287,H$1)&gt;0,1,"")</f>
        <v/>
      </c>
      <c r="I47" s="21" t="str">
        <f>IF(COUNTIFS(KPI_Element_Map!$A$2:$A$287,$A47,KPI_Element_Map!$G$2:$G$287,I$1)&gt;0,1,"")</f>
        <v/>
      </c>
      <c r="J47" s="21" t="str">
        <f>IF(COUNTIFS(KPI_Element_Map!$A$2:$A$287,$A47,KPI_Element_Map!$G$2:$G$287,J$1)&gt;0,1,"")</f>
        <v/>
      </c>
      <c r="K47" s="21" t="str">
        <f>IF(COUNTIFS(KPI_Element_Map!$A$2:$A$287,$A47,KPI_Element_Map!$G$2:$G$287,K$1)&gt;0,1,"")</f>
        <v/>
      </c>
      <c r="L47" s="21" t="str">
        <f>IF(COUNTIFS(KPI_Element_Map!$A$2:$A$287,$A47,KPI_Element_Map!$G$2:$G$287,L$1)&gt;0,1,"")</f>
        <v/>
      </c>
      <c r="M47" s="21" t="str">
        <f>IF(COUNTIFS(KPI_Element_Map!$A$2:$A$287,$A47,KPI_Element_Map!$G$2:$G$287,M$1)&gt;0,1,"")</f>
        <v/>
      </c>
      <c r="N47" s="21">
        <f>IF(COUNTIFS(KPI_Element_Map!$A$2:$A$287,$A47,KPI_Element_Map!$G$2:$G$287,N$1)&gt;0,1,"")</f>
        <v>1</v>
      </c>
      <c r="O47" s="21" t="str">
        <f>IF(COUNTIFS(KPI_Element_Map!$A$2:$A$287,$A47,KPI_Element_Map!$G$2:$G$287,O$1)&gt;0,1,"")</f>
        <v/>
      </c>
      <c r="P47" s="21" t="str">
        <f>IF(COUNTIFS(KPI_Element_Map!$A$2:$A$287,$A47,KPI_Element_Map!$G$2:$G$287,P$1)&gt;0,1,"")</f>
        <v/>
      </c>
      <c r="Q47" s="21" t="str">
        <f>IF(COUNTIFS(KPI_Element_Map!$A$2:$A$287,$A47,KPI_Element_Map!$G$2:$G$287,Q$1)&gt;0,1,"")</f>
        <v/>
      </c>
      <c r="R47" s="21" t="str">
        <f>IF(COUNTIFS(KPI_Element_Map!$A$2:$A$287,$A47,KPI_Element_Map!$G$2:$G$287,R$1)&gt;0,1,"")</f>
        <v/>
      </c>
      <c r="S47" s="21" t="str">
        <f>IF(COUNTIFS(KPI_Element_Map!$A$2:$A$287,$A47,KPI_Element_Map!$G$2:$G$287,S$1)&gt;0,1,"")</f>
        <v/>
      </c>
      <c r="T47" s="21" t="str">
        <f>IF(COUNTIFS(KPI_Element_Map!$A$2:$A$287,$A47,KPI_Element_Map!$G$2:$G$287,T$1)&gt;0,1,"")</f>
        <v/>
      </c>
      <c r="U47" s="21" t="str">
        <f>IF(COUNTIFS(KPI_Element_Map!$A$2:$A$287,$A47,KPI_Element_Map!$G$2:$G$287,U$1)&gt;0,1,"")</f>
        <v/>
      </c>
      <c r="V47" s="21" t="str">
        <f>IF(COUNTIFS(KPI_Element_Map!$A$2:$A$287,$A47,KPI_Element_Map!$G$2:$G$287,V$1)&gt;0,1,"")</f>
        <v/>
      </c>
      <c r="W47" s="21" t="str">
        <f>IF(COUNTIFS(KPI_Element_Map!$A$2:$A$287,$A47,KPI_Element_Map!$G$2:$G$287,W$1)&gt;0,1,"")</f>
        <v/>
      </c>
      <c r="X47" s="21" t="str">
        <f>IF(COUNTIFS(KPI_Element_Map!$A$2:$A$287,$A47,KPI_Element_Map!$G$2:$G$287,X$1)&gt;0,1,"")</f>
        <v/>
      </c>
      <c r="Y47" s="21" t="str">
        <f>IF(COUNTIFS(KPI_Element_Map!$A$2:$A$287,$A47,KPI_Element_Map!$G$2:$G$287,Y$1)&gt;0,1,"")</f>
        <v/>
      </c>
      <c r="Z47" s="21" t="str">
        <f>IF(COUNTIFS(KPI_Element_Map!$A$2:$A$287,$A47,KPI_Element_Map!$G$2:$G$287,Z$1)&gt;0,1,"")</f>
        <v/>
      </c>
      <c r="AA47" s="21" t="str">
        <f>IF(COUNTIFS(KPI_Element_Map!$A$2:$A$287,$A47,KPI_Element_Map!$G$2:$G$287,AA$1)&gt;0,1,"")</f>
        <v/>
      </c>
      <c r="AB47" s="21" t="str">
        <f>IF(COUNTIFS(KPI_Element_Map!$A$2:$A$287,$A47,KPI_Element_Map!$G$2:$G$287,AB$1)&gt;0,1,"")</f>
        <v/>
      </c>
      <c r="AC47" s="21" t="str">
        <f>IF(COUNTIFS(KPI_Element_Map!$A$2:$A$287,$A47,KPI_Element_Map!$G$2:$G$287,AC$1)&gt;0,1,"")</f>
        <v/>
      </c>
      <c r="AD47" s="21" t="str">
        <f>IF(COUNTIFS(KPI_Element_Map!$A$2:$A$287,$A47,KPI_Element_Map!$G$2:$G$287,AD$1)&gt;0,1,"")</f>
        <v/>
      </c>
      <c r="AE47" s="21" t="str">
        <f>IF(COUNTIFS(KPI_Element_Map!$A$2:$A$287,$A47,KPI_Element_Map!$G$2:$G$287,AE$1)&gt;0,1,"")</f>
        <v/>
      </c>
      <c r="AF47" s="21" t="str">
        <f>IF(COUNTIFS(KPI_Element_Map!$A$2:$A$287,$A47,KPI_Element_Map!$G$2:$G$287,AF$1)&gt;0,1,"")</f>
        <v/>
      </c>
      <c r="AG47" s="21" t="str">
        <f>IF(COUNTIFS(KPI_Element_Map!$A$2:$A$287,$A47,KPI_Element_Map!$G$2:$G$287,AG$1)&gt;0,1,"")</f>
        <v/>
      </c>
      <c r="AH47" s="21" t="str">
        <f>IF(COUNTIFS(KPI_Element_Map!$A$2:$A$287,$A47,KPI_Element_Map!$G$2:$G$287,AH$1)&gt;0,1,"")</f>
        <v/>
      </c>
      <c r="AI47" s="21" t="str">
        <f>IF(COUNTIFS(KPI_Element_Map!$A$2:$A$287,$A47,KPI_Element_Map!$G$2:$G$287,AI$1)&gt;0,1,"")</f>
        <v/>
      </c>
      <c r="AJ47" s="21" t="str">
        <f>IF(COUNTIFS(KPI_Element_Map!$A$2:$A$287,$A47,KPI_Element_Map!$G$2:$G$287,AJ$1)&gt;0,1,"")</f>
        <v/>
      </c>
      <c r="AK47" s="21" t="str">
        <f>IF(COUNTIFS(KPI_Element_Map!$A$2:$A$287,$A47,KPI_Element_Map!$G$2:$G$287,AK$1)&gt;0,1,"")</f>
        <v/>
      </c>
    </row>
    <row r="48" spans="1:37">
      <c r="A48" s="21">
        <v>47</v>
      </c>
      <c r="B48" s="23" t="str">
        <f>INDEX(KPI_Master!$B:$B,MATCH($A48,KPI_Master!$A:$A,0))</f>
        <v>HRP-04</v>
      </c>
      <c r="C48" s="23" t="str">
        <f>INDEX(KPI_Master!$D:$D,MATCH($A48,KPI_Master!$A:$A,0))</f>
        <v>Open Position Vacancy Rate</v>
      </c>
      <c r="D48" s="23" t="str">
        <f>INDEX(KPI_Master!$K:$K,MATCH($A48,KPI_Master!$A:$A,0))</f>
        <v>2 - Standard</v>
      </c>
      <c r="E48" s="23" t="str">
        <f t="array" ref="E48">_xlfn.TEXTJOIN(", ",TRUE(),IF(KPI_Element_Map!$A$2:$A$287=$A48,KPI_Element_Map!$E$2:$E$287,""))</f>
        <v>E33</v>
      </c>
      <c r="F48" s="21">
        <f t="shared" si="1"/>
        <v>1</v>
      </c>
      <c r="G48" s="21" t="str">
        <f>IF(COUNTIFS(KPI_Element_Map!$A$2:$A$287,$A48,KPI_Element_Map!$G$2:$G$287,G$1)&gt;0,1,"")</f>
        <v/>
      </c>
      <c r="H48" s="21" t="str">
        <f>IF(COUNTIFS(KPI_Element_Map!$A$2:$A$287,$A48,KPI_Element_Map!$G$2:$G$287,H$1)&gt;0,1,"")</f>
        <v/>
      </c>
      <c r="I48" s="21" t="str">
        <f>IF(COUNTIFS(KPI_Element_Map!$A$2:$A$287,$A48,KPI_Element_Map!$G$2:$G$287,I$1)&gt;0,1,"")</f>
        <v/>
      </c>
      <c r="J48" s="21" t="str">
        <f>IF(COUNTIFS(KPI_Element_Map!$A$2:$A$287,$A48,KPI_Element_Map!$G$2:$G$287,J$1)&gt;0,1,"")</f>
        <v/>
      </c>
      <c r="K48" s="21" t="str">
        <f>IF(COUNTIFS(KPI_Element_Map!$A$2:$A$287,$A48,KPI_Element_Map!$G$2:$G$287,K$1)&gt;0,1,"")</f>
        <v/>
      </c>
      <c r="L48" s="21" t="str">
        <f>IF(COUNTIFS(KPI_Element_Map!$A$2:$A$287,$A48,KPI_Element_Map!$G$2:$G$287,L$1)&gt;0,1,"")</f>
        <v/>
      </c>
      <c r="M48" s="21" t="str">
        <f>IF(COUNTIFS(KPI_Element_Map!$A$2:$A$287,$A48,KPI_Element_Map!$G$2:$G$287,M$1)&gt;0,1,"")</f>
        <v/>
      </c>
      <c r="N48" s="21" t="str">
        <f>IF(COUNTIFS(KPI_Element_Map!$A$2:$A$287,$A48,KPI_Element_Map!$G$2:$G$287,N$1)&gt;0,1,"")</f>
        <v/>
      </c>
      <c r="O48" s="21">
        <f>IF(COUNTIFS(KPI_Element_Map!$A$2:$A$287,$A48,KPI_Element_Map!$G$2:$G$287,O$1)&gt;0,1,"")</f>
        <v>1</v>
      </c>
      <c r="P48" s="21" t="str">
        <f>IF(COUNTIFS(KPI_Element_Map!$A$2:$A$287,$A48,KPI_Element_Map!$G$2:$G$287,P$1)&gt;0,1,"")</f>
        <v/>
      </c>
      <c r="Q48" s="21" t="str">
        <f>IF(COUNTIFS(KPI_Element_Map!$A$2:$A$287,$A48,KPI_Element_Map!$G$2:$G$287,Q$1)&gt;0,1,"")</f>
        <v/>
      </c>
      <c r="R48" s="21" t="str">
        <f>IF(COUNTIFS(KPI_Element_Map!$A$2:$A$287,$A48,KPI_Element_Map!$G$2:$G$287,R$1)&gt;0,1,"")</f>
        <v/>
      </c>
      <c r="S48" s="21" t="str">
        <f>IF(COUNTIFS(KPI_Element_Map!$A$2:$A$287,$A48,KPI_Element_Map!$G$2:$G$287,S$1)&gt;0,1,"")</f>
        <v/>
      </c>
      <c r="T48" s="21" t="str">
        <f>IF(COUNTIFS(KPI_Element_Map!$A$2:$A$287,$A48,KPI_Element_Map!$G$2:$G$287,T$1)&gt;0,1,"")</f>
        <v/>
      </c>
      <c r="U48" s="21" t="str">
        <f>IF(COUNTIFS(KPI_Element_Map!$A$2:$A$287,$A48,KPI_Element_Map!$G$2:$G$287,U$1)&gt;0,1,"")</f>
        <v/>
      </c>
      <c r="V48" s="21" t="str">
        <f>IF(COUNTIFS(KPI_Element_Map!$A$2:$A$287,$A48,KPI_Element_Map!$G$2:$G$287,V$1)&gt;0,1,"")</f>
        <v/>
      </c>
      <c r="W48" s="21" t="str">
        <f>IF(COUNTIFS(KPI_Element_Map!$A$2:$A$287,$A48,KPI_Element_Map!$G$2:$G$287,W$1)&gt;0,1,"")</f>
        <v/>
      </c>
      <c r="X48" s="21" t="str">
        <f>IF(COUNTIFS(KPI_Element_Map!$A$2:$A$287,$A48,KPI_Element_Map!$G$2:$G$287,X$1)&gt;0,1,"")</f>
        <v/>
      </c>
      <c r="Y48" s="21" t="str">
        <f>IF(COUNTIFS(KPI_Element_Map!$A$2:$A$287,$A48,KPI_Element_Map!$G$2:$G$287,Y$1)&gt;0,1,"")</f>
        <v/>
      </c>
      <c r="Z48" s="21" t="str">
        <f>IF(COUNTIFS(KPI_Element_Map!$A$2:$A$287,$A48,KPI_Element_Map!$G$2:$G$287,Z$1)&gt;0,1,"")</f>
        <v/>
      </c>
      <c r="AA48" s="21" t="str">
        <f>IF(COUNTIFS(KPI_Element_Map!$A$2:$A$287,$A48,KPI_Element_Map!$G$2:$G$287,AA$1)&gt;0,1,"")</f>
        <v/>
      </c>
      <c r="AB48" s="21" t="str">
        <f>IF(COUNTIFS(KPI_Element_Map!$A$2:$A$287,$A48,KPI_Element_Map!$G$2:$G$287,AB$1)&gt;0,1,"")</f>
        <v/>
      </c>
      <c r="AC48" s="21" t="str">
        <f>IF(COUNTIFS(KPI_Element_Map!$A$2:$A$287,$A48,KPI_Element_Map!$G$2:$G$287,AC$1)&gt;0,1,"")</f>
        <v/>
      </c>
      <c r="AD48" s="21" t="str">
        <f>IF(COUNTIFS(KPI_Element_Map!$A$2:$A$287,$A48,KPI_Element_Map!$G$2:$G$287,AD$1)&gt;0,1,"")</f>
        <v/>
      </c>
      <c r="AE48" s="21" t="str">
        <f>IF(COUNTIFS(KPI_Element_Map!$A$2:$A$287,$A48,KPI_Element_Map!$G$2:$G$287,AE$1)&gt;0,1,"")</f>
        <v/>
      </c>
      <c r="AF48" s="21" t="str">
        <f>IF(COUNTIFS(KPI_Element_Map!$A$2:$A$287,$A48,KPI_Element_Map!$G$2:$G$287,AF$1)&gt;0,1,"")</f>
        <v/>
      </c>
      <c r="AG48" s="21" t="str">
        <f>IF(COUNTIFS(KPI_Element_Map!$A$2:$A$287,$A48,KPI_Element_Map!$G$2:$G$287,AG$1)&gt;0,1,"")</f>
        <v/>
      </c>
      <c r="AH48" s="21" t="str">
        <f>IF(COUNTIFS(KPI_Element_Map!$A$2:$A$287,$A48,KPI_Element_Map!$G$2:$G$287,AH$1)&gt;0,1,"")</f>
        <v/>
      </c>
      <c r="AI48" s="21" t="str">
        <f>IF(COUNTIFS(KPI_Element_Map!$A$2:$A$287,$A48,KPI_Element_Map!$G$2:$G$287,AI$1)&gt;0,1,"")</f>
        <v/>
      </c>
      <c r="AJ48" s="21" t="str">
        <f>IF(COUNTIFS(KPI_Element_Map!$A$2:$A$287,$A48,KPI_Element_Map!$G$2:$G$287,AJ$1)&gt;0,1,"")</f>
        <v/>
      </c>
      <c r="AK48" s="21" t="str">
        <f>IF(COUNTIFS(KPI_Element_Map!$A$2:$A$287,$A48,KPI_Element_Map!$G$2:$G$287,AK$1)&gt;0,1,"")</f>
        <v/>
      </c>
    </row>
    <row r="49" spans="1:37">
      <c r="A49" s="21">
        <v>48</v>
      </c>
      <c r="B49" s="23" t="str">
        <f>INDEX(KPI_Master!$B:$B,MATCH($A49,KPI_Master!$A:$A,0))</f>
        <v>HRP-05</v>
      </c>
      <c r="C49" s="23" t="str">
        <f>INDEX(KPI_Master!$D:$D,MATCH($A49,KPI_Master!$A:$A,0))</f>
        <v>Time to Fill</v>
      </c>
      <c r="D49" s="23" t="str">
        <f>INDEX(KPI_Master!$K:$K,MATCH($A49,KPI_Master!$A:$A,0))</f>
        <v>2 - Standard</v>
      </c>
      <c r="E49" s="23" t="str">
        <f t="array" ref="E49">_xlfn.TEXTJOIN(", ",TRUE(),IF(KPI_Element_Map!$A$2:$A$287=$A49,KPI_Element_Map!$E$2:$E$287,""))</f>
        <v>E33</v>
      </c>
      <c r="F49" s="21">
        <f t="shared" si="1"/>
        <v>1</v>
      </c>
      <c r="G49" s="21" t="str">
        <f>IF(COUNTIFS(KPI_Element_Map!$A$2:$A$287,$A49,KPI_Element_Map!$G$2:$G$287,G$1)&gt;0,1,"")</f>
        <v/>
      </c>
      <c r="H49" s="21" t="str">
        <f>IF(COUNTIFS(KPI_Element_Map!$A$2:$A$287,$A49,KPI_Element_Map!$G$2:$G$287,H$1)&gt;0,1,"")</f>
        <v/>
      </c>
      <c r="I49" s="21" t="str">
        <f>IF(COUNTIFS(KPI_Element_Map!$A$2:$A$287,$A49,KPI_Element_Map!$G$2:$G$287,I$1)&gt;0,1,"")</f>
        <v/>
      </c>
      <c r="J49" s="21" t="str">
        <f>IF(COUNTIFS(KPI_Element_Map!$A$2:$A$287,$A49,KPI_Element_Map!$G$2:$G$287,J$1)&gt;0,1,"")</f>
        <v/>
      </c>
      <c r="K49" s="21" t="str">
        <f>IF(COUNTIFS(KPI_Element_Map!$A$2:$A$287,$A49,KPI_Element_Map!$G$2:$G$287,K$1)&gt;0,1,"")</f>
        <v/>
      </c>
      <c r="L49" s="21" t="str">
        <f>IF(COUNTIFS(KPI_Element_Map!$A$2:$A$287,$A49,KPI_Element_Map!$G$2:$G$287,L$1)&gt;0,1,"")</f>
        <v/>
      </c>
      <c r="M49" s="21" t="str">
        <f>IF(COUNTIFS(KPI_Element_Map!$A$2:$A$287,$A49,KPI_Element_Map!$G$2:$G$287,M$1)&gt;0,1,"")</f>
        <v/>
      </c>
      <c r="N49" s="21" t="str">
        <f>IF(COUNTIFS(KPI_Element_Map!$A$2:$A$287,$A49,KPI_Element_Map!$G$2:$G$287,N$1)&gt;0,1,"")</f>
        <v/>
      </c>
      <c r="O49" s="21">
        <f>IF(COUNTIFS(KPI_Element_Map!$A$2:$A$287,$A49,KPI_Element_Map!$G$2:$G$287,O$1)&gt;0,1,"")</f>
        <v>1</v>
      </c>
      <c r="P49" s="21" t="str">
        <f>IF(COUNTIFS(KPI_Element_Map!$A$2:$A$287,$A49,KPI_Element_Map!$G$2:$G$287,P$1)&gt;0,1,"")</f>
        <v/>
      </c>
      <c r="Q49" s="21" t="str">
        <f>IF(COUNTIFS(KPI_Element_Map!$A$2:$A$287,$A49,KPI_Element_Map!$G$2:$G$287,Q$1)&gt;0,1,"")</f>
        <v/>
      </c>
      <c r="R49" s="21" t="str">
        <f>IF(COUNTIFS(KPI_Element_Map!$A$2:$A$287,$A49,KPI_Element_Map!$G$2:$G$287,R$1)&gt;0,1,"")</f>
        <v/>
      </c>
      <c r="S49" s="21" t="str">
        <f>IF(COUNTIFS(KPI_Element_Map!$A$2:$A$287,$A49,KPI_Element_Map!$G$2:$G$287,S$1)&gt;0,1,"")</f>
        <v/>
      </c>
      <c r="T49" s="21" t="str">
        <f>IF(COUNTIFS(KPI_Element_Map!$A$2:$A$287,$A49,KPI_Element_Map!$G$2:$G$287,T$1)&gt;0,1,"")</f>
        <v/>
      </c>
      <c r="U49" s="21" t="str">
        <f>IF(COUNTIFS(KPI_Element_Map!$A$2:$A$287,$A49,KPI_Element_Map!$G$2:$G$287,U$1)&gt;0,1,"")</f>
        <v/>
      </c>
      <c r="V49" s="21" t="str">
        <f>IF(COUNTIFS(KPI_Element_Map!$A$2:$A$287,$A49,KPI_Element_Map!$G$2:$G$287,V$1)&gt;0,1,"")</f>
        <v/>
      </c>
      <c r="W49" s="21" t="str">
        <f>IF(COUNTIFS(KPI_Element_Map!$A$2:$A$287,$A49,KPI_Element_Map!$G$2:$G$287,W$1)&gt;0,1,"")</f>
        <v/>
      </c>
      <c r="X49" s="21" t="str">
        <f>IF(COUNTIFS(KPI_Element_Map!$A$2:$A$287,$A49,KPI_Element_Map!$G$2:$G$287,X$1)&gt;0,1,"")</f>
        <v/>
      </c>
      <c r="Y49" s="21" t="str">
        <f>IF(COUNTIFS(KPI_Element_Map!$A$2:$A$287,$A49,KPI_Element_Map!$G$2:$G$287,Y$1)&gt;0,1,"")</f>
        <v/>
      </c>
      <c r="Z49" s="21" t="str">
        <f>IF(COUNTIFS(KPI_Element_Map!$A$2:$A$287,$A49,KPI_Element_Map!$G$2:$G$287,Z$1)&gt;0,1,"")</f>
        <v/>
      </c>
      <c r="AA49" s="21" t="str">
        <f>IF(COUNTIFS(KPI_Element_Map!$A$2:$A$287,$A49,KPI_Element_Map!$G$2:$G$287,AA$1)&gt;0,1,"")</f>
        <v/>
      </c>
      <c r="AB49" s="21" t="str">
        <f>IF(COUNTIFS(KPI_Element_Map!$A$2:$A$287,$A49,KPI_Element_Map!$G$2:$G$287,AB$1)&gt;0,1,"")</f>
        <v/>
      </c>
      <c r="AC49" s="21" t="str">
        <f>IF(COUNTIFS(KPI_Element_Map!$A$2:$A$287,$A49,KPI_Element_Map!$G$2:$G$287,AC$1)&gt;0,1,"")</f>
        <v/>
      </c>
      <c r="AD49" s="21" t="str">
        <f>IF(COUNTIFS(KPI_Element_Map!$A$2:$A$287,$A49,KPI_Element_Map!$G$2:$G$287,AD$1)&gt;0,1,"")</f>
        <v/>
      </c>
      <c r="AE49" s="21" t="str">
        <f>IF(COUNTIFS(KPI_Element_Map!$A$2:$A$287,$A49,KPI_Element_Map!$G$2:$G$287,AE$1)&gt;0,1,"")</f>
        <v/>
      </c>
      <c r="AF49" s="21" t="str">
        <f>IF(COUNTIFS(KPI_Element_Map!$A$2:$A$287,$A49,KPI_Element_Map!$G$2:$G$287,AF$1)&gt;0,1,"")</f>
        <v/>
      </c>
      <c r="AG49" s="21" t="str">
        <f>IF(COUNTIFS(KPI_Element_Map!$A$2:$A$287,$A49,KPI_Element_Map!$G$2:$G$287,AG$1)&gt;0,1,"")</f>
        <v/>
      </c>
      <c r="AH49" s="21" t="str">
        <f>IF(COUNTIFS(KPI_Element_Map!$A$2:$A$287,$A49,KPI_Element_Map!$G$2:$G$287,AH$1)&gt;0,1,"")</f>
        <v/>
      </c>
      <c r="AI49" s="21" t="str">
        <f>IF(COUNTIFS(KPI_Element_Map!$A$2:$A$287,$A49,KPI_Element_Map!$G$2:$G$287,AI$1)&gt;0,1,"")</f>
        <v/>
      </c>
      <c r="AJ49" s="21" t="str">
        <f>IF(COUNTIFS(KPI_Element_Map!$A$2:$A$287,$A49,KPI_Element_Map!$G$2:$G$287,AJ$1)&gt;0,1,"")</f>
        <v/>
      </c>
      <c r="AK49" s="21" t="str">
        <f>IF(COUNTIFS(KPI_Element_Map!$A$2:$A$287,$A49,KPI_Element_Map!$G$2:$G$287,AK$1)&gt;0,1,"")</f>
        <v/>
      </c>
    </row>
    <row r="50" spans="1:37">
      <c r="A50" s="21">
        <v>49</v>
      </c>
      <c r="B50" s="23" t="str">
        <f>INDEX(KPI_Master!$B:$B,MATCH($A50,KPI_Master!$A:$A,0))</f>
        <v>HRP-06</v>
      </c>
      <c r="C50" s="23" t="str">
        <f>INDEX(KPI_Master!$D:$D,MATCH($A50,KPI_Master!$A:$A,0))</f>
        <v>Overtime Hours as % of Total Hours</v>
      </c>
      <c r="D50" s="23" t="str">
        <f>INDEX(KPI_Master!$K:$K,MATCH($A50,KPI_Master!$A:$A,0))</f>
        <v>1 - Core</v>
      </c>
      <c r="E50" s="23" t="str">
        <f t="array" ref="E50">_xlfn.TEXTJOIN(", ",TRUE(),IF(KPI_Element_Map!$A$2:$A$287=$A50,KPI_Element_Map!$E$2:$E$287,""))</f>
        <v>E26</v>
      </c>
      <c r="F50" s="21">
        <f t="shared" si="1"/>
        <v>1</v>
      </c>
      <c r="G50" s="21" t="str">
        <f>IF(COUNTIFS(KPI_Element_Map!$A$2:$A$287,$A50,KPI_Element_Map!$G$2:$G$287,G$1)&gt;0,1,"")</f>
        <v/>
      </c>
      <c r="H50" s="21" t="str">
        <f>IF(COUNTIFS(KPI_Element_Map!$A$2:$A$287,$A50,KPI_Element_Map!$G$2:$G$287,H$1)&gt;0,1,"")</f>
        <v/>
      </c>
      <c r="I50" s="21" t="str">
        <f>IF(COUNTIFS(KPI_Element_Map!$A$2:$A$287,$A50,KPI_Element_Map!$G$2:$G$287,I$1)&gt;0,1,"")</f>
        <v/>
      </c>
      <c r="J50" s="21" t="str">
        <f>IF(COUNTIFS(KPI_Element_Map!$A$2:$A$287,$A50,KPI_Element_Map!$G$2:$G$287,J$1)&gt;0,1,"")</f>
        <v/>
      </c>
      <c r="K50" s="21" t="str">
        <f>IF(COUNTIFS(KPI_Element_Map!$A$2:$A$287,$A50,KPI_Element_Map!$G$2:$G$287,K$1)&gt;0,1,"")</f>
        <v/>
      </c>
      <c r="L50" s="21">
        <f>IF(COUNTIFS(KPI_Element_Map!$A$2:$A$287,$A50,KPI_Element_Map!$G$2:$G$287,L$1)&gt;0,1,"")</f>
        <v>1</v>
      </c>
      <c r="M50" s="21" t="str">
        <f>IF(COUNTIFS(KPI_Element_Map!$A$2:$A$287,$A50,KPI_Element_Map!$G$2:$G$287,M$1)&gt;0,1,"")</f>
        <v/>
      </c>
      <c r="N50" s="21" t="str">
        <f>IF(COUNTIFS(KPI_Element_Map!$A$2:$A$287,$A50,KPI_Element_Map!$G$2:$G$287,N$1)&gt;0,1,"")</f>
        <v/>
      </c>
      <c r="O50" s="21" t="str">
        <f>IF(COUNTIFS(KPI_Element_Map!$A$2:$A$287,$A50,KPI_Element_Map!$G$2:$G$287,O$1)&gt;0,1,"")</f>
        <v/>
      </c>
      <c r="P50" s="21" t="str">
        <f>IF(COUNTIFS(KPI_Element_Map!$A$2:$A$287,$A50,KPI_Element_Map!$G$2:$G$287,P$1)&gt;0,1,"")</f>
        <v/>
      </c>
      <c r="Q50" s="21" t="str">
        <f>IF(COUNTIFS(KPI_Element_Map!$A$2:$A$287,$A50,KPI_Element_Map!$G$2:$G$287,Q$1)&gt;0,1,"")</f>
        <v/>
      </c>
      <c r="R50" s="21" t="str">
        <f>IF(COUNTIFS(KPI_Element_Map!$A$2:$A$287,$A50,KPI_Element_Map!$G$2:$G$287,R$1)&gt;0,1,"")</f>
        <v/>
      </c>
      <c r="S50" s="21" t="str">
        <f>IF(COUNTIFS(KPI_Element_Map!$A$2:$A$287,$A50,KPI_Element_Map!$G$2:$G$287,S$1)&gt;0,1,"")</f>
        <v/>
      </c>
      <c r="T50" s="21" t="str">
        <f>IF(COUNTIFS(KPI_Element_Map!$A$2:$A$287,$A50,KPI_Element_Map!$G$2:$G$287,T$1)&gt;0,1,"")</f>
        <v/>
      </c>
      <c r="U50" s="21" t="str">
        <f>IF(COUNTIFS(KPI_Element_Map!$A$2:$A$287,$A50,KPI_Element_Map!$G$2:$G$287,U$1)&gt;0,1,"")</f>
        <v/>
      </c>
      <c r="V50" s="21" t="str">
        <f>IF(COUNTIFS(KPI_Element_Map!$A$2:$A$287,$A50,KPI_Element_Map!$G$2:$G$287,V$1)&gt;0,1,"")</f>
        <v/>
      </c>
      <c r="W50" s="21" t="str">
        <f>IF(COUNTIFS(KPI_Element_Map!$A$2:$A$287,$A50,KPI_Element_Map!$G$2:$G$287,W$1)&gt;0,1,"")</f>
        <v/>
      </c>
      <c r="X50" s="21" t="str">
        <f>IF(COUNTIFS(KPI_Element_Map!$A$2:$A$287,$A50,KPI_Element_Map!$G$2:$G$287,X$1)&gt;0,1,"")</f>
        <v/>
      </c>
      <c r="Y50" s="21" t="str">
        <f>IF(COUNTIFS(KPI_Element_Map!$A$2:$A$287,$A50,KPI_Element_Map!$G$2:$G$287,Y$1)&gt;0,1,"")</f>
        <v/>
      </c>
      <c r="Z50" s="21" t="str">
        <f>IF(COUNTIFS(KPI_Element_Map!$A$2:$A$287,$A50,KPI_Element_Map!$G$2:$G$287,Z$1)&gt;0,1,"")</f>
        <v/>
      </c>
      <c r="AA50" s="21" t="str">
        <f>IF(COUNTIFS(KPI_Element_Map!$A$2:$A$287,$A50,KPI_Element_Map!$G$2:$G$287,AA$1)&gt;0,1,"")</f>
        <v/>
      </c>
      <c r="AB50" s="21" t="str">
        <f>IF(COUNTIFS(KPI_Element_Map!$A$2:$A$287,$A50,KPI_Element_Map!$G$2:$G$287,AB$1)&gt;0,1,"")</f>
        <v/>
      </c>
      <c r="AC50" s="21" t="str">
        <f>IF(COUNTIFS(KPI_Element_Map!$A$2:$A$287,$A50,KPI_Element_Map!$G$2:$G$287,AC$1)&gt;0,1,"")</f>
        <v/>
      </c>
      <c r="AD50" s="21" t="str">
        <f>IF(COUNTIFS(KPI_Element_Map!$A$2:$A$287,$A50,KPI_Element_Map!$G$2:$G$287,AD$1)&gt;0,1,"")</f>
        <v/>
      </c>
      <c r="AE50" s="21" t="str">
        <f>IF(COUNTIFS(KPI_Element_Map!$A$2:$A$287,$A50,KPI_Element_Map!$G$2:$G$287,AE$1)&gt;0,1,"")</f>
        <v/>
      </c>
      <c r="AF50" s="21" t="str">
        <f>IF(COUNTIFS(KPI_Element_Map!$A$2:$A$287,$A50,KPI_Element_Map!$G$2:$G$287,AF$1)&gt;0,1,"")</f>
        <v/>
      </c>
      <c r="AG50" s="21" t="str">
        <f>IF(COUNTIFS(KPI_Element_Map!$A$2:$A$287,$A50,KPI_Element_Map!$G$2:$G$287,AG$1)&gt;0,1,"")</f>
        <v/>
      </c>
      <c r="AH50" s="21" t="str">
        <f>IF(COUNTIFS(KPI_Element_Map!$A$2:$A$287,$A50,KPI_Element_Map!$G$2:$G$287,AH$1)&gt;0,1,"")</f>
        <v/>
      </c>
      <c r="AI50" s="21" t="str">
        <f>IF(COUNTIFS(KPI_Element_Map!$A$2:$A$287,$A50,KPI_Element_Map!$G$2:$G$287,AI$1)&gt;0,1,"")</f>
        <v/>
      </c>
      <c r="AJ50" s="21" t="str">
        <f>IF(COUNTIFS(KPI_Element_Map!$A$2:$A$287,$A50,KPI_Element_Map!$G$2:$G$287,AJ$1)&gt;0,1,"")</f>
        <v/>
      </c>
      <c r="AK50" s="21" t="str">
        <f>IF(COUNTIFS(KPI_Element_Map!$A$2:$A$287,$A50,KPI_Element_Map!$G$2:$G$287,AK$1)&gt;0,1,"")</f>
        <v/>
      </c>
    </row>
    <row r="51" spans="1:37">
      <c r="A51" s="21">
        <v>50</v>
      </c>
      <c r="B51" s="23" t="str">
        <f>INDEX(KPI_Master!$B:$B,MATCH($A51,KPI_Master!$A:$A,0))</f>
        <v>HRP-07</v>
      </c>
      <c r="C51" s="23" t="str">
        <f>INDEX(KPI_Master!$D:$D,MATCH($A51,KPI_Master!$A:$A,0))</f>
        <v>Agency / Contract Labor as % of Labor Cost</v>
      </c>
      <c r="D51" s="23" t="str">
        <f>INDEX(KPI_Master!$K:$K,MATCH($A51,KPI_Master!$A:$A,0))</f>
        <v>1 - Core</v>
      </c>
      <c r="E51" s="23" t="str">
        <f t="array" ref="E51">_xlfn.TEXTJOIN(", ",TRUE(),IF(KPI_Element_Map!$A$2:$A$287=$A51,KPI_Element_Map!$E$2:$E$287,""))</f>
        <v>E23</v>
      </c>
      <c r="F51" s="21">
        <f t="shared" si="1"/>
        <v>1</v>
      </c>
      <c r="G51" s="21" t="str">
        <f>IF(COUNTIFS(KPI_Element_Map!$A$2:$A$287,$A51,KPI_Element_Map!$G$2:$G$287,G$1)&gt;0,1,"")</f>
        <v/>
      </c>
      <c r="H51" s="21" t="str">
        <f>IF(COUNTIFS(KPI_Element_Map!$A$2:$A$287,$A51,KPI_Element_Map!$G$2:$G$287,H$1)&gt;0,1,"")</f>
        <v/>
      </c>
      <c r="I51" s="21">
        <f>IF(COUNTIFS(KPI_Element_Map!$A$2:$A$287,$A51,KPI_Element_Map!$G$2:$G$287,I$1)&gt;0,1,"")</f>
        <v>1</v>
      </c>
      <c r="J51" s="21" t="str">
        <f>IF(COUNTIFS(KPI_Element_Map!$A$2:$A$287,$A51,KPI_Element_Map!$G$2:$G$287,J$1)&gt;0,1,"")</f>
        <v/>
      </c>
      <c r="K51" s="21" t="str">
        <f>IF(COUNTIFS(KPI_Element_Map!$A$2:$A$287,$A51,KPI_Element_Map!$G$2:$G$287,K$1)&gt;0,1,"")</f>
        <v/>
      </c>
      <c r="L51" s="21" t="str">
        <f>IF(COUNTIFS(KPI_Element_Map!$A$2:$A$287,$A51,KPI_Element_Map!$G$2:$G$287,L$1)&gt;0,1,"")</f>
        <v/>
      </c>
      <c r="M51" s="21" t="str">
        <f>IF(COUNTIFS(KPI_Element_Map!$A$2:$A$287,$A51,KPI_Element_Map!$G$2:$G$287,M$1)&gt;0,1,"")</f>
        <v/>
      </c>
      <c r="N51" s="21" t="str">
        <f>IF(COUNTIFS(KPI_Element_Map!$A$2:$A$287,$A51,KPI_Element_Map!$G$2:$G$287,N$1)&gt;0,1,"")</f>
        <v/>
      </c>
      <c r="O51" s="21" t="str">
        <f>IF(COUNTIFS(KPI_Element_Map!$A$2:$A$287,$A51,KPI_Element_Map!$G$2:$G$287,O$1)&gt;0,1,"")</f>
        <v/>
      </c>
      <c r="P51" s="21" t="str">
        <f>IF(COUNTIFS(KPI_Element_Map!$A$2:$A$287,$A51,KPI_Element_Map!$G$2:$G$287,P$1)&gt;0,1,"")</f>
        <v/>
      </c>
      <c r="Q51" s="21" t="str">
        <f>IF(COUNTIFS(KPI_Element_Map!$A$2:$A$287,$A51,KPI_Element_Map!$G$2:$G$287,Q$1)&gt;0,1,"")</f>
        <v/>
      </c>
      <c r="R51" s="21" t="str">
        <f>IF(COUNTIFS(KPI_Element_Map!$A$2:$A$287,$A51,KPI_Element_Map!$G$2:$G$287,R$1)&gt;0,1,"")</f>
        <v/>
      </c>
      <c r="S51" s="21" t="str">
        <f>IF(COUNTIFS(KPI_Element_Map!$A$2:$A$287,$A51,KPI_Element_Map!$G$2:$G$287,S$1)&gt;0,1,"")</f>
        <v/>
      </c>
      <c r="T51" s="21" t="str">
        <f>IF(COUNTIFS(KPI_Element_Map!$A$2:$A$287,$A51,KPI_Element_Map!$G$2:$G$287,T$1)&gt;0,1,"")</f>
        <v/>
      </c>
      <c r="U51" s="21" t="str">
        <f>IF(COUNTIFS(KPI_Element_Map!$A$2:$A$287,$A51,KPI_Element_Map!$G$2:$G$287,U$1)&gt;0,1,"")</f>
        <v/>
      </c>
      <c r="V51" s="21" t="str">
        <f>IF(COUNTIFS(KPI_Element_Map!$A$2:$A$287,$A51,KPI_Element_Map!$G$2:$G$287,V$1)&gt;0,1,"")</f>
        <v/>
      </c>
      <c r="W51" s="21" t="str">
        <f>IF(COUNTIFS(KPI_Element_Map!$A$2:$A$287,$A51,KPI_Element_Map!$G$2:$G$287,W$1)&gt;0,1,"")</f>
        <v/>
      </c>
      <c r="X51" s="21" t="str">
        <f>IF(COUNTIFS(KPI_Element_Map!$A$2:$A$287,$A51,KPI_Element_Map!$G$2:$G$287,X$1)&gt;0,1,"")</f>
        <v/>
      </c>
      <c r="Y51" s="21" t="str">
        <f>IF(COUNTIFS(KPI_Element_Map!$A$2:$A$287,$A51,KPI_Element_Map!$G$2:$G$287,Y$1)&gt;0,1,"")</f>
        <v/>
      </c>
      <c r="Z51" s="21" t="str">
        <f>IF(COUNTIFS(KPI_Element_Map!$A$2:$A$287,$A51,KPI_Element_Map!$G$2:$G$287,Z$1)&gt;0,1,"")</f>
        <v/>
      </c>
      <c r="AA51" s="21" t="str">
        <f>IF(COUNTIFS(KPI_Element_Map!$A$2:$A$287,$A51,KPI_Element_Map!$G$2:$G$287,AA$1)&gt;0,1,"")</f>
        <v/>
      </c>
      <c r="AB51" s="21" t="str">
        <f>IF(COUNTIFS(KPI_Element_Map!$A$2:$A$287,$A51,KPI_Element_Map!$G$2:$G$287,AB$1)&gt;0,1,"")</f>
        <v/>
      </c>
      <c r="AC51" s="21" t="str">
        <f>IF(COUNTIFS(KPI_Element_Map!$A$2:$A$287,$A51,KPI_Element_Map!$G$2:$G$287,AC$1)&gt;0,1,"")</f>
        <v/>
      </c>
      <c r="AD51" s="21" t="str">
        <f>IF(COUNTIFS(KPI_Element_Map!$A$2:$A$287,$A51,KPI_Element_Map!$G$2:$G$287,AD$1)&gt;0,1,"")</f>
        <v/>
      </c>
      <c r="AE51" s="21" t="str">
        <f>IF(COUNTIFS(KPI_Element_Map!$A$2:$A$287,$A51,KPI_Element_Map!$G$2:$G$287,AE$1)&gt;0,1,"")</f>
        <v/>
      </c>
      <c r="AF51" s="21" t="str">
        <f>IF(COUNTIFS(KPI_Element_Map!$A$2:$A$287,$A51,KPI_Element_Map!$G$2:$G$287,AF$1)&gt;0,1,"")</f>
        <v/>
      </c>
      <c r="AG51" s="21" t="str">
        <f>IF(COUNTIFS(KPI_Element_Map!$A$2:$A$287,$A51,KPI_Element_Map!$G$2:$G$287,AG$1)&gt;0,1,"")</f>
        <v/>
      </c>
      <c r="AH51" s="21" t="str">
        <f>IF(COUNTIFS(KPI_Element_Map!$A$2:$A$287,$A51,KPI_Element_Map!$G$2:$G$287,AH$1)&gt;0,1,"")</f>
        <v/>
      </c>
      <c r="AI51" s="21" t="str">
        <f>IF(COUNTIFS(KPI_Element_Map!$A$2:$A$287,$A51,KPI_Element_Map!$G$2:$G$287,AI$1)&gt;0,1,"")</f>
        <v/>
      </c>
      <c r="AJ51" s="21" t="str">
        <f>IF(COUNTIFS(KPI_Element_Map!$A$2:$A$287,$A51,KPI_Element_Map!$G$2:$G$287,AJ$1)&gt;0,1,"")</f>
        <v/>
      </c>
      <c r="AK51" s="21" t="str">
        <f>IF(COUNTIFS(KPI_Element_Map!$A$2:$A$287,$A51,KPI_Element_Map!$G$2:$G$287,AK$1)&gt;0,1,"")</f>
        <v/>
      </c>
    </row>
    <row r="52" spans="1:37">
      <c r="A52" s="21">
        <v>51</v>
      </c>
      <c r="B52" s="23" t="str">
        <f>INDEX(KPI_Master!$B:$B,MATCH($A52,KPI_Master!$A:$A,0))</f>
        <v>HRP-08</v>
      </c>
      <c r="C52" s="23" t="str">
        <f>INDEX(KPI_Master!$D:$D,MATCH($A52,KPI_Master!$A:$A,0))</f>
        <v>Absenteeism Rate</v>
      </c>
      <c r="D52" s="23" t="str">
        <f>INDEX(KPI_Master!$K:$K,MATCH($A52,KPI_Master!$A:$A,0))</f>
        <v>2 - Standard</v>
      </c>
      <c r="E52" s="23" t="str">
        <f t="array" ref="E52">_xlfn.TEXTJOIN(", ",TRUE(),IF(KPI_Element_Map!$A$2:$A$287=$A52,KPI_Element_Map!$E$2:$E$287,""))</f>
        <v>E29</v>
      </c>
      <c r="F52" s="21">
        <f t="shared" si="1"/>
        <v>1</v>
      </c>
      <c r="G52" s="21" t="str">
        <f>IF(COUNTIFS(KPI_Element_Map!$A$2:$A$287,$A52,KPI_Element_Map!$G$2:$G$287,G$1)&gt;0,1,"")</f>
        <v/>
      </c>
      <c r="H52" s="21" t="str">
        <f>IF(COUNTIFS(KPI_Element_Map!$A$2:$A$287,$A52,KPI_Element_Map!$G$2:$G$287,H$1)&gt;0,1,"")</f>
        <v/>
      </c>
      <c r="I52" s="21" t="str">
        <f>IF(COUNTIFS(KPI_Element_Map!$A$2:$A$287,$A52,KPI_Element_Map!$G$2:$G$287,I$1)&gt;0,1,"")</f>
        <v/>
      </c>
      <c r="J52" s="21" t="str">
        <f>IF(COUNTIFS(KPI_Element_Map!$A$2:$A$287,$A52,KPI_Element_Map!$G$2:$G$287,J$1)&gt;0,1,"")</f>
        <v/>
      </c>
      <c r="K52" s="21" t="str">
        <f>IF(COUNTIFS(KPI_Element_Map!$A$2:$A$287,$A52,KPI_Element_Map!$G$2:$G$287,K$1)&gt;0,1,"")</f>
        <v/>
      </c>
      <c r="L52" s="21" t="str">
        <f>IF(COUNTIFS(KPI_Element_Map!$A$2:$A$287,$A52,KPI_Element_Map!$G$2:$G$287,L$1)&gt;0,1,"")</f>
        <v/>
      </c>
      <c r="M52" s="21">
        <f>IF(COUNTIFS(KPI_Element_Map!$A$2:$A$287,$A52,KPI_Element_Map!$G$2:$G$287,M$1)&gt;0,1,"")</f>
        <v>1</v>
      </c>
      <c r="N52" s="21" t="str">
        <f>IF(COUNTIFS(KPI_Element_Map!$A$2:$A$287,$A52,KPI_Element_Map!$G$2:$G$287,N$1)&gt;0,1,"")</f>
        <v/>
      </c>
      <c r="O52" s="21" t="str">
        <f>IF(COUNTIFS(KPI_Element_Map!$A$2:$A$287,$A52,KPI_Element_Map!$G$2:$G$287,O$1)&gt;0,1,"")</f>
        <v/>
      </c>
      <c r="P52" s="21" t="str">
        <f>IF(COUNTIFS(KPI_Element_Map!$A$2:$A$287,$A52,KPI_Element_Map!$G$2:$G$287,P$1)&gt;0,1,"")</f>
        <v/>
      </c>
      <c r="Q52" s="21" t="str">
        <f>IF(COUNTIFS(KPI_Element_Map!$A$2:$A$287,$A52,KPI_Element_Map!$G$2:$G$287,Q$1)&gt;0,1,"")</f>
        <v/>
      </c>
      <c r="R52" s="21" t="str">
        <f>IF(COUNTIFS(KPI_Element_Map!$A$2:$A$287,$A52,KPI_Element_Map!$G$2:$G$287,R$1)&gt;0,1,"")</f>
        <v/>
      </c>
      <c r="S52" s="21" t="str">
        <f>IF(COUNTIFS(KPI_Element_Map!$A$2:$A$287,$A52,KPI_Element_Map!$G$2:$G$287,S$1)&gt;0,1,"")</f>
        <v/>
      </c>
      <c r="T52" s="21" t="str">
        <f>IF(COUNTIFS(KPI_Element_Map!$A$2:$A$287,$A52,KPI_Element_Map!$G$2:$G$287,T$1)&gt;0,1,"")</f>
        <v/>
      </c>
      <c r="U52" s="21" t="str">
        <f>IF(COUNTIFS(KPI_Element_Map!$A$2:$A$287,$A52,KPI_Element_Map!$G$2:$G$287,U$1)&gt;0,1,"")</f>
        <v/>
      </c>
      <c r="V52" s="21" t="str">
        <f>IF(COUNTIFS(KPI_Element_Map!$A$2:$A$287,$A52,KPI_Element_Map!$G$2:$G$287,V$1)&gt;0,1,"")</f>
        <v/>
      </c>
      <c r="W52" s="21" t="str">
        <f>IF(COUNTIFS(KPI_Element_Map!$A$2:$A$287,$A52,KPI_Element_Map!$G$2:$G$287,W$1)&gt;0,1,"")</f>
        <v/>
      </c>
      <c r="X52" s="21" t="str">
        <f>IF(COUNTIFS(KPI_Element_Map!$A$2:$A$287,$A52,KPI_Element_Map!$G$2:$G$287,X$1)&gt;0,1,"")</f>
        <v/>
      </c>
      <c r="Y52" s="21" t="str">
        <f>IF(COUNTIFS(KPI_Element_Map!$A$2:$A$287,$A52,KPI_Element_Map!$G$2:$G$287,Y$1)&gt;0,1,"")</f>
        <v/>
      </c>
      <c r="Z52" s="21" t="str">
        <f>IF(COUNTIFS(KPI_Element_Map!$A$2:$A$287,$A52,KPI_Element_Map!$G$2:$G$287,Z$1)&gt;0,1,"")</f>
        <v/>
      </c>
      <c r="AA52" s="21" t="str">
        <f>IF(COUNTIFS(KPI_Element_Map!$A$2:$A$287,$A52,KPI_Element_Map!$G$2:$G$287,AA$1)&gt;0,1,"")</f>
        <v/>
      </c>
      <c r="AB52" s="21" t="str">
        <f>IF(COUNTIFS(KPI_Element_Map!$A$2:$A$287,$A52,KPI_Element_Map!$G$2:$G$287,AB$1)&gt;0,1,"")</f>
        <v/>
      </c>
      <c r="AC52" s="21" t="str">
        <f>IF(COUNTIFS(KPI_Element_Map!$A$2:$A$287,$A52,KPI_Element_Map!$G$2:$G$287,AC$1)&gt;0,1,"")</f>
        <v/>
      </c>
      <c r="AD52" s="21" t="str">
        <f>IF(COUNTIFS(KPI_Element_Map!$A$2:$A$287,$A52,KPI_Element_Map!$G$2:$G$287,AD$1)&gt;0,1,"")</f>
        <v/>
      </c>
      <c r="AE52" s="21" t="str">
        <f>IF(COUNTIFS(KPI_Element_Map!$A$2:$A$287,$A52,KPI_Element_Map!$G$2:$G$287,AE$1)&gt;0,1,"")</f>
        <v/>
      </c>
      <c r="AF52" s="21" t="str">
        <f>IF(COUNTIFS(KPI_Element_Map!$A$2:$A$287,$A52,KPI_Element_Map!$G$2:$G$287,AF$1)&gt;0,1,"")</f>
        <v/>
      </c>
      <c r="AG52" s="21" t="str">
        <f>IF(COUNTIFS(KPI_Element_Map!$A$2:$A$287,$A52,KPI_Element_Map!$G$2:$G$287,AG$1)&gt;0,1,"")</f>
        <v/>
      </c>
      <c r="AH52" s="21" t="str">
        <f>IF(COUNTIFS(KPI_Element_Map!$A$2:$A$287,$A52,KPI_Element_Map!$G$2:$G$287,AH$1)&gt;0,1,"")</f>
        <v/>
      </c>
      <c r="AI52" s="21" t="str">
        <f>IF(COUNTIFS(KPI_Element_Map!$A$2:$A$287,$A52,KPI_Element_Map!$G$2:$G$287,AI$1)&gt;0,1,"")</f>
        <v/>
      </c>
      <c r="AJ52" s="21" t="str">
        <f>IF(COUNTIFS(KPI_Element_Map!$A$2:$A$287,$A52,KPI_Element_Map!$G$2:$G$287,AJ$1)&gt;0,1,"")</f>
        <v/>
      </c>
      <c r="AK52" s="21" t="str">
        <f>IF(COUNTIFS(KPI_Element_Map!$A$2:$A$287,$A52,KPI_Element_Map!$G$2:$G$287,AK$1)&gt;0,1,"")</f>
        <v/>
      </c>
    </row>
    <row r="53" spans="1:37">
      <c r="A53" s="21">
        <v>52</v>
      </c>
      <c r="B53" s="23" t="str">
        <f>INDEX(KPI_Master!$B:$B,MATCH($A53,KPI_Master!$A:$A,0))</f>
        <v>HRP-10</v>
      </c>
      <c r="C53" s="23" t="str">
        <f>INDEX(KPI_Master!$D:$D,MATCH($A53,KPI_Master!$A:$A,0))</f>
        <v>Labor Hours per Resident Day</v>
      </c>
      <c r="D53" s="23" t="str">
        <f>INDEX(KPI_Master!$K:$K,MATCH($A53,KPI_Master!$A:$A,0))</f>
        <v>2 - Standard</v>
      </c>
      <c r="E53" s="23" t="str">
        <f t="array" ref="E53">_xlfn.TEXTJOIN(", ",TRUE(),IF(KPI_Element_Map!$A$2:$A$287=$A53,KPI_Element_Map!$E$2:$E$287,""))</f>
        <v>E26, E01</v>
      </c>
      <c r="F53" s="21">
        <f t="shared" si="1"/>
        <v>2</v>
      </c>
      <c r="G53" s="21">
        <f>IF(COUNTIFS(KPI_Element_Map!$A$2:$A$287,$A53,KPI_Element_Map!$G$2:$G$287,G$1)&gt;0,1,"")</f>
        <v>1</v>
      </c>
      <c r="H53" s="21" t="str">
        <f>IF(COUNTIFS(KPI_Element_Map!$A$2:$A$287,$A53,KPI_Element_Map!$G$2:$G$287,H$1)&gt;0,1,"")</f>
        <v/>
      </c>
      <c r="I53" s="21" t="str">
        <f>IF(COUNTIFS(KPI_Element_Map!$A$2:$A$287,$A53,KPI_Element_Map!$G$2:$G$287,I$1)&gt;0,1,"")</f>
        <v/>
      </c>
      <c r="J53" s="21" t="str">
        <f>IF(COUNTIFS(KPI_Element_Map!$A$2:$A$287,$A53,KPI_Element_Map!$G$2:$G$287,J$1)&gt;0,1,"")</f>
        <v/>
      </c>
      <c r="K53" s="21" t="str">
        <f>IF(COUNTIFS(KPI_Element_Map!$A$2:$A$287,$A53,KPI_Element_Map!$G$2:$G$287,K$1)&gt;0,1,"")</f>
        <v/>
      </c>
      <c r="L53" s="21">
        <f>IF(COUNTIFS(KPI_Element_Map!$A$2:$A$287,$A53,KPI_Element_Map!$G$2:$G$287,L$1)&gt;0,1,"")</f>
        <v>1</v>
      </c>
      <c r="M53" s="21" t="str">
        <f>IF(COUNTIFS(KPI_Element_Map!$A$2:$A$287,$A53,KPI_Element_Map!$G$2:$G$287,M$1)&gt;0,1,"")</f>
        <v/>
      </c>
      <c r="N53" s="21" t="str">
        <f>IF(COUNTIFS(KPI_Element_Map!$A$2:$A$287,$A53,KPI_Element_Map!$G$2:$G$287,N$1)&gt;0,1,"")</f>
        <v/>
      </c>
      <c r="O53" s="21" t="str">
        <f>IF(COUNTIFS(KPI_Element_Map!$A$2:$A$287,$A53,KPI_Element_Map!$G$2:$G$287,O$1)&gt;0,1,"")</f>
        <v/>
      </c>
      <c r="P53" s="21" t="str">
        <f>IF(COUNTIFS(KPI_Element_Map!$A$2:$A$287,$A53,KPI_Element_Map!$G$2:$G$287,P$1)&gt;0,1,"")</f>
        <v/>
      </c>
      <c r="Q53" s="21" t="str">
        <f>IF(COUNTIFS(KPI_Element_Map!$A$2:$A$287,$A53,KPI_Element_Map!$G$2:$G$287,Q$1)&gt;0,1,"")</f>
        <v/>
      </c>
      <c r="R53" s="21" t="str">
        <f>IF(COUNTIFS(KPI_Element_Map!$A$2:$A$287,$A53,KPI_Element_Map!$G$2:$G$287,R$1)&gt;0,1,"")</f>
        <v/>
      </c>
      <c r="S53" s="21" t="str">
        <f>IF(COUNTIFS(KPI_Element_Map!$A$2:$A$287,$A53,KPI_Element_Map!$G$2:$G$287,S$1)&gt;0,1,"")</f>
        <v/>
      </c>
      <c r="T53" s="21" t="str">
        <f>IF(COUNTIFS(KPI_Element_Map!$A$2:$A$287,$A53,KPI_Element_Map!$G$2:$G$287,T$1)&gt;0,1,"")</f>
        <v/>
      </c>
      <c r="U53" s="21" t="str">
        <f>IF(COUNTIFS(KPI_Element_Map!$A$2:$A$287,$A53,KPI_Element_Map!$G$2:$G$287,U$1)&gt;0,1,"")</f>
        <v/>
      </c>
      <c r="V53" s="21" t="str">
        <f>IF(COUNTIFS(KPI_Element_Map!$A$2:$A$287,$A53,KPI_Element_Map!$G$2:$G$287,V$1)&gt;0,1,"")</f>
        <v/>
      </c>
      <c r="W53" s="21" t="str">
        <f>IF(COUNTIFS(KPI_Element_Map!$A$2:$A$287,$A53,KPI_Element_Map!$G$2:$G$287,W$1)&gt;0,1,"")</f>
        <v/>
      </c>
      <c r="X53" s="21" t="str">
        <f>IF(COUNTIFS(KPI_Element_Map!$A$2:$A$287,$A53,KPI_Element_Map!$G$2:$G$287,X$1)&gt;0,1,"")</f>
        <v/>
      </c>
      <c r="Y53" s="21" t="str">
        <f>IF(COUNTIFS(KPI_Element_Map!$A$2:$A$287,$A53,KPI_Element_Map!$G$2:$G$287,Y$1)&gt;0,1,"")</f>
        <v/>
      </c>
      <c r="Z53" s="21" t="str">
        <f>IF(COUNTIFS(KPI_Element_Map!$A$2:$A$287,$A53,KPI_Element_Map!$G$2:$G$287,Z$1)&gt;0,1,"")</f>
        <v/>
      </c>
      <c r="AA53" s="21" t="str">
        <f>IF(COUNTIFS(KPI_Element_Map!$A$2:$A$287,$A53,KPI_Element_Map!$G$2:$G$287,AA$1)&gt;0,1,"")</f>
        <v/>
      </c>
      <c r="AB53" s="21" t="str">
        <f>IF(COUNTIFS(KPI_Element_Map!$A$2:$A$287,$A53,KPI_Element_Map!$G$2:$G$287,AB$1)&gt;0,1,"")</f>
        <v/>
      </c>
      <c r="AC53" s="21" t="str">
        <f>IF(COUNTIFS(KPI_Element_Map!$A$2:$A$287,$A53,KPI_Element_Map!$G$2:$G$287,AC$1)&gt;0,1,"")</f>
        <v/>
      </c>
      <c r="AD53" s="21" t="str">
        <f>IF(COUNTIFS(KPI_Element_Map!$A$2:$A$287,$A53,KPI_Element_Map!$G$2:$G$287,AD$1)&gt;0,1,"")</f>
        <v/>
      </c>
      <c r="AE53" s="21" t="str">
        <f>IF(COUNTIFS(KPI_Element_Map!$A$2:$A$287,$A53,KPI_Element_Map!$G$2:$G$287,AE$1)&gt;0,1,"")</f>
        <v/>
      </c>
      <c r="AF53" s="21" t="str">
        <f>IF(COUNTIFS(KPI_Element_Map!$A$2:$A$287,$A53,KPI_Element_Map!$G$2:$G$287,AF$1)&gt;0,1,"")</f>
        <v/>
      </c>
      <c r="AG53" s="21" t="str">
        <f>IF(COUNTIFS(KPI_Element_Map!$A$2:$A$287,$A53,KPI_Element_Map!$G$2:$G$287,AG$1)&gt;0,1,"")</f>
        <v/>
      </c>
      <c r="AH53" s="21" t="str">
        <f>IF(COUNTIFS(KPI_Element_Map!$A$2:$A$287,$A53,KPI_Element_Map!$G$2:$G$287,AH$1)&gt;0,1,"")</f>
        <v/>
      </c>
      <c r="AI53" s="21" t="str">
        <f>IF(COUNTIFS(KPI_Element_Map!$A$2:$A$287,$A53,KPI_Element_Map!$G$2:$G$287,AI$1)&gt;0,1,"")</f>
        <v/>
      </c>
      <c r="AJ53" s="21" t="str">
        <f>IF(COUNTIFS(KPI_Element_Map!$A$2:$A$287,$A53,KPI_Element_Map!$G$2:$G$287,AJ$1)&gt;0,1,"")</f>
        <v/>
      </c>
      <c r="AK53" s="21" t="str">
        <f>IF(COUNTIFS(KPI_Element_Map!$A$2:$A$287,$A53,KPI_Element_Map!$G$2:$G$287,AK$1)&gt;0,1,"")</f>
        <v/>
      </c>
    </row>
    <row r="54" spans="1:37">
      <c r="A54" s="21">
        <v>53</v>
      </c>
      <c r="B54" s="23" t="str">
        <f>INDEX(KPI_Master!$B:$B,MATCH($A54,KPI_Master!$A:$A,0))</f>
        <v>HRP-12</v>
      </c>
      <c r="C54" s="23" t="str">
        <f>INDEX(KPI_Master!$D:$D,MATCH($A54,KPI_Master!$A:$A,0))</f>
        <v>Workers' Compensation Claim Rate</v>
      </c>
      <c r="D54" s="23" t="str">
        <f>INDEX(KPI_Master!$K:$K,MATCH($A54,KPI_Master!$A:$A,0))</f>
        <v>2 - Standard</v>
      </c>
      <c r="E54" s="23" t="str">
        <f t="array" ref="E54">_xlfn.TEXTJOIN(", ",TRUE(),IF(KPI_Element_Map!$A$2:$A$287=$A54,KPI_Element_Map!$E$2:$E$287,""))</f>
        <v>E34, E30</v>
      </c>
      <c r="F54" s="21">
        <f t="shared" si="1"/>
        <v>2</v>
      </c>
      <c r="G54" s="21" t="str">
        <f>IF(COUNTIFS(KPI_Element_Map!$A$2:$A$287,$A54,KPI_Element_Map!$G$2:$G$287,G$1)&gt;0,1,"")</f>
        <v/>
      </c>
      <c r="H54" s="21" t="str">
        <f>IF(COUNTIFS(KPI_Element_Map!$A$2:$A$287,$A54,KPI_Element_Map!$G$2:$G$287,H$1)&gt;0,1,"")</f>
        <v/>
      </c>
      <c r="I54" s="21" t="str">
        <f>IF(COUNTIFS(KPI_Element_Map!$A$2:$A$287,$A54,KPI_Element_Map!$G$2:$G$287,I$1)&gt;0,1,"")</f>
        <v/>
      </c>
      <c r="J54" s="21" t="str">
        <f>IF(COUNTIFS(KPI_Element_Map!$A$2:$A$287,$A54,KPI_Element_Map!$G$2:$G$287,J$1)&gt;0,1,"")</f>
        <v/>
      </c>
      <c r="K54" s="21" t="str">
        <f>IF(COUNTIFS(KPI_Element_Map!$A$2:$A$287,$A54,KPI_Element_Map!$G$2:$G$287,K$1)&gt;0,1,"")</f>
        <v/>
      </c>
      <c r="L54" s="21" t="str">
        <f>IF(COUNTIFS(KPI_Element_Map!$A$2:$A$287,$A54,KPI_Element_Map!$G$2:$G$287,L$1)&gt;0,1,"")</f>
        <v/>
      </c>
      <c r="M54" s="21" t="str">
        <f>IF(COUNTIFS(KPI_Element_Map!$A$2:$A$287,$A54,KPI_Element_Map!$G$2:$G$287,M$1)&gt;0,1,"")</f>
        <v/>
      </c>
      <c r="N54" s="21">
        <f>IF(COUNTIFS(KPI_Element_Map!$A$2:$A$287,$A54,KPI_Element_Map!$G$2:$G$287,N$1)&gt;0,1,"")</f>
        <v>1</v>
      </c>
      <c r="O54" s="21" t="str">
        <f>IF(COUNTIFS(KPI_Element_Map!$A$2:$A$287,$A54,KPI_Element_Map!$G$2:$G$287,O$1)&gt;0,1,"")</f>
        <v/>
      </c>
      <c r="P54" s="21">
        <f>IF(COUNTIFS(KPI_Element_Map!$A$2:$A$287,$A54,KPI_Element_Map!$G$2:$G$287,P$1)&gt;0,1,"")</f>
        <v>1</v>
      </c>
      <c r="Q54" s="21" t="str">
        <f>IF(COUNTIFS(KPI_Element_Map!$A$2:$A$287,$A54,KPI_Element_Map!$G$2:$G$287,Q$1)&gt;0,1,"")</f>
        <v/>
      </c>
      <c r="R54" s="21" t="str">
        <f>IF(COUNTIFS(KPI_Element_Map!$A$2:$A$287,$A54,KPI_Element_Map!$G$2:$G$287,R$1)&gt;0,1,"")</f>
        <v/>
      </c>
      <c r="S54" s="21" t="str">
        <f>IF(COUNTIFS(KPI_Element_Map!$A$2:$A$287,$A54,KPI_Element_Map!$G$2:$G$287,S$1)&gt;0,1,"")</f>
        <v/>
      </c>
      <c r="T54" s="21" t="str">
        <f>IF(COUNTIFS(KPI_Element_Map!$A$2:$A$287,$A54,KPI_Element_Map!$G$2:$G$287,T$1)&gt;0,1,"")</f>
        <v/>
      </c>
      <c r="U54" s="21" t="str">
        <f>IF(COUNTIFS(KPI_Element_Map!$A$2:$A$287,$A54,KPI_Element_Map!$G$2:$G$287,U$1)&gt;0,1,"")</f>
        <v/>
      </c>
      <c r="V54" s="21" t="str">
        <f>IF(COUNTIFS(KPI_Element_Map!$A$2:$A$287,$A54,KPI_Element_Map!$G$2:$G$287,V$1)&gt;0,1,"")</f>
        <v/>
      </c>
      <c r="W54" s="21" t="str">
        <f>IF(COUNTIFS(KPI_Element_Map!$A$2:$A$287,$A54,KPI_Element_Map!$G$2:$G$287,W$1)&gt;0,1,"")</f>
        <v/>
      </c>
      <c r="X54" s="21" t="str">
        <f>IF(COUNTIFS(KPI_Element_Map!$A$2:$A$287,$A54,KPI_Element_Map!$G$2:$G$287,X$1)&gt;0,1,"")</f>
        <v/>
      </c>
      <c r="Y54" s="21" t="str">
        <f>IF(COUNTIFS(KPI_Element_Map!$A$2:$A$287,$A54,KPI_Element_Map!$G$2:$G$287,Y$1)&gt;0,1,"")</f>
        <v/>
      </c>
      <c r="Z54" s="21" t="str">
        <f>IF(COUNTIFS(KPI_Element_Map!$A$2:$A$287,$A54,KPI_Element_Map!$G$2:$G$287,Z$1)&gt;0,1,"")</f>
        <v/>
      </c>
      <c r="AA54" s="21" t="str">
        <f>IF(COUNTIFS(KPI_Element_Map!$A$2:$A$287,$A54,KPI_Element_Map!$G$2:$G$287,AA$1)&gt;0,1,"")</f>
        <v/>
      </c>
      <c r="AB54" s="21" t="str">
        <f>IF(COUNTIFS(KPI_Element_Map!$A$2:$A$287,$A54,KPI_Element_Map!$G$2:$G$287,AB$1)&gt;0,1,"")</f>
        <v/>
      </c>
      <c r="AC54" s="21" t="str">
        <f>IF(COUNTIFS(KPI_Element_Map!$A$2:$A$287,$A54,KPI_Element_Map!$G$2:$G$287,AC$1)&gt;0,1,"")</f>
        <v/>
      </c>
      <c r="AD54" s="21" t="str">
        <f>IF(COUNTIFS(KPI_Element_Map!$A$2:$A$287,$A54,KPI_Element_Map!$G$2:$G$287,AD$1)&gt;0,1,"")</f>
        <v/>
      </c>
      <c r="AE54" s="21" t="str">
        <f>IF(COUNTIFS(KPI_Element_Map!$A$2:$A$287,$A54,KPI_Element_Map!$G$2:$G$287,AE$1)&gt;0,1,"")</f>
        <v/>
      </c>
      <c r="AF54" s="21" t="str">
        <f>IF(COUNTIFS(KPI_Element_Map!$A$2:$A$287,$A54,KPI_Element_Map!$G$2:$G$287,AF$1)&gt;0,1,"")</f>
        <v/>
      </c>
      <c r="AG54" s="21" t="str">
        <f>IF(COUNTIFS(KPI_Element_Map!$A$2:$A$287,$A54,KPI_Element_Map!$G$2:$G$287,AG$1)&gt;0,1,"")</f>
        <v/>
      </c>
      <c r="AH54" s="21" t="str">
        <f>IF(COUNTIFS(KPI_Element_Map!$A$2:$A$287,$A54,KPI_Element_Map!$G$2:$G$287,AH$1)&gt;0,1,"")</f>
        <v/>
      </c>
      <c r="AI54" s="21" t="str">
        <f>IF(COUNTIFS(KPI_Element_Map!$A$2:$A$287,$A54,KPI_Element_Map!$G$2:$G$287,AI$1)&gt;0,1,"")</f>
        <v/>
      </c>
      <c r="AJ54" s="21" t="str">
        <f>IF(COUNTIFS(KPI_Element_Map!$A$2:$A$287,$A54,KPI_Element_Map!$G$2:$G$287,AJ$1)&gt;0,1,"")</f>
        <v/>
      </c>
      <c r="AK54" s="21" t="str">
        <f>IF(COUNTIFS(KPI_Element_Map!$A$2:$A$287,$A54,KPI_Element_Map!$G$2:$G$287,AK$1)&gt;0,1,"")</f>
        <v/>
      </c>
    </row>
    <row r="55" spans="1:37">
      <c r="A55" s="21">
        <v>54</v>
      </c>
      <c r="B55" s="23" t="str">
        <f>INDEX(KPI_Master!$B:$B,MATCH($A55,KPI_Master!$A:$A,0))</f>
        <v>HRP-14</v>
      </c>
      <c r="C55" s="23" t="str">
        <f>INDEX(KPI_Master!$D:$D,MATCH($A55,KPI_Master!$A:$A,0))</f>
        <v>Employee Engagement / Satisfaction Score</v>
      </c>
      <c r="D55" s="23" t="str">
        <f>INDEX(KPI_Master!$K:$K,MATCH($A55,KPI_Master!$A:$A,0))</f>
        <v>3 - Optional</v>
      </c>
      <c r="E55" s="23" t="str">
        <f t="array" ref="E55">_xlfn.TEXTJOIN(", ",TRUE(),IF(KPI_Element_Map!$A$2:$A$287=$A55,KPI_Element_Map!$E$2:$E$287,""))</f>
        <v>E36</v>
      </c>
      <c r="F55" s="21">
        <f t="shared" si="1"/>
        <v>1</v>
      </c>
      <c r="G55" s="21" t="str">
        <f>IF(COUNTIFS(KPI_Element_Map!$A$2:$A$287,$A55,KPI_Element_Map!$G$2:$G$287,G$1)&gt;0,1,"")</f>
        <v/>
      </c>
      <c r="H55" s="21" t="str">
        <f>IF(COUNTIFS(KPI_Element_Map!$A$2:$A$287,$A55,KPI_Element_Map!$G$2:$G$287,H$1)&gt;0,1,"")</f>
        <v/>
      </c>
      <c r="I55" s="21" t="str">
        <f>IF(COUNTIFS(KPI_Element_Map!$A$2:$A$287,$A55,KPI_Element_Map!$G$2:$G$287,I$1)&gt;0,1,"")</f>
        <v/>
      </c>
      <c r="J55" s="21" t="str">
        <f>IF(COUNTIFS(KPI_Element_Map!$A$2:$A$287,$A55,KPI_Element_Map!$G$2:$G$287,J$1)&gt;0,1,"")</f>
        <v/>
      </c>
      <c r="K55" s="21" t="str">
        <f>IF(COUNTIFS(KPI_Element_Map!$A$2:$A$287,$A55,KPI_Element_Map!$G$2:$G$287,K$1)&gt;0,1,"")</f>
        <v/>
      </c>
      <c r="L55" s="21" t="str">
        <f>IF(COUNTIFS(KPI_Element_Map!$A$2:$A$287,$A55,KPI_Element_Map!$G$2:$G$287,L$1)&gt;0,1,"")</f>
        <v/>
      </c>
      <c r="M55" s="21" t="str">
        <f>IF(COUNTIFS(KPI_Element_Map!$A$2:$A$287,$A55,KPI_Element_Map!$G$2:$G$287,M$1)&gt;0,1,"")</f>
        <v/>
      </c>
      <c r="N55" s="21" t="str">
        <f>IF(COUNTIFS(KPI_Element_Map!$A$2:$A$287,$A55,KPI_Element_Map!$G$2:$G$287,N$1)&gt;0,1,"")</f>
        <v/>
      </c>
      <c r="O55" s="21" t="str">
        <f>IF(COUNTIFS(KPI_Element_Map!$A$2:$A$287,$A55,KPI_Element_Map!$G$2:$G$287,O$1)&gt;0,1,"")</f>
        <v/>
      </c>
      <c r="P55" s="21" t="str">
        <f>IF(COUNTIFS(KPI_Element_Map!$A$2:$A$287,$A55,KPI_Element_Map!$G$2:$G$287,P$1)&gt;0,1,"")</f>
        <v/>
      </c>
      <c r="Q55" s="21" t="str">
        <f>IF(COUNTIFS(KPI_Element_Map!$A$2:$A$287,$A55,KPI_Element_Map!$G$2:$G$287,Q$1)&gt;0,1,"")</f>
        <v/>
      </c>
      <c r="R55" s="21">
        <f>IF(COUNTIFS(KPI_Element_Map!$A$2:$A$287,$A55,KPI_Element_Map!$G$2:$G$287,R$1)&gt;0,1,"")</f>
        <v>1</v>
      </c>
      <c r="S55" s="21" t="str">
        <f>IF(COUNTIFS(KPI_Element_Map!$A$2:$A$287,$A55,KPI_Element_Map!$G$2:$G$287,S$1)&gt;0,1,"")</f>
        <v/>
      </c>
      <c r="T55" s="21" t="str">
        <f>IF(COUNTIFS(KPI_Element_Map!$A$2:$A$287,$A55,KPI_Element_Map!$G$2:$G$287,T$1)&gt;0,1,"")</f>
        <v/>
      </c>
      <c r="U55" s="21" t="str">
        <f>IF(COUNTIFS(KPI_Element_Map!$A$2:$A$287,$A55,KPI_Element_Map!$G$2:$G$287,U$1)&gt;0,1,"")</f>
        <v/>
      </c>
      <c r="V55" s="21" t="str">
        <f>IF(COUNTIFS(KPI_Element_Map!$A$2:$A$287,$A55,KPI_Element_Map!$G$2:$G$287,V$1)&gt;0,1,"")</f>
        <v/>
      </c>
      <c r="W55" s="21" t="str">
        <f>IF(COUNTIFS(KPI_Element_Map!$A$2:$A$287,$A55,KPI_Element_Map!$G$2:$G$287,W$1)&gt;0,1,"")</f>
        <v/>
      </c>
      <c r="X55" s="21" t="str">
        <f>IF(COUNTIFS(KPI_Element_Map!$A$2:$A$287,$A55,KPI_Element_Map!$G$2:$G$287,X$1)&gt;0,1,"")</f>
        <v/>
      </c>
      <c r="Y55" s="21" t="str">
        <f>IF(COUNTIFS(KPI_Element_Map!$A$2:$A$287,$A55,KPI_Element_Map!$G$2:$G$287,Y$1)&gt;0,1,"")</f>
        <v/>
      </c>
      <c r="Z55" s="21" t="str">
        <f>IF(COUNTIFS(KPI_Element_Map!$A$2:$A$287,$A55,KPI_Element_Map!$G$2:$G$287,Z$1)&gt;0,1,"")</f>
        <v/>
      </c>
      <c r="AA55" s="21" t="str">
        <f>IF(COUNTIFS(KPI_Element_Map!$A$2:$A$287,$A55,KPI_Element_Map!$G$2:$G$287,AA$1)&gt;0,1,"")</f>
        <v/>
      </c>
      <c r="AB55" s="21" t="str">
        <f>IF(COUNTIFS(KPI_Element_Map!$A$2:$A$287,$A55,KPI_Element_Map!$G$2:$G$287,AB$1)&gt;0,1,"")</f>
        <v/>
      </c>
      <c r="AC55" s="21" t="str">
        <f>IF(COUNTIFS(KPI_Element_Map!$A$2:$A$287,$A55,KPI_Element_Map!$G$2:$G$287,AC$1)&gt;0,1,"")</f>
        <v/>
      </c>
      <c r="AD55" s="21" t="str">
        <f>IF(COUNTIFS(KPI_Element_Map!$A$2:$A$287,$A55,KPI_Element_Map!$G$2:$G$287,AD$1)&gt;0,1,"")</f>
        <v/>
      </c>
      <c r="AE55" s="21" t="str">
        <f>IF(COUNTIFS(KPI_Element_Map!$A$2:$A$287,$A55,KPI_Element_Map!$G$2:$G$287,AE$1)&gt;0,1,"")</f>
        <v/>
      </c>
      <c r="AF55" s="21" t="str">
        <f>IF(COUNTIFS(KPI_Element_Map!$A$2:$A$287,$A55,KPI_Element_Map!$G$2:$G$287,AF$1)&gt;0,1,"")</f>
        <v/>
      </c>
      <c r="AG55" s="21" t="str">
        <f>IF(COUNTIFS(KPI_Element_Map!$A$2:$A$287,$A55,KPI_Element_Map!$G$2:$G$287,AG$1)&gt;0,1,"")</f>
        <v/>
      </c>
      <c r="AH55" s="21" t="str">
        <f>IF(COUNTIFS(KPI_Element_Map!$A$2:$A$287,$A55,KPI_Element_Map!$G$2:$G$287,AH$1)&gt;0,1,"")</f>
        <v/>
      </c>
      <c r="AI55" s="21" t="str">
        <f>IF(COUNTIFS(KPI_Element_Map!$A$2:$A$287,$A55,KPI_Element_Map!$G$2:$G$287,AI$1)&gt;0,1,"")</f>
        <v/>
      </c>
      <c r="AJ55" s="21" t="str">
        <f>IF(COUNTIFS(KPI_Element_Map!$A$2:$A$287,$A55,KPI_Element_Map!$G$2:$G$287,AJ$1)&gt;0,1,"")</f>
        <v/>
      </c>
      <c r="AK55" s="21" t="str">
        <f>IF(COUNTIFS(KPI_Element_Map!$A$2:$A$287,$A55,KPI_Element_Map!$G$2:$G$287,AK$1)&gt;0,1,"")</f>
        <v/>
      </c>
    </row>
    <row r="56" spans="1:37">
      <c r="A56" s="21">
        <v>55</v>
      </c>
      <c r="B56" s="23" t="str">
        <f>INDEX(KPI_Master!$B:$B,MATCH($A56,KPI_Master!$A:$A,0))</f>
        <v>HRP-17</v>
      </c>
      <c r="C56" s="23" t="str">
        <f>INDEX(KPI_Master!$D:$D,MATCH($A56,KPI_Master!$A:$A,0))</f>
        <v>Administrator Turnover</v>
      </c>
      <c r="D56" s="23" t="str">
        <f>INDEX(KPI_Master!$K:$K,MATCH($A56,KPI_Master!$A:$A,0))</f>
        <v>2 - Standard</v>
      </c>
      <c r="E56" s="23" t="str">
        <f t="array" ref="E56">_xlfn.TEXTJOIN(", ",TRUE(),IF(KPI_Element_Map!$A$2:$A$287=$A56,KPI_Element_Map!$E$2:$E$287,""))</f>
        <v>E31</v>
      </c>
      <c r="F56" s="21">
        <f t="shared" si="1"/>
        <v>1</v>
      </c>
      <c r="G56" s="21" t="str">
        <f>IF(COUNTIFS(KPI_Element_Map!$A$2:$A$287,$A56,KPI_Element_Map!$G$2:$G$287,G$1)&gt;0,1,"")</f>
        <v/>
      </c>
      <c r="H56" s="21" t="str">
        <f>IF(COUNTIFS(KPI_Element_Map!$A$2:$A$287,$A56,KPI_Element_Map!$G$2:$G$287,H$1)&gt;0,1,"")</f>
        <v/>
      </c>
      <c r="I56" s="21" t="str">
        <f>IF(COUNTIFS(KPI_Element_Map!$A$2:$A$287,$A56,KPI_Element_Map!$G$2:$G$287,I$1)&gt;0,1,"")</f>
        <v/>
      </c>
      <c r="J56" s="21" t="str">
        <f>IF(COUNTIFS(KPI_Element_Map!$A$2:$A$287,$A56,KPI_Element_Map!$G$2:$G$287,J$1)&gt;0,1,"")</f>
        <v/>
      </c>
      <c r="K56" s="21" t="str">
        <f>IF(COUNTIFS(KPI_Element_Map!$A$2:$A$287,$A56,KPI_Element_Map!$G$2:$G$287,K$1)&gt;0,1,"")</f>
        <v/>
      </c>
      <c r="L56" s="21" t="str">
        <f>IF(COUNTIFS(KPI_Element_Map!$A$2:$A$287,$A56,KPI_Element_Map!$G$2:$G$287,L$1)&gt;0,1,"")</f>
        <v/>
      </c>
      <c r="M56" s="21" t="str">
        <f>IF(COUNTIFS(KPI_Element_Map!$A$2:$A$287,$A56,KPI_Element_Map!$G$2:$G$287,M$1)&gt;0,1,"")</f>
        <v/>
      </c>
      <c r="N56" s="21">
        <f>IF(COUNTIFS(KPI_Element_Map!$A$2:$A$287,$A56,KPI_Element_Map!$G$2:$G$287,N$1)&gt;0,1,"")</f>
        <v>1</v>
      </c>
      <c r="O56" s="21" t="str">
        <f>IF(COUNTIFS(KPI_Element_Map!$A$2:$A$287,$A56,KPI_Element_Map!$G$2:$G$287,O$1)&gt;0,1,"")</f>
        <v/>
      </c>
      <c r="P56" s="21" t="str">
        <f>IF(COUNTIFS(KPI_Element_Map!$A$2:$A$287,$A56,KPI_Element_Map!$G$2:$G$287,P$1)&gt;0,1,"")</f>
        <v/>
      </c>
      <c r="Q56" s="21" t="str">
        <f>IF(COUNTIFS(KPI_Element_Map!$A$2:$A$287,$A56,KPI_Element_Map!$G$2:$G$287,Q$1)&gt;0,1,"")</f>
        <v/>
      </c>
      <c r="R56" s="21" t="str">
        <f>IF(COUNTIFS(KPI_Element_Map!$A$2:$A$287,$A56,KPI_Element_Map!$G$2:$G$287,R$1)&gt;0,1,"")</f>
        <v/>
      </c>
      <c r="S56" s="21" t="str">
        <f>IF(COUNTIFS(KPI_Element_Map!$A$2:$A$287,$A56,KPI_Element_Map!$G$2:$G$287,S$1)&gt;0,1,"")</f>
        <v/>
      </c>
      <c r="T56" s="21" t="str">
        <f>IF(COUNTIFS(KPI_Element_Map!$A$2:$A$287,$A56,KPI_Element_Map!$G$2:$G$287,T$1)&gt;0,1,"")</f>
        <v/>
      </c>
      <c r="U56" s="21" t="str">
        <f>IF(COUNTIFS(KPI_Element_Map!$A$2:$A$287,$A56,KPI_Element_Map!$G$2:$G$287,U$1)&gt;0,1,"")</f>
        <v/>
      </c>
      <c r="V56" s="21" t="str">
        <f>IF(COUNTIFS(KPI_Element_Map!$A$2:$A$287,$A56,KPI_Element_Map!$G$2:$G$287,V$1)&gt;0,1,"")</f>
        <v/>
      </c>
      <c r="W56" s="21" t="str">
        <f>IF(COUNTIFS(KPI_Element_Map!$A$2:$A$287,$A56,KPI_Element_Map!$G$2:$G$287,W$1)&gt;0,1,"")</f>
        <v/>
      </c>
      <c r="X56" s="21" t="str">
        <f>IF(COUNTIFS(KPI_Element_Map!$A$2:$A$287,$A56,KPI_Element_Map!$G$2:$G$287,X$1)&gt;0,1,"")</f>
        <v/>
      </c>
      <c r="Y56" s="21" t="str">
        <f>IF(COUNTIFS(KPI_Element_Map!$A$2:$A$287,$A56,KPI_Element_Map!$G$2:$G$287,Y$1)&gt;0,1,"")</f>
        <v/>
      </c>
      <c r="Z56" s="21" t="str">
        <f>IF(COUNTIFS(KPI_Element_Map!$A$2:$A$287,$A56,KPI_Element_Map!$G$2:$G$287,Z$1)&gt;0,1,"")</f>
        <v/>
      </c>
      <c r="AA56" s="21" t="str">
        <f>IF(COUNTIFS(KPI_Element_Map!$A$2:$A$287,$A56,KPI_Element_Map!$G$2:$G$287,AA$1)&gt;0,1,"")</f>
        <v/>
      </c>
      <c r="AB56" s="21" t="str">
        <f>IF(COUNTIFS(KPI_Element_Map!$A$2:$A$287,$A56,KPI_Element_Map!$G$2:$G$287,AB$1)&gt;0,1,"")</f>
        <v/>
      </c>
      <c r="AC56" s="21" t="str">
        <f>IF(COUNTIFS(KPI_Element_Map!$A$2:$A$287,$A56,KPI_Element_Map!$G$2:$G$287,AC$1)&gt;0,1,"")</f>
        <v/>
      </c>
      <c r="AD56" s="21" t="str">
        <f>IF(COUNTIFS(KPI_Element_Map!$A$2:$A$287,$A56,KPI_Element_Map!$G$2:$G$287,AD$1)&gt;0,1,"")</f>
        <v/>
      </c>
      <c r="AE56" s="21" t="str">
        <f>IF(COUNTIFS(KPI_Element_Map!$A$2:$A$287,$A56,KPI_Element_Map!$G$2:$G$287,AE$1)&gt;0,1,"")</f>
        <v/>
      </c>
      <c r="AF56" s="21" t="str">
        <f>IF(COUNTIFS(KPI_Element_Map!$A$2:$A$287,$A56,KPI_Element_Map!$G$2:$G$287,AF$1)&gt;0,1,"")</f>
        <v/>
      </c>
      <c r="AG56" s="21" t="str">
        <f>IF(COUNTIFS(KPI_Element_Map!$A$2:$A$287,$A56,KPI_Element_Map!$G$2:$G$287,AG$1)&gt;0,1,"")</f>
        <v/>
      </c>
      <c r="AH56" s="21" t="str">
        <f>IF(COUNTIFS(KPI_Element_Map!$A$2:$A$287,$A56,KPI_Element_Map!$G$2:$G$287,AH$1)&gt;0,1,"")</f>
        <v/>
      </c>
      <c r="AI56" s="21" t="str">
        <f>IF(COUNTIFS(KPI_Element_Map!$A$2:$A$287,$A56,KPI_Element_Map!$G$2:$G$287,AI$1)&gt;0,1,"")</f>
        <v/>
      </c>
      <c r="AJ56" s="21" t="str">
        <f>IF(COUNTIFS(KPI_Element_Map!$A$2:$A$287,$A56,KPI_Element_Map!$G$2:$G$287,AJ$1)&gt;0,1,"")</f>
        <v/>
      </c>
      <c r="AK56" s="21" t="str">
        <f>IF(COUNTIFS(KPI_Element_Map!$A$2:$A$287,$A56,KPI_Element_Map!$G$2:$G$287,AK$1)&gt;0,1,"")</f>
        <v/>
      </c>
    </row>
    <row r="57" spans="1:37">
      <c r="A57" s="21">
        <v>56</v>
      </c>
      <c r="B57" s="23" t="str">
        <f>INDEX(KPI_Master!$B:$B,MATCH($A57,KPI_Master!$A:$A,0))</f>
        <v>HRP-18</v>
      </c>
      <c r="C57" s="23" t="str">
        <f>INDEX(KPI_Master!$D:$D,MATCH($A57,KPI_Master!$A:$A,0))</f>
        <v>RN Average Hourly Wage</v>
      </c>
      <c r="D57" s="23" t="str">
        <f>INDEX(KPI_Master!$K:$K,MATCH($A57,KPI_Master!$A:$A,0))</f>
        <v>2 - Standard</v>
      </c>
      <c r="E57" s="23" t="str">
        <f t="array" ref="E57">_xlfn.TEXTJOIN(", ",TRUE(),IF(KPI_Element_Map!$A$2:$A$287=$A57,KPI_Element_Map!$E$2:$E$287,""))</f>
        <v>E27, E26</v>
      </c>
      <c r="F57" s="21">
        <f t="shared" si="1"/>
        <v>1</v>
      </c>
      <c r="G57" s="21" t="str">
        <f>IF(COUNTIFS(KPI_Element_Map!$A$2:$A$287,$A57,KPI_Element_Map!$G$2:$G$287,G$1)&gt;0,1,"")</f>
        <v/>
      </c>
      <c r="H57" s="21" t="str">
        <f>IF(COUNTIFS(KPI_Element_Map!$A$2:$A$287,$A57,KPI_Element_Map!$G$2:$G$287,H$1)&gt;0,1,"")</f>
        <v/>
      </c>
      <c r="I57" s="21" t="str">
        <f>IF(COUNTIFS(KPI_Element_Map!$A$2:$A$287,$A57,KPI_Element_Map!$G$2:$G$287,I$1)&gt;0,1,"")</f>
        <v/>
      </c>
      <c r="J57" s="21" t="str">
        <f>IF(COUNTIFS(KPI_Element_Map!$A$2:$A$287,$A57,KPI_Element_Map!$G$2:$G$287,J$1)&gt;0,1,"")</f>
        <v/>
      </c>
      <c r="K57" s="21" t="str">
        <f>IF(COUNTIFS(KPI_Element_Map!$A$2:$A$287,$A57,KPI_Element_Map!$G$2:$G$287,K$1)&gt;0,1,"")</f>
        <v/>
      </c>
      <c r="L57" s="21">
        <f>IF(COUNTIFS(KPI_Element_Map!$A$2:$A$287,$A57,KPI_Element_Map!$G$2:$G$287,L$1)&gt;0,1,"")</f>
        <v>1</v>
      </c>
      <c r="M57" s="21" t="str">
        <f>IF(COUNTIFS(KPI_Element_Map!$A$2:$A$287,$A57,KPI_Element_Map!$G$2:$G$287,M$1)&gt;0,1,"")</f>
        <v/>
      </c>
      <c r="N57" s="21" t="str">
        <f>IF(COUNTIFS(KPI_Element_Map!$A$2:$A$287,$A57,KPI_Element_Map!$G$2:$G$287,N$1)&gt;0,1,"")</f>
        <v/>
      </c>
      <c r="O57" s="21" t="str">
        <f>IF(COUNTIFS(KPI_Element_Map!$A$2:$A$287,$A57,KPI_Element_Map!$G$2:$G$287,O$1)&gt;0,1,"")</f>
        <v/>
      </c>
      <c r="P57" s="21" t="str">
        <f>IF(COUNTIFS(KPI_Element_Map!$A$2:$A$287,$A57,KPI_Element_Map!$G$2:$G$287,P$1)&gt;0,1,"")</f>
        <v/>
      </c>
      <c r="Q57" s="21" t="str">
        <f>IF(COUNTIFS(KPI_Element_Map!$A$2:$A$287,$A57,KPI_Element_Map!$G$2:$G$287,Q$1)&gt;0,1,"")</f>
        <v/>
      </c>
      <c r="R57" s="21" t="str">
        <f>IF(COUNTIFS(KPI_Element_Map!$A$2:$A$287,$A57,KPI_Element_Map!$G$2:$G$287,R$1)&gt;0,1,"")</f>
        <v/>
      </c>
      <c r="S57" s="21" t="str">
        <f>IF(COUNTIFS(KPI_Element_Map!$A$2:$A$287,$A57,KPI_Element_Map!$G$2:$G$287,S$1)&gt;0,1,"")</f>
        <v/>
      </c>
      <c r="T57" s="21" t="str">
        <f>IF(COUNTIFS(KPI_Element_Map!$A$2:$A$287,$A57,KPI_Element_Map!$G$2:$G$287,T$1)&gt;0,1,"")</f>
        <v/>
      </c>
      <c r="U57" s="21" t="str">
        <f>IF(COUNTIFS(KPI_Element_Map!$A$2:$A$287,$A57,KPI_Element_Map!$G$2:$G$287,U$1)&gt;0,1,"")</f>
        <v/>
      </c>
      <c r="V57" s="21" t="str">
        <f>IF(COUNTIFS(KPI_Element_Map!$A$2:$A$287,$A57,KPI_Element_Map!$G$2:$G$287,V$1)&gt;0,1,"")</f>
        <v/>
      </c>
      <c r="W57" s="21" t="str">
        <f>IF(COUNTIFS(KPI_Element_Map!$A$2:$A$287,$A57,KPI_Element_Map!$G$2:$G$287,W$1)&gt;0,1,"")</f>
        <v/>
      </c>
      <c r="X57" s="21" t="str">
        <f>IF(COUNTIFS(KPI_Element_Map!$A$2:$A$287,$A57,KPI_Element_Map!$G$2:$G$287,X$1)&gt;0,1,"")</f>
        <v/>
      </c>
      <c r="Y57" s="21" t="str">
        <f>IF(COUNTIFS(KPI_Element_Map!$A$2:$A$287,$A57,KPI_Element_Map!$G$2:$G$287,Y$1)&gt;0,1,"")</f>
        <v/>
      </c>
      <c r="Z57" s="21" t="str">
        <f>IF(COUNTIFS(KPI_Element_Map!$A$2:$A$287,$A57,KPI_Element_Map!$G$2:$G$287,Z$1)&gt;0,1,"")</f>
        <v/>
      </c>
      <c r="AA57" s="21" t="str">
        <f>IF(COUNTIFS(KPI_Element_Map!$A$2:$A$287,$A57,KPI_Element_Map!$G$2:$G$287,AA$1)&gt;0,1,"")</f>
        <v/>
      </c>
      <c r="AB57" s="21" t="str">
        <f>IF(COUNTIFS(KPI_Element_Map!$A$2:$A$287,$A57,KPI_Element_Map!$G$2:$G$287,AB$1)&gt;0,1,"")</f>
        <v/>
      </c>
      <c r="AC57" s="21" t="str">
        <f>IF(COUNTIFS(KPI_Element_Map!$A$2:$A$287,$A57,KPI_Element_Map!$G$2:$G$287,AC$1)&gt;0,1,"")</f>
        <v/>
      </c>
      <c r="AD57" s="21" t="str">
        <f>IF(COUNTIFS(KPI_Element_Map!$A$2:$A$287,$A57,KPI_Element_Map!$G$2:$G$287,AD$1)&gt;0,1,"")</f>
        <v/>
      </c>
      <c r="AE57" s="21" t="str">
        <f>IF(COUNTIFS(KPI_Element_Map!$A$2:$A$287,$A57,KPI_Element_Map!$G$2:$G$287,AE$1)&gt;0,1,"")</f>
        <v/>
      </c>
      <c r="AF57" s="21" t="str">
        <f>IF(COUNTIFS(KPI_Element_Map!$A$2:$A$287,$A57,KPI_Element_Map!$G$2:$G$287,AF$1)&gt;0,1,"")</f>
        <v/>
      </c>
      <c r="AG57" s="21" t="str">
        <f>IF(COUNTIFS(KPI_Element_Map!$A$2:$A$287,$A57,KPI_Element_Map!$G$2:$G$287,AG$1)&gt;0,1,"")</f>
        <v/>
      </c>
      <c r="AH57" s="21" t="str">
        <f>IF(COUNTIFS(KPI_Element_Map!$A$2:$A$287,$A57,KPI_Element_Map!$G$2:$G$287,AH$1)&gt;0,1,"")</f>
        <v/>
      </c>
      <c r="AI57" s="21" t="str">
        <f>IF(COUNTIFS(KPI_Element_Map!$A$2:$A$287,$A57,KPI_Element_Map!$G$2:$G$287,AI$1)&gt;0,1,"")</f>
        <v/>
      </c>
      <c r="AJ57" s="21" t="str">
        <f>IF(COUNTIFS(KPI_Element_Map!$A$2:$A$287,$A57,KPI_Element_Map!$G$2:$G$287,AJ$1)&gt;0,1,"")</f>
        <v/>
      </c>
      <c r="AK57" s="21" t="str">
        <f>IF(COUNTIFS(KPI_Element_Map!$A$2:$A$287,$A57,KPI_Element_Map!$G$2:$G$287,AK$1)&gt;0,1,"")</f>
        <v/>
      </c>
    </row>
    <row r="58" spans="1:37">
      <c r="A58" s="21">
        <v>57</v>
      </c>
      <c r="B58" s="23" t="str">
        <f>INDEX(KPI_Master!$B:$B,MATCH($A58,KPI_Master!$A:$A,0))</f>
        <v>HRP-19</v>
      </c>
      <c r="C58" s="23" t="str">
        <f>INDEX(KPI_Master!$D:$D,MATCH($A58,KPI_Master!$A:$A,0))</f>
        <v>LPN Average Hourly Wage</v>
      </c>
      <c r="D58" s="23" t="str">
        <f>INDEX(KPI_Master!$K:$K,MATCH($A58,KPI_Master!$A:$A,0))</f>
        <v>2 - Standard</v>
      </c>
      <c r="E58" s="23" t="str">
        <f t="array" ref="E58">_xlfn.TEXTJOIN(", ",TRUE(),IF(KPI_Element_Map!$A$2:$A$287=$A58,KPI_Element_Map!$E$2:$E$287,""))</f>
        <v>E27, E26</v>
      </c>
      <c r="F58" s="21">
        <f t="shared" si="1"/>
        <v>1</v>
      </c>
      <c r="G58" s="21" t="str">
        <f>IF(COUNTIFS(KPI_Element_Map!$A$2:$A$287,$A58,KPI_Element_Map!$G$2:$G$287,G$1)&gt;0,1,"")</f>
        <v/>
      </c>
      <c r="H58" s="21" t="str">
        <f>IF(COUNTIFS(KPI_Element_Map!$A$2:$A$287,$A58,KPI_Element_Map!$G$2:$G$287,H$1)&gt;0,1,"")</f>
        <v/>
      </c>
      <c r="I58" s="21" t="str">
        <f>IF(COUNTIFS(KPI_Element_Map!$A$2:$A$287,$A58,KPI_Element_Map!$G$2:$G$287,I$1)&gt;0,1,"")</f>
        <v/>
      </c>
      <c r="J58" s="21" t="str">
        <f>IF(COUNTIFS(KPI_Element_Map!$A$2:$A$287,$A58,KPI_Element_Map!$G$2:$G$287,J$1)&gt;0,1,"")</f>
        <v/>
      </c>
      <c r="K58" s="21" t="str">
        <f>IF(COUNTIFS(KPI_Element_Map!$A$2:$A$287,$A58,KPI_Element_Map!$G$2:$G$287,K$1)&gt;0,1,"")</f>
        <v/>
      </c>
      <c r="L58" s="21">
        <f>IF(COUNTIFS(KPI_Element_Map!$A$2:$A$287,$A58,KPI_Element_Map!$G$2:$G$287,L$1)&gt;0,1,"")</f>
        <v>1</v>
      </c>
      <c r="M58" s="21" t="str">
        <f>IF(COUNTIFS(KPI_Element_Map!$A$2:$A$287,$A58,KPI_Element_Map!$G$2:$G$287,M$1)&gt;0,1,"")</f>
        <v/>
      </c>
      <c r="N58" s="21" t="str">
        <f>IF(COUNTIFS(KPI_Element_Map!$A$2:$A$287,$A58,KPI_Element_Map!$G$2:$G$287,N$1)&gt;0,1,"")</f>
        <v/>
      </c>
      <c r="O58" s="21" t="str">
        <f>IF(COUNTIFS(KPI_Element_Map!$A$2:$A$287,$A58,KPI_Element_Map!$G$2:$G$287,O$1)&gt;0,1,"")</f>
        <v/>
      </c>
      <c r="P58" s="21" t="str">
        <f>IF(COUNTIFS(KPI_Element_Map!$A$2:$A$287,$A58,KPI_Element_Map!$G$2:$G$287,P$1)&gt;0,1,"")</f>
        <v/>
      </c>
      <c r="Q58" s="21" t="str">
        <f>IF(COUNTIFS(KPI_Element_Map!$A$2:$A$287,$A58,KPI_Element_Map!$G$2:$G$287,Q$1)&gt;0,1,"")</f>
        <v/>
      </c>
      <c r="R58" s="21" t="str">
        <f>IF(COUNTIFS(KPI_Element_Map!$A$2:$A$287,$A58,KPI_Element_Map!$G$2:$G$287,R$1)&gt;0,1,"")</f>
        <v/>
      </c>
      <c r="S58" s="21" t="str">
        <f>IF(COUNTIFS(KPI_Element_Map!$A$2:$A$287,$A58,KPI_Element_Map!$G$2:$G$287,S$1)&gt;0,1,"")</f>
        <v/>
      </c>
      <c r="T58" s="21" t="str">
        <f>IF(COUNTIFS(KPI_Element_Map!$A$2:$A$287,$A58,KPI_Element_Map!$G$2:$G$287,T$1)&gt;0,1,"")</f>
        <v/>
      </c>
      <c r="U58" s="21" t="str">
        <f>IF(COUNTIFS(KPI_Element_Map!$A$2:$A$287,$A58,KPI_Element_Map!$G$2:$G$287,U$1)&gt;0,1,"")</f>
        <v/>
      </c>
      <c r="V58" s="21" t="str">
        <f>IF(COUNTIFS(KPI_Element_Map!$A$2:$A$287,$A58,KPI_Element_Map!$G$2:$G$287,V$1)&gt;0,1,"")</f>
        <v/>
      </c>
      <c r="W58" s="21" t="str">
        <f>IF(COUNTIFS(KPI_Element_Map!$A$2:$A$287,$A58,KPI_Element_Map!$G$2:$G$287,W$1)&gt;0,1,"")</f>
        <v/>
      </c>
      <c r="X58" s="21" t="str">
        <f>IF(COUNTIFS(KPI_Element_Map!$A$2:$A$287,$A58,KPI_Element_Map!$G$2:$G$287,X$1)&gt;0,1,"")</f>
        <v/>
      </c>
      <c r="Y58" s="21" t="str">
        <f>IF(COUNTIFS(KPI_Element_Map!$A$2:$A$287,$A58,KPI_Element_Map!$G$2:$G$287,Y$1)&gt;0,1,"")</f>
        <v/>
      </c>
      <c r="Z58" s="21" t="str">
        <f>IF(COUNTIFS(KPI_Element_Map!$A$2:$A$287,$A58,KPI_Element_Map!$G$2:$G$287,Z$1)&gt;0,1,"")</f>
        <v/>
      </c>
      <c r="AA58" s="21" t="str">
        <f>IF(COUNTIFS(KPI_Element_Map!$A$2:$A$287,$A58,KPI_Element_Map!$G$2:$G$287,AA$1)&gt;0,1,"")</f>
        <v/>
      </c>
      <c r="AB58" s="21" t="str">
        <f>IF(COUNTIFS(KPI_Element_Map!$A$2:$A$287,$A58,KPI_Element_Map!$G$2:$G$287,AB$1)&gt;0,1,"")</f>
        <v/>
      </c>
      <c r="AC58" s="21" t="str">
        <f>IF(COUNTIFS(KPI_Element_Map!$A$2:$A$287,$A58,KPI_Element_Map!$G$2:$G$287,AC$1)&gt;0,1,"")</f>
        <v/>
      </c>
      <c r="AD58" s="21" t="str">
        <f>IF(COUNTIFS(KPI_Element_Map!$A$2:$A$287,$A58,KPI_Element_Map!$G$2:$G$287,AD$1)&gt;0,1,"")</f>
        <v/>
      </c>
      <c r="AE58" s="21" t="str">
        <f>IF(COUNTIFS(KPI_Element_Map!$A$2:$A$287,$A58,KPI_Element_Map!$G$2:$G$287,AE$1)&gt;0,1,"")</f>
        <v/>
      </c>
      <c r="AF58" s="21" t="str">
        <f>IF(COUNTIFS(KPI_Element_Map!$A$2:$A$287,$A58,KPI_Element_Map!$G$2:$G$287,AF$1)&gt;0,1,"")</f>
        <v/>
      </c>
      <c r="AG58" s="21" t="str">
        <f>IF(COUNTIFS(KPI_Element_Map!$A$2:$A$287,$A58,KPI_Element_Map!$G$2:$G$287,AG$1)&gt;0,1,"")</f>
        <v/>
      </c>
      <c r="AH58" s="21" t="str">
        <f>IF(COUNTIFS(KPI_Element_Map!$A$2:$A$287,$A58,KPI_Element_Map!$G$2:$G$287,AH$1)&gt;0,1,"")</f>
        <v/>
      </c>
      <c r="AI58" s="21" t="str">
        <f>IF(COUNTIFS(KPI_Element_Map!$A$2:$A$287,$A58,KPI_Element_Map!$G$2:$G$287,AI$1)&gt;0,1,"")</f>
        <v/>
      </c>
      <c r="AJ58" s="21" t="str">
        <f>IF(COUNTIFS(KPI_Element_Map!$A$2:$A$287,$A58,KPI_Element_Map!$G$2:$G$287,AJ$1)&gt;0,1,"")</f>
        <v/>
      </c>
      <c r="AK58" s="21" t="str">
        <f>IF(COUNTIFS(KPI_Element_Map!$A$2:$A$287,$A58,KPI_Element_Map!$G$2:$G$287,AK$1)&gt;0,1,"")</f>
        <v/>
      </c>
    </row>
    <row r="59" spans="1:37">
      <c r="A59" s="21">
        <v>58</v>
      </c>
      <c r="B59" s="23" t="str">
        <f>INDEX(KPI_Master!$B:$B,MATCH($A59,KPI_Master!$A:$A,0))</f>
        <v>HRP-20</v>
      </c>
      <c r="C59" s="23" t="str">
        <f>INDEX(KPI_Master!$D:$D,MATCH($A59,KPI_Master!$A:$A,0))</f>
        <v>CNA Average Hourly Wage</v>
      </c>
      <c r="D59" s="23" t="str">
        <f>INDEX(KPI_Master!$K:$K,MATCH($A59,KPI_Master!$A:$A,0))</f>
        <v>2 - Standard</v>
      </c>
      <c r="E59" s="23" t="str">
        <f t="array" ref="E59">_xlfn.TEXTJOIN(", ",TRUE(),IF(KPI_Element_Map!$A$2:$A$287=$A59,KPI_Element_Map!$E$2:$E$287,""))</f>
        <v>E27, E26</v>
      </c>
      <c r="F59" s="21">
        <f t="shared" si="1"/>
        <v>1</v>
      </c>
      <c r="G59" s="21" t="str">
        <f>IF(COUNTIFS(KPI_Element_Map!$A$2:$A$287,$A59,KPI_Element_Map!$G$2:$G$287,G$1)&gt;0,1,"")</f>
        <v/>
      </c>
      <c r="H59" s="21" t="str">
        <f>IF(COUNTIFS(KPI_Element_Map!$A$2:$A$287,$A59,KPI_Element_Map!$G$2:$G$287,H$1)&gt;0,1,"")</f>
        <v/>
      </c>
      <c r="I59" s="21" t="str">
        <f>IF(COUNTIFS(KPI_Element_Map!$A$2:$A$287,$A59,KPI_Element_Map!$G$2:$G$287,I$1)&gt;0,1,"")</f>
        <v/>
      </c>
      <c r="J59" s="21" t="str">
        <f>IF(COUNTIFS(KPI_Element_Map!$A$2:$A$287,$A59,KPI_Element_Map!$G$2:$G$287,J$1)&gt;0,1,"")</f>
        <v/>
      </c>
      <c r="K59" s="21" t="str">
        <f>IF(COUNTIFS(KPI_Element_Map!$A$2:$A$287,$A59,KPI_Element_Map!$G$2:$G$287,K$1)&gt;0,1,"")</f>
        <v/>
      </c>
      <c r="L59" s="21">
        <f>IF(COUNTIFS(KPI_Element_Map!$A$2:$A$287,$A59,KPI_Element_Map!$G$2:$G$287,L$1)&gt;0,1,"")</f>
        <v>1</v>
      </c>
      <c r="M59" s="21" t="str">
        <f>IF(COUNTIFS(KPI_Element_Map!$A$2:$A$287,$A59,KPI_Element_Map!$G$2:$G$287,M$1)&gt;0,1,"")</f>
        <v/>
      </c>
      <c r="N59" s="21" t="str">
        <f>IF(COUNTIFS(KPI_Element_Map!$A$2:$A$287,$A59,KPI_Element_Map!$G$2:$G$287,N$1)&gt;0,1,"")</f>
        <v/>
      </c>
      <c r="O59" s="21" t="str">
        <f>IF(COUNTIFS(KPI_Element_Map!$A$2:$A$287,$A59,KPI_Element_Map!$G$2:$G$287,O$1)&gt;0,1,"")</f>
        <v/>
      </c>
      <c r="P59" s="21" t="str">
        <f>IF(COUNTIFS(KPI_Element_Map!$A$2:$A$287,$A59,KPI_Element_Map!$G$2:$G$287,P$1)&gt;0,1,"")</f>
        <v/>
      </c>
      <c r="Q59" s="21" t="str">
        <f>IF(COUNTIFS(KPI_Element_Map!$A$2:$A$287,$A59,KPI_Element_Map!$G$2:$G$287,Q$1)&gt;0,1,"")</f>
        <v/>
      </c>
      <c r="R59" s="21" t="str">
        <f>IF(COUNTIFS(KPI_Element_Map!$A$2:$A$287,$A59,KPI_Element_Map!$G$2:$G$287,R$1)&gt;0,1,"")</f>
        <v/>
      </c>
      <c r="S59" s="21" t="str">
        <f>IF(COUNTIFS(KPI_Element_Map!$A$2:$A$287,$A59,KPI_Element_Map!$G$2:$G$287,S$1)&gt;0,1,"")</f>
        <v/>
      </c>
      <c r="T59" s="21" t="str">
        <f>IF(COUNTIFS(KPI_Element_Map!$A$2:$A$287,$A59,KPI_Element_Map!$G$2:$G$287,T$1)&gt;0,1,"")</f>
        <v/>
      </c>
      <c r="U59" s="21" t="str">
        <f>IF(COUNTIFS(KPI_Element_Map!$A$2:$A$287,$A59,KPI_Element_Map!$G$2:$G$287,U$1)&gt;0,1,"")</f>
        <v/>
      </c>
      <c r="V59" s="21" t="str">
        <f>IF(COUNTIFS(KPI_Element_Map!$A$2:$A$287,$A59,KPI_Element_Map!$G$2:$G$287,V$1)&gt;0,1,"")</f>
        <v/>
      </c>
      <c r="W59" s="21" t="str">
        <f>IF(COUNTIFS(KPI_Element_Map!$A$2:$A$287,$A59,KPI_Element_Map!$G$2:$G$287,W$1)&gt;0,1,"")</f>
        <v/>
      </c>
      <c r="X59" s="21" t="str">
        <f>IF(COUNTIFS(KPI_Element_Map!$A$2:$A$287,$A59,KPI_Element_Map!$G$2:$G$287,X$1)&gt;0,1,"")</f>
        <v/>
      </c>
      <c r="Y59" s="21" t="str">
        <f>IF(COUNTIFS(KPI_Element_Map!$A$2:$A$287,$A59,KPI_Element_Map!$G$2:$G$287,Y$1)&gt;0,1,"")</f>
        <v/>
      </c>
      <c r="Z59" s="21" t="str">
        <f>IF(COUNTIFS(KPI_Element_Map!$A$2:$A$287,$A59,KPI_Element_Map!$G$2:$G$287,Z$1)&gt;0,1,"")</f>
        <v/>
      </c>
      <c r="AA59" s="21" t="str">
        <f>IF(COUNTIFS(KPI_Element_Map!$A$2:$A$287,$A59,KPI_Element_Map!$G$2:$G$287,AA$1)&gt;0,1,"")</f>
        <v/>
      </c>
      <c r="AB59" s="21" t="str">
        <f>IF(COUNTIFS(KPI_Element_Map!$A$2:$A$287,$A59,KPI_Element_Map!$G$2:$G$287,AB$1)&gt;0,1,"")</f>
        <v/>
      </c>
      <c r="AC59" s="21" t="str">
        <f>IF(COUNTIFS(KPI_Element_Map!$A$2:$A$287,$A59,KPI_Element_Map!$G$2:$G$287,AC$1)&gt;0,1,"")</f>
        <v/>
      </c>
      <c r="AD59" s="21" t="str">
        <f>IF(COUNTIFS(KPI_Element_Map!$A$2:$A$287,$A59,KPI_Element_Map!$G$2:$G$287,AD$1)&gt;0,1,"")</f>
        <v/>
      </c>
      <c r="AE59" s="21" t="str">
        <f>IF(COUNTIFS(KPI_Element_Map!$A$2:$A$287,$A59,KPI_Element_Map!$G$2:$G$287,AE$1)&gt;0,1,"")</f>
        <v/>
      </c>
      <c r="AF59" s="21" t="str">
        <f>IF(COUNTIFS(KPI_Element_Map!$A$2:$A$287,$A59,KPI_Element_Map!$G$2:$G$287,AF$1)&gt;0,1,"")</f>
        <v/>
      </c>
      <c r="AG59" s="21" t="str">
        <f>IF(COUNTIFS(KPI_Element_Map!$A$2:$A$287,$A59,KPI_Element_Map!$G$2:$G$287,AG$1)&gt;0,1,"")</f>
        <v/>
      </c>
      <c r="AH59" s="21" t="str">
        <f>IF(COUNTIFS(KPI_Element_Map!$A$2:$A$287,$A59,KPI_Element_Map!$G$2:$G$287,AH$1)&gt;0,1,"")</f>
        <v/>
      </c>
      <c r="AI59" s="21" t="str">
        <f>IF(COUNTIFS(KPI_Element_Map!$A$2:$A$287,$A59,KPI_Element_Map!$G$2:$G$287,AI$1)&gt;0,1,"")</f>
        <v/>
      </c>
      <c r="AJ59" s="21" t="str">
        <f>IF(COUNTIFS(KPI_Element_Map!$A$2:$A$287,$A59,KPI_Element_Map!$G$2:$G$287,AJ$1)&gt;0,1,"")</f>
        <v/>
      </c>
      <c r="AK59" s="21" t="str">
        <f>IF(COUNTIFS(KPI_Element_Map!$A$2:$A$287,$A59,KPI_Element_Map!$G$2:$G$287,AK$1)&gt;0,1,"")</f>
        <v/>
      </c>
    </row>
    <row r="60" spans="1:37">
      <c r="A60" s="21">
        <v>59</v>
      </c>
      <c r="B60" s="23" t="str">
        <f>INDEX(KPI_Master!$B:$B,MATCH($A60,KPI_Master!$A:$A,0))</f>
        <v>HRP-21</v>
      </c>
      <c r="C60" s="23" t="str">
        <f>INDEX(KPI_Master!$D:$D,MATCH($A60,KPI_Master!$A:$A,0))</f>
        <v>Administrative Average Annual Wage per FTE</v>
      </c>
      <c r="D60" s="23" t="str">
        <f>INDEX(KPI_Master!$K:$K,MATCH($A60,KPI_Master!$A:$A,0))</f>
        <v>3 - Optional</v>
      </c>
      <c r="E60" s="23" t="str">
        <f t="array" ref="E60">_xlfn.TEXTJOIN(", ",TRUE(),IF(KPI_Element_Map!$A$2:$A$287=$A60,KPI_Element_Map!$E$2:$E$287,""))</f>
        <v>E27, E28</v>
      </c>
      <c r="F60" s="21">
        <f t="shared" si="1"/>
        <v>1</v>
      </c>
      <c r="G60" s="21" t="str">
        <f>IF(COUNTIFS(KPI_Element_Map!$A$2:$A$287,$A60,KPI_Element_Map!$G$2:$G$287,G$1)&gt;0,1,"")</f>
        <v/>
      </c>
      <c r="H60" s="21" t="str">
        <f>IF(COUNTIFS(KPI_Element_Map!$A$2:$A$287,$A60,KPI_Element_Map!$G$2:$G$287,H$1)&gt;0,1,"")</f>
        <v/>
      </c>
      <c r="I60" s="21" t="str">
        <f>IF(COUNTIFS(KPI_Element_Map!$A$2:$A$287,$A60,KPI_Element_Map!$G$2:$G$287,I$1)&gt;0,1,"")</f>
        <v/>
      </c>
      <c r="J60" s="21" t="str">
        <f>IF(COUNTIFS(KPI_Element_Map!$A$2:$A$287,$A60,KPI_Element_Map!$G$2:$G$287,J$1)&gt;0,1,"")</f>
        <v/>
      </c>
      <c r="K60" s="21" t="str">
        <f>IF(COUNTIFS(KPI_Element_Map!$A$2:$A$287,$A60,KPI_Element_Map!$G$2:$G$287,K$1)&gt;0,1,"")</f>
        <v/>
      </c>
      <c r="L60" s="21">
        <f>IF(COUNTIFS(KPI_Element_Map!$A$2:$A$287,$A60,KPI_Element_Map!$G$2:$G$287,L$1)&gt;0,1,"")</f>
        <v>1</v>
      </c>
      <c r="M60" s="21" t="str">
        <f>IF(COUNTIFS(KPI_Element_Map!$A$2:$A$287,$A60,KPI_Element_Map!$G$2:$G$287,M$1)&gt;0,1,"")</f>
        <v/>
      </c>
      <c r="N60" s="21" t="str">
        <f>IF(COUNTIFS(KPI_Element_Map!$A$2:$A$287,$A60,KPI_Element_Map!$G$2:$G$287,N$1)&gt;0,1,"")</f>
        <v/>
      </c>
      <c r="O60" s="21" t="str">
        <f>IF(COUNTIFS(KPI_Element_Map!$A$2:$A$287,$A60,KPI_Element_Map!$G$2:$G$287,O$1)&gt;0,1,"")</f>
        <v/>
      </c>
      <c r="P60" s="21" t="str">
        <f>IF(COUNTIFS(KPI_Element_Map!$A$2:$A$287,$A60,KPI_Element_Map!$G$2:$G$287,P$1)&gt;0,1,"")</f>
        <v/>
      </c>
      <c r="Q60" s="21" t="str">
        <f>IF(COUNTIFS(KPI_Element_Map!$A$2:$A$287,$A60,KPI_Element_Map!$G$2:$G$287,Q$1)&gt;0,1,"")</f>
        <v/>
      </c>
      <c r="R60" s="21" t="str">
        <f>IF(COUNTIFS(KPI_Element_Map!$A$2:$A$287,$A60,KPI_Element_Map!$G$2:$G$287,R$1)&gt;0,1,"")</f>
        <v/>
      </c>
      <c r="S60" s="21" t="str">
        <f>IF(COUNTIFS(KPI_Element_Map!$A$2:$A$287,$A60,KPI_Element_Map!$G$2:$G$287,S$1)&gt;0,1,"")</f>
        <v/>
      </c>
      <c r="T60" s="21" t="str">
        <f>IF(COUNTIFS(KPI_Element_Map!$A$2:$A$287,$A60,KPI_Element_Map!$G$2:$G$287,T$1)&gt;0,1,"")</f>
        <v/>
      </c>
      <c r="U60" s="21" t="str">
        <f>IF(COUNTIFS(KPI_Element_Map!$A$2:$A$287,$A60,KPI_Element_Map!$G$2:$G$287,U$1)&gt;0,1,"")</f>
        <v/>
      </c>
      <c r="V60" s="21" t="str">
        <f>IF(COUNTIFS(KPI_Element_Map!$A$2:$A$287,$A60,KPI_Element_Map!$G$2:$G$287,V$1)&gt;0,1,"")</f>
        <v/>
      </c>
      <c r="W60" s="21" t="str">
        <f>IF(COUNTIFS(KPI_Element_Map!$A$2:$A$287,$A60,KPI_Element_Map!$G$2:$G$287,W$1)&gt;0,1,"")</f>
        <v/>
      </c>
      <c r="X60" s="21" t="str">
        <f>IF(COUNTIFS(KPI_Element_Map!$A$2:$A$287,$A60,KPI_Element_Map!$G$2:$G$287,X$1)&gt;0,1,"")</f>
        <v/>
      </c>
      <c r="Y60" s="21" t="str">
        <f>IF(COUNTIFS(KPI_Element_Map!$A$2:$A$287,$A60,KPI_Element_Map!$G$2:$G$287,Y$1)&gt;0,1,"")</f>
        <v/>
      </c>
      <c r="Z60" s="21" t="str">
        <f>IF(COUNTIFS(KPI_Element_Map!$A$2:$A$287,$A60,KPI_Element_Map!$G$2:$G$287,Z$1)&gt;0,1,"")</f>
        <v/>
      </c>
      <c r="AA60" s="21" t="str">
        <f>IF(COUNTIFS(KPI_Element_Map!$A$2:$A$287,$A60,KPI_Element_Map!$G$2:$G$287,AA$1)&gt;0,1,"")</f>
        <v/>
      </c>
      <c r="AB60" s="21" t="str">
        <f>IF(COUNTIFS(KPI_Element_Map!$A$2:$A$287,$A60,KPI_Element_Map!$G$2:$G$287,AB$1)&gt;0,1,"")</f>
        <v/>
      </c>
      <c r="AC60" s="21" t="str">
        <f>IF(COUNTIFS(KPI_Element_Map!$A$2:$A$287,$A60,KPI_Element_Map!$G$2:$G$287,AC$1)&gt;0,1,"")</f>
        <v/>
      </c>
      <c r="AD60" s="21" t="str">
        <f>IF(COUNTIFS(KPI_Element_Map!$A$2:$A$287,$A60,KPI_Element_Map!$G$2:$G$287,AD$1)&gt;0,1,"")</f>
        <v/>
      </c>
      <c r="AE60" s="21" t="str">
        <f>IF(COUNTIFS(KPI_Element_Map!$A$2:$A$287,$A60,KPI_Element_Map!$G$2:$G$287,AE$1)&gt;0,1,"")</f>
        <v/>
      </c>
      <c r="AF60" s="21" t="str">
        <f>IF(COUNTIFS(KPI_Element_Map!$A$2:$A$287,$A60,KPI_Element_Map!$G$2:$G$287,AF$1)&gt;0,1,"")</f>
        <v/>
      </c>
      <c r="AG60" s="21" t="str">
        <f>IF(COUNTIFS(KPI_Element_Map!$A$2:$A$287,$A60,KPI_Element_Map!$G$2:$G$287,AG$1)&gt;0,1,"")</f>
        <v/>
      </c>
      <c r="AH60" s="21" t="str">
        <f>IF(COUNTIFS(KPI_Element_Map!$A$2:$A$287,$A60,KPI_Element_Map!$G$2:$G$287,AH$1)&gt;0,1,"")</f>
        <v/>
      </c>
      <c r="AI60" s="21" t="str">
        <f>IF(COUNTIFS(KPI_Element_Map!$A$2:$A$287,$A60,KPI_Element_Map!$G$2:$G$287,AI$1)&gt;0,1,"")</f>
        <v/>
      </c>
      <c r="AJ60" s="21" t="str">
        <f>IF(COUNTIFS(KPI_Element_Map!$A$2:$A$287,$A60,KPI_Element_Map!$G$2:$G$287,AJ$1)&gt;0,1,"")</f>
        <v/>
      </c>
      <c r="AK60" s="21" t="str">
        <f>IF(COUNTIFS(KPI_Element_Map!$A$2:$A$287,$A60,KPI_Element_Map!$G$2:$G$287,AK$1)&gt;0,1,"")</f>
        <v/>
      </c>
    </row>
    <row r="61" spans="1:37">
      <c r="A61" s="21">
        <v>60</v>
      </c>
      <c r="B61" s="23" t="str">
        <f>INDEX(KPI_Master!$B:$B,MATCH($A61,KPI_Master!$A:$A,0))</f>
        <v>HRP-22</v>
      </c>
      <c r="C61" s="23" t="str">
        <f>INDEX(KPI_Master!$D:$D,MATCH($A61,KPI_Master!$A:$A,0))</f>
        <v>Dietary Average Annual Wage per FTE</v>
      </c>
      <c r="D61" s="23" t="str">
        <f>INDEX(KPI_Master!$K:$K,MATCH($A61,KPI_Master!$A:$A,0))</f>
        <v>3 - Optional</v>
      </c>
      <c r="E61" s="23" t="str">
        <f t="array" ref="E61">_xlfn.TEXTJOIN(", ",TRUE(),IF(KPI_Element_Map!$A$2:$A$287=$A61,KPI_Element_Map!$E$2:$E$287,""))</f>
        <v>E27, E28</v>
      </c>
      <c r="F61" s="21">
        <f t="shared" si="1"/>
        <v>1</v>
      </c>
      <c r="G61" s="21" t="str">
        <f>IF(COUNTIFS(KPI_Element_Map!$A$2:$A$287,$A61,KPI_Element_Map!$G$2:$G$287,G$1)&gt;0,1,"")</f>
        <v/>
      </c>
      <c r="H61" s="21" t="str">
        <f>IF(COUNTIFS(KPI_Element_Map!$A$2:$A$287,$A61,KPI_Element_Map!$G$2:$G$287,H$1)&gt;0,1,"")</f>
        <v/>
      </c>
      <c r="I61" s="21" t="str">
        <f>IF(COUNTIFS(KPI_Element_Map!$A$2:$A$287,$A61,KPI_Element_Map!$G$2:$G$287,I$1)&gt;0,1,"")</f>
        <v/>
      </c>
      <c r="J61" s="21" t="str">
        <f>IF(COUNTIFS(KPI_Element_Map!$A$2:$A$287,$A61,KPI_Element_Map!$G$2:$G$287,J$1)&gt;0,1,"")</f>
        <v/>
      </c>
      <c r="K61" s="21" t="str">
        <f>IF(COUNTIFS(KPI_Element_Map!$A$2:$A$287,$A61,KPI_Element_Map!$G$2:$G$287,K$1)&gt;0,1,"")</f>
        <v/>
      </c>
      <c r="L61" s="21">
        <f>IF(COUNTIFS(KPI_Element_Map!$A$2:$A$287,$A61,KPI_Element_Map!$G$2:$G$287,L$1)&gt;0,1,"")</f>
        <v>1</v>
      </c>
      <c r="M61" s="21" t="str">
        <f>IF(COUNTIFS(KPI_Element_Map!$A$2:$A$287,$A61,KPI_Element_Map!$G$2:$G$287,M$1)&gt;0,1,"")</f>
        <v/>
      </c>
      <c r="N61" s="21" t="str">
        <f>IF(COUNTIFS(KPI_Element_Map!$A$2:$A$287,$A61,KPI_Element_Map!$G$2:$G$287,N$1)&gt;0,1,"")</f>
        <v/>
      </c>
      <c r="O61" s="21" t="str">
        <f>IF(COUNTIFS(KPI_Element_Map!$A$2:$A$287,$A61,KPI_Element_Map!$G$2:$G$287,O$1)&gt;0,1,"")</f>
        <v/>
      </c>
      <c r="P61" s="21" t="str">
        <f>IF(COUNTIFS(KPI_Element_Map!$A$2:$A$287,$A61,KPI_Element_Map!$G$2:$G$287,P$1)&gt;0,1,"")</f>
        <v/>
      </c>
      <c r="Q61" s="21" t="str">
        <f>IF(COUNTIFS(KPI_Element_Map!$A$2:$A$287,$A61,KPI_Element_Map!$G$2:$G$287,Q$1)&gt;0,1,"")</f>
        <v/>
      </c>
      <c r="R61" s="21" t="str">
        <f>IF(COUNTIFS(KPI_Element_Map!$A$2:$A$287,$A61,KPI_Element_Map!$G$2:$G$287,R$1)&gt;0,1,"")</f>
        <v/>
      </c>
      <c r="S61" s="21" t="str">
        <f>IF(COUNTIFS(KPI_Element_Map!$A$2:$A$287,$A61,KPI_Element_Map!$G$2:$G$287,S$1)&gt;0,1,"")</f>
        <v/>
      </c>
      <c r="T61" s="21" t="str">
        <f>IF(COUNTIFS(KPI_Element_Map!$A$2:$A$287,$A61,KPI_Element_Map!$G$2:$G$287,T$1)&gt;0,1,"")</f>
        <v/>
      </c>
      <c r="U61" s="21" t="str">
        <f>IF(COUNTIFS(KPI_Element_Map!$A$2:$A$287,$A61,KPI_Element_Map!$G$2:$G$287,U$1)&gt;0,1,"")</f>
        <v/>
      </c>
      <c r="V61" s="21" t="str">
        <f>IF(COUNTIFS(KPI_Element_Map!$A$2:$A$287,$A61,KPI_Element_Map!$G$2:$G$287,V$1)&gt;0,1,"")</f>
        <v/>
      </c>
      <c r="W61" s="21" t="str">
        <f>IF(COUNTIFS(KPI_Element_Map!$A$2:$A$287,$A61,KPI_Element_Map!$G$2:$G$287,W$1)&gt;0,1,"")</f>
        <v/>
      </c>
      <c r="X61" s="21" t="str">
        <f>IF(COUNTIFS(KPI_Element_Map!$A$2:$A$287,$A61,KPI_Element_Map!$G$2:$G$287,X$1)&gt;0,1,"")</f>
        <v/>
      </c>
      <c r="Y61" s="21" t="str">
        <f>IF(COUNTIFS(KPI_Element_Map!$A$2:$A$287,$A61,KPI_Element_Map!$G$2:$G$287,Y$1)&gt;0,1,"")</f>
        <v/>
      </c>
      <c r="Z61" s="21" t="str">
        <f>IF(COUNTIFS(KPI_Element_Map!$A$2:$A$287,$A61,KPI_Element_Map!$G$2:$G$287,Z$1)&gt;0,1,"")</f>
        <v/>
      </c>
      <c r="AA61" s="21" t="str">
        <f>IF(COUNTIFS(KPI_Element_Map!$A$2:$A$287,$A61,KPI_Element_Map!$G$2:$G$287,AA$1)&gt;0,1,"")</f>
        <v/>
      </c>
      <c r="AB61" s="21" t="str">
        <f>IF(COUNTIFS(KPI_Element_Map!$A$2:$A$287,$A61,KPI_Element_Map!$G$2:$G$287,AB$1)&gt;0,1,"")</f>
        <v/>
      </c>
      <c r="AC61" s="21" t="str">
        <f>IF(COUNTIFS(KPI_Element_Map!$A$2:$A$287,$A61,KPI_Element_Map!$G$2:$G$287,AC$1)&gt;0,1,"")</f>
        <v/>
      </c>
      <c r="AD61" s="21" t="str">
        <f>IF(COUNTIFS(KPI_Element_Map!$A$2:$A$287,$A61,KPI_Element_Map!$G$2:$G$287,AD$1)&gt;0,1,"")</f>
        <v/>
      </c>
      <c r="AE61" s="21" t="str">
        <f>IF(COUNTIFS(KPI_Element_Map!$A$2:$A$287,$A61,KPI_Element_Map!$G$2:$G$287,AE$1)&gt;0,1,"")</f>
        <v/>
      </c>
      <c r="AF61" s="21" t="str">
        <f>IF(COUNTIFS(KPI_Element_Map!$A$2:$A$287,$A61,KPI_Element_Map!$G$2:$G$287,AF$1)&gt;0,1,"")</f>
        <v/>
      </c>
      <c r="AG61" s="21" t="str">
        <f>IF(COUNTIFS(KPI_Element_Map!$A$2:$A$287,$A61,KPI_Element_Map!$G$2:$G$287,AG$1)&gt;0,1,"")</f>
        <v/>
      </c>
      <c r="AH61" s="21" t="str">
        <f>IF(COUNTIFS(KPI_Element_Map!$A$2:$A$287,$A61,KPI_Element_Map!$G$2:$G$287,AH$1)&gt;0,1,"")</f>
        <v/>
      </c>
      <c r="AI61" s="21" t="str">
        <f>IF(COUNTIFS(KPI_Element_Map!$A$2:$A$287,$A61,KPI_Element_Map!$G$2:$G$287,AI$1)&gt;0,1,"")</f>
        <v/>
      </c>
      <c r="AJ61" s="21" t="str">
        <f>IF(COUNTIFS(KPI_Element_Map!$A$2:$A$287,$A61,KPI_Element_Map!$G$2:$G$287,AJ$1)&gt;0,1,"")</f>
        <v/>
      </c>
      <c r="AK61" s="21" t="str">
        <f>IF(COUNTIFS(KPI_Element_Map!$A$2:$A$287,$A61,KPI_Element_Map!$G$2:$G$287,AK$1)&gt;0,1,"")</f>
        <v/>
      </c>
    </row>
    <row r="62" spans="1:37">
      <c r="A62" s="21">
        <v>61</v>
      </c>
      <c r="B62" s="23" t="str">
        <f>INDEX(KPI_Master!$B:$B,MATCH($A62,KPI_Master!$A:$A,0))</f>
        <v>HRP-23</v>
      </c>
      <c r="C62" s="23" t="str">
        <f>INDEX(KPI_Master!$D:$D,MATCH($A62,KPI_Master!$A:$A,0))</f>
        <v>Maintenance Average Annual Wage per FTE</v>
      </c>
      <c r="D62" s="23" t="str">
        <f>INDEX(KPI_Master!$K:$K,MATCH($A62,KPI_Master!$A:$A,0))</f>
        <v>3 - Optional</v>
      </c>
      <c r="E62" s="23" t="str">
        <f t="array" ref="E62">_xlfn.TEXTJOIN(", ",TRUE(),IF(KPI_Element_Map!$A$2:$A$287=$A62,KPI_Element_Map!$E$2:$E$287,""))</f>
        <v>E27, E28</v>
      </c>
      <c r="F62" s="21">
        <f t="shared" si="1"/>
        <v>1</v>
      </c>
      <c r="G62" s="21" t="str">
        <f>IF(COUNTIFS(KPI_Element_Map!$A$2:$A$287,$A62,KPI_Element_Map!$G$2:$G$287,G$1)&gt;0,1,"")</f>
        <v/>
      </c>
      <c r="H62" s="21" t="str">
        <f>IF(COUNTIFS(KPI_Element_Map!$A$2:$A$287,$A62,KPI_Element_Map!$G$2:$G$287,H$1)&gt;0,1,"")</f>
        <v/>
      </c>
      <c r="I62" s="21" t="str">
        <f>IF(COUNTIFS(KPI_Element_Map!$A$2:$A$287,$A62,KPI_Element_Map!$G$2:$G$287,I$1)&gt;0,1,"")</f>
        <v/>
      </c>
      <c r="J62" s="21" t="str">
        <f>IF(COUNTIFS(KPI_Element_Map!$A$2:$A$287,$A62,KPI_Element_Map!$G$2:$G$287,J$1)&gt;0,1,"")</f>
        <v/>
      </c>
      <c r="K62" s="21" t="str">
        <f>IF(COUNTIFS(KPI_Element_Map!$A$2:$A$287,$A62,KPI_Element_Map!$G$2:$G$287,K$1)&gt;0,1,"")</f>
        <v/>
      </c>
      <c r="L62" s="21">
        <f>IF(COUNTIFS(KPI_Element_Map!$A$2:$A$287,$A62,KPI_Element_Map!$G$2:$G$287,L$1)&gt;0,1,"")</f>
        <v>1</v>
      </c>
      <c r="M62" s="21" t="str">
        <f>IF(COUNTIFS(KPI_Element_Map!$A$2:$A$287,$A62,KPI_Element_Map!$G$2:$G$287,M$1)&gt;0,1,"")</f>
        <v/>
      </c>
      <c r="N62" s="21" t="str">
        <f>IF(COUNTIFS(KPI_Element_Map!$A$2:$A$287,$A62,KPI_Element_Map!$G$2:$G$287,N$1)&gt;0,1,"")</f>
        <v/>
      </c>
      <c r="O62" s="21" t="str">
        <f>IF(COUNTIFS(KPI_Element_Map!$A$2:$A$287,$A62,KPI_Element_Map!$G$2:$G$287,O$1)&gt;0,1,"")</f>
        <v/>
      </c>
      <c r="P62" s="21" t="str">
        <f>IF(COUNTIFS(KPI_Element_Map!$A$2:$A$287,$A62,KPI_Element_Map!$G$2:$G$287,P$1)&gt;0,1,"")</f>
        <v/>
      </c>
      <c r="Q62" s="21" t="str">
        <f>IF(COUNTIFS(KPI_Element_Map!$A$2:$A$287,$A62,KPI_Element_Map!$G$2:$G$287,Q$1)&gt;0,1,"")</f>
        <v/>
      </c>
      <c r="R62" s="21" t="str">
        <f>IF(COUNTIFS(KPI_Element_Map!$A$2:$A$287,$A62,KPI_Element_Map!$G$2:$G$287,R$1)&gt;0,1,"")</f>
        <v/>
      </c>
      <c r="S62" s="21" t="str">
        <f>IF(COUNTIFS(KPI_Element_Map!$A$2:$A$287,$A62,KPI_Element_Map!$G$2:$G$287,S$1)&gt;0,1,"")</f>
        <v/>
      </c>
      <c r="T62" s="21" t="str">
        <f>IF(COUNTIFS(KPI_Element_Map!$A$2:$A$287,$A62,KPI_Element_Map!$G$2:$G$287,T$1)&gt;0,1,"")</f>
        <v/>
      </c>
      <c r="U62" s="21" t="str">
        <f>IF(COUNTIFS(KPI_Element_Map!$A$2:$A$287,$A62,KPI_Element_Map!$G$2:$G$287,U$1)&gt;0,1,"")</f>
        <v/>
      </c>
      <c r="V62" s="21" t="str">
        <f>IF(COUNTIFS(KPI_Element_Map!$A$2:$A$287,$A62,KPI_Element_Map!$G$2:$G$287,V$1)&gt;0,1,"")</f>
        <v/>
      </c>
      <c r="W62" s="21" t="str">
        <f>IF(COUNTIFS(KPI_Element_Map!$A$2:$A$287,$A62,KPI_Element_Map!$G$2:$G$287,W$1)&gt;0,1,"")</f>
        <v/>
      </c>
      <c r="X62" s="21" t="str">
        <f>IF(COUNTIFS(KPI_Element_Map!$A$2:$A$287,$A62,KPI_Element_Map!$G$2:$G$287,X$1)&gt;0,1,"")</f>
        <v/>
      </c>
      <c r="Y62" s="21" t="str">
        <f>IF(COUNTIFS(KPI_Element_Map!$A$2:$A$287,$A62,KPI_Element_Map!$G$2:$G$287,Y$1)&gt;0,1,"")</f>
        <v/>
      </c>
      <c r="Z62" s="21" t="str">
        <f>IF(COUNTIFS(KPI_Element_Map!$A$2:$A$287,$A62,KPI_Element_Map!$G$2:$G$287,Z$1)&gt;0,1,"")</f>
        <v/>
      </c>
      <c r="AA62" s="21" t="str">
        <f>IF(COUNTIFS(KPI_Element_Map!$A$2:$A$287,$A62,KPI_Element_Map!$G$2:$G$287,AA$1)&gt;0,1,"")</f>
        <v/>
      </c>
      <c r="AB62" s="21" t="str">
        <f>IF(COUNTIFS(KPI_Element_Map!$A$2:$A$287,$A62,KPI_Element_Map!$G$2:$G$287,AB$1)&gt;0,1,"")</f>
        <v/>
      </c>
      <c r="AC62" s="21" t="str">
        <f>IF(COUNTIFS(KPI_Element_Map!$A$2:$A$287,$A62,KPI_Element_Map!$G$2:$G$287,AC$1)&gt;0,1,"")</f>
        <v/>
      </c>
      <c r="AD62" s="21" t="str">
        <f>IF(COUNTIFS(KPI_Element_Map!$A$2:$A$287,$A62,KPI_Element_Map!$G$2:$G$287,AD$1)&gt;0,1,"")</f>
        <v/>
      </c>
      <c r="AE62" s="21" t="str">
        <f>IF(COUNTIFS(KPI_Element_Map!$A$2:$A$287,$A62,KPI_Element_Map!$G$2:$G$287,AE$1)&gt;0,1,"")</f>
        <v/>
      </c>
      <c r="AF62" s="21" t="str">
        <f>IF(COUNTIFS(KPI_Element_Map!$A$2:$A$287,$A62,KPI_Element_Map!$G$2:$G$287,AF$1)&gt;0,1,"")</f>
        <v/>
      </c>
      <c r="AG62" s="21" t="str">
        <f>IF(COUNTIFS(KPI_Element_Map!$A$2:$A$287,$A62,KPI_Element_Map!$G$2:$G$287,AG$1)&gt;0,1,"")</f>
        <v/>
      </c>
      <c r="AH62" s="21" t="str">
        <f>IF(COUNTIFS(KPI_Element_Map!$A$2:$A$287,$A62,KPI_Element_Map!$G$2:$G$287,AH$1)&gt;0,1,"")</f>
        <v/>
      </c>
      <c r="AI62" s="21" t="str">
        <f>IF(COUNTIFS(KPI_Element_Map!$A$2:$A$287,$A62,KPI_Element_Map!$G$2:$G$287,AI$1)&gt;0,1,"")</f>
        <v/>
      </c>
      <c r="AJ62" s="21" t="str">
        <f>IF(COUNTIFS(KPI_Element_Map!$A$2:$A$287,$A62,KPI_Element_Map!$G$2:$G$287,AJ$1)&gt;0,1,"")</f>
        <v/>
      </c>
      <c r="AK62" s="21" t="str">
        <f>IF(COUNTIFS(KPI_Element_Map!$A$2:$A$287,$A62,KPI_Element_Map!$G$2:$G$287,AK$1)&gt;0,1,"")</f>
        <v/>
      </c>
    </row>
    <row r="63" spans="1:37">
      <c r="A63" s="21">
        <v>62</v>
      </c>
      <c r="B63" s="23" t="str">
        <f>INDEX(KPI_Master!$B:$B,MATCH($A63,KPI_Master!$A:$A,0))</f>
        <v>HRP-24</v>
      </c>
      <c r="C63" s="23" t="str">
        <f>INDEX(KPI_Master!$D:$D,MATCH($A63,KPI_Master!$A:$A,0))</f>
        <v>Benefits as % of Salaries and Wages</v>
      </c>
      <c r="D63" s="23" t="str">
        <f>INDEX(KPI_Master!$K:$K,MATCH($A63,KPI_Master!$A:$A,0))</f>
        <v>2 - Standard</v>
      </c>
      <c r="E63" s="23" t="str">
        <f t="array" ref="E63">_xlfn.TEXTJOIN(", ",TRUE(),IF(KPI_Element_Map!$A$2:$A$287=$A63,KPI_Element_Map!$E$2:$E$287,""))</f>
        <v>E23</v>
      </c>
      <c r="F63" s="21">
        <f t="shared" si="1"/>
        <v>1</v>
      </c>
      <c r="G63" s="21" t="str">
        <f>IF(COUNTIFS(KPI_Element_Map!$A$2:$A$287,$A63,KPI_Element_Map!$G$2:$G$287,G$1)&gt;0,1,"")</f>
        <v/>
      </c>
      <c r="H63" s="21" t="str">
        <f>IF(COUNTIFS(KPI_Element_Map!$A$2:$A$287,$A63,KPI_Element_Map!$G$2:$G$287,H$1)&gt;0,1,"")</f>
        <v/>
      </c>
      <c r="I63" s="21">
        <f>IF(COUNTIFS(KPI_Element_Map!$A$2:$A$287,$A63,KPI_Element_Map!$G$2:$G$287,I$1)&gt;0,1,"")</f>
        <v>1</v>
      </c>
      <c r="J63" s="21" t="str">
        <f>IF(COUNTIFS(KPI_Element_Map!$A$2:$A$287,$A63,KPI_Element_Map!$G$2:$G$287,J$1)&gt;0,1,"")</f>
        <v/>
      </c>
      <c r="K63" s="21" t="str">
        <f>IF(COUNTIFS(KPI_Element_Map!$A$2:$A$287,$A63,KPI_Element_Map!$G$2:$G$287,K$1)&gt;0,1,"")</f>
        <v/>
      </c>
      <c r="L63" s="21" t="str">
        <f>IF(COUNTIFS(KPI_Element_Map!$A$2:$A$287,$A63,KPI_Element_Map!$G$2:$G$287,L$1)&gt;0,1,"")</f>
        <v/>
      </c>
      <c r="M63" s="21" t="str">
        <f>IF(COUNTIFS(KPI_Element_Map!$A$2:$A$287,$A63,KPI_Element_Map!$G$2:$G$287,M$1)&gt;0,1,"")</f>
        <v/>
      </c>
      <c r="N63" s="21" t="str">
        <f>IF(COUNTIFS(KPI_Element_Map!$A$2:$A$287,$A63,KPI_Element_Map!$G$2:$G$287,N$1)&gt;0,1,"")</f>
        <v/>
      </c>
      <c r="O63" s="21" t="str">
        <f>IF(COUNTIFS(KPI_Element_Map!$A$2:$A$287,$A63,KPI_Element_Map!$G$2:$G$287,O$1)&gt;0,1,"")</f>
        <v/>
      </c>
      <c r="P63" s="21" t="str">
        <f>IF(COUNTIFS(KPI_Element_Map!$A$2:$A$287,$A63,KPI_Element_Map!$G$2:$G$287,P$1)&gt;0,1,"")</f>
        <v/>
      </c>
      <c r="Q63" s="21" t="str">
        <f>IF(COUNTIFS(KPI_Element_Map!$A$2:$A$287,$A63,KPI_Element_Map!$G$2:$G$287,Q$1)&gt;0,1,"")</f>
        <v/>
      </c>
      <c r="R63" s="21" t="str">
        <f>IF(COUNTIFS(KPI_Element_Map!$A$2:$A$287,$A63,KPI_Element_Map!$G$2:$G$287,R$1)&gt;0,1,"")</f>
        <v/>
      </c>
      <c r="S63" s="21" t="str">
        <f>IF(COUNTIFS(KPI_Element_Map!$A$2:$A$287,$A63,KPI_Element_Map!$G$2:$G$287,S$1)&gt;0,1,"")</f>
        <v/>
      </c>
      <c r="T63" s="21" t="str">
        <f>IF(COUNTIFS(KPI_Element_Map!$A$2:$A$287,$A63,KPI_Element_Map!$G$2:$G$287,T$1)&gt;0,1,"")</f>
        <v/>
      </c>
      <c r="U63" s="21" t="str">
        <f>IF(COUNTIFS(KPI_Element_Map!$A$2:$A$287,$A63,KPI_Element_Map!$G$2:$G$287,U$1)&gt;0,1,"")</f>
        <v/>
      </c>
      <c r="V63" s="21" t="str">
        <f>IF(COUNTIFS(KPI_Element_Map!$A$2:$A$287,$A63,KPI_Element_Map!$G$2:$G$287,V$1)&gt;0,1,"")</f>
        <v/>
      </c>
      <c r="W63" s="21" t="str">
        <f>IF(COUNTIFS(KPI_Element_Map!$A$2:$A$287,$A63,KPI_Element_Map!$G$2:$G$287,W$1)&gt;0,1,"")</f>
        <v/>
      </c>
      <c r="X63" s="21" t="str">
        <f>IF(COUNTIFS(KPI_Element_Map!$A$2:$A$287,$A63,KPI_Element_Map!$G$2:$G$287,X$1)&gt;0,1,"")</f>
        <v/>
      </c>
      <c r="Y63" s="21" t="str">
        <f>IF(COUNTIFS(KPI_Element_Map!$A$2:$A$287,$A63,KPI_Element_Map!$G$2:$G$287,Y$1)&gt;0,1,"")</f>
        <v/>
      </c>
      <c r="Z63" s="21" t="str">
        <f>IF(COUNTIFS(KPI_Element_Map!$A$2:$A$287,$A63,KPI_Element_Map!$G$2:$G$287,Z$1)&gt;0,1,"")</f>
        <v/>
      </c>
      <c r="AA63" s="21" t="str">
        <f>IF(COUNTIFS(KPI_Element_Map!$A$2:$A$287,$A63,KPI_Element_Map!$G$2:$G$287,AA$1)&gt;0,1,"")</f>
        <v/>
      </c>
      <c r="AB63" s="21" t="str">
        <f>IF(COUNTIFS(KPI_Element_Map!$A$2:$A$287,$A63,KPI_Element_Map!$G$2:$G$287,AB$1)&gt;0,1,"")</f>
        <v/>
      </c>
      <c r="AC63" s="21" t="str">
        <f>IF(COUNTIFS(KPI_Element_Map!$A$2:$A$287,$A63,KPI_Element_Map!$G$2:$G$287,AC$1)&gt;0,1,"")</f>
        <v/>
      </c>
      <c r="AD63" s="21" t="str">
        <f>IF(COUNTIFS(KPI_Element_Map!$A$2:$A$287,$A63,KPI_Element_Map!$G$2:$G$287,AD$1)&gt;0,1,"")</f>
        <v/>
      </c>
      <c r="AE63" s="21" t="str">
        <f>IF(COUNTIFS(KPI_Element_Map!$A$2:$A$287,$A63,KPI_Element_Map!$G$2:$G$287,AE$1)&gt;0,1,"")</f>
        <v/>
      </c>
      <c r="AF63" s="21" t="str">
        <f>IF(COUNTIFS(KPI_Element_Map!$A$2:$A$287,$A63,KPI_Element_Map!$G$2:$G$287,AF$1)&gt;0,1,"")</f>
        <v/>
      </c>
      <c r="AG63" s="21" t="str">
        <f>IF(COUNTIFS(KPI_Element_Map!$A$2:$A$287,$A63,KPI_Element_Map!$G$2:$G$287,AG$1)&gt;0,1,"")</f>
        <v/>
      </c>
      <c r="AH63" s="21" t="str">
        <f>IF(COUNTIFS(KPI_Element_Map!$A$2:$A$287,$A63,KPI_Element_Map!$G$2:$G$287,AH$1)&gt;0,1,"")</f>
        <v/>
      </c>
      <c r="AI63" s="21" t="str">
        <f>IF(COUNTIFS(KPI_Element_Map!$A$2:$A$287,$A63,KPI_Element_Map!$G$2:$G$287,AI$1)&gt;0,1,"")</f>
        <v/>
      </c>
      <c r="AJ63" s="21" t="str">
        <f>IF(COUNTIFS(KPI_Element_Map!$A$2:$A$287,$A63,KPI_Element_Map!$G$2:$G$287,AJ$1)&gt;0,1,"")</f>
        <v/>
      </c>
      <c r="AK63" s="21" t="str">
        <f>IF(COUNTIFS(KPI_Element_Map!$A$2:$A$287,$A63,KPI_Element_Map!$G$2:$G$287,AK$1)&gt;0,1,"")</f>
        <v/>
      </c>
    </row>
    <row r="64" spans="1:37">
      <c r="A64" s="21">
        <v>63</v>
      </c>
      <c r="B64" s="23" t="str">
        <f>INDEX(KPI_Master!$B:$B,MATCH($A64,KPI_Master!$A:$A,0))</f>
        <v>HRP-25</v>
      </c>
      <c r="C64" s="23" t="str">
        <f>INDEX(KPI_Master!$D:$D,MATCH($A64,KPI_Master!$A:$A,0))</f>
        <v>Benefits Cost per FTE</v>
      </c>
      <c r="D64" s="23" t="str">
        <f>INDEX(KPI_Master!$K:$K,MATCH($A64,KPI_Master!$A:$A,0))</f>
        <v>3 - Optional</v>
      </c>
      <c r="E64" s="23" t="str">
        <f t="array" ref="E64">_xlfn.TEXTJOIN(", ",TRUE(),IF(KPI_Element_Map!$A$2:$A$287=$A64,KPI_Element_Map!$E$2:$E$287,""))</f>
        <v>E23, E28</v>
      </c>
      <c r="F64" s="21">
        <f t="shared" si="1"/>
        <v>2</v>
      </c>
      <c r="G64" s="21" t="str">
        <f>IF(COUNTIFS(KPI_Element_Map!$A$2:$A$287,$A64,KPI_Element_Map!$G$2:$G$287,G$1)&gt;0,1,"")</f>
        <v/>
      </c>
      <c r="H64" s="21" t="str">
        <f>IF(COUNTIFS(KPI_Element_Map!$A$2:$A$287,$A64,KPI_Element_Map!$G$2:$G$287,H$1)&gt;0,1,"")</f>
        <v/>
      </c>
      <c r="I64" s="21">
        <f>IF(COUNTIFS(KPI_Element_Map!$A$2:$A$287,$A64,KPI_Element_Map!$G$2:$G$287,I$1)&gt;0,1,"")</f>
        <v>1</v>
      </c>
      <c r="J64" s="21" t="str">
        <f>IF(COUNTIFS(KPI_Element_Map!$A$2:$A$287,$A64,KPI_Element_Map!$G$2:$G$287,J$1)&gt;0,1,"")</f>
        <v/>
      </c>
      <c r="K64" s="21" t="str">
        <f>IF(COUNTIFS(KPI_Element_Map!$A$2:$A$287,$A64,KPI_Element_Map!$G$2:$G$287,K$1)&gt;0,1,"")</f>
        <v/>
      </c>
      <c r="L64" s="21">
        <f>IF(COUNTIFS(KPI_Element_Map!$A$2:$A$287,$A64,KPI_Element_Map!$G$2:$G$287,L$1)&gt;0,1,"")</f>
        <v>1</v>
      </c>
      <c r="M64" s="21" t="str">
        <f>IF(COUNTIFS(KPI_Element_Map!$A$2:$A$287,$A64,KPI_Element_Map!$G$2:$G$287,M$1)&gt;0,1,"")</f>
        <v/>
      </c>
      <c r="N64" s="21" t="str">
        <f>IF(COUNTIFS(KPI_Element_Map!$A$2:$A$287,$A64,KPI_Element_Map!$G$2:$G$287,N$1)&gt;0,1,"")</f>
        <v/>
      </c>
      <c r="O64" s="21" t="str">
        <f>IF(COUNTIFS(KPI_Element_Map!$A$2:$A$287,$A64,KPI_Element_Map!$G$2:$G$287,O$1)&gt;0,1,"")</f>
        <v/>
      </c>
      <c r="P64" s="21" t="str">
        <f>IF(COUNTIFS(KPI_Element_Map!$A$2:$A$287,$A64,KPI_Element_Map!$G$2:$G$287,P$1)&gt;0,1,"")</f>
        <v/>
      </c>
      <c r="Q64" s="21" t="str">
        <f>IF(COUNTIFS(KPI_Element_Map!$A$2:$A$287,$A64,KPI_Element_Map!$G$2:$G$287,Q$1)&gt;0,1,"")</f>
        <v/>
      </c>
      <c r="R64" s="21" t="str">
        <f>IF(COUNTIFS(KPI_Element_Map!$A$2:$A$287,$A64,KPI_Element_Map!$G$2:$G$287,R$1)&gt;0,1,"")</f>
        <v/>
      </c>
      <c r="S64" s="21" t="str">
        <f>IF(COUNTIFS(KPI_Element_Map!$A$2:$A$287,$A64,KPI_Element_Map!$G$2:$G$287,S$1)&gt;0,1,"")</f>
        <v/>
      </c>
      <c r="T64" s="21" t="str">
        <f>IF(COUNTIFS(KPI_Element_Map!$A$2:$A$287,$A64,KPI_Element_Map!$G$2:$G$287,T$1)&gt;0,1,"")</f>
        <v/>
      </c>
      <c r="U64" s="21" t="str">
        <f>IF(COUNTIFS(KPI_Element_Map!$A$2:$A$287,$A64,KPI_Element_Map!$G$2:$G$287,U$1)&gt;0,1,"")</f>
        <v/>
      </c>
      <c r="V64" s="21" t="str">
        <f>IF(COUNTIFS(KPI_Element_Map!$A$2:$A$287,$A64,KPI_Element_Map!$G$2:$G$287,V$1)&gt;0,1,"")</f>
        <v/>
      </c>
      <c r="W64" s="21" t="str">
        <f>IF(COUNTIFS(KPI_Element_Map!$A$2:$A$287,$A64,KPI_Element_Map!$G$2:$G$287,W$1)&gt;0,1,"")</f>
        <v/>
      </c>
      <c r="X64" s="21" t="str">
        <f>IF(COUNTIFS(KPI_Element_Map!$A$2:$A$287,$A64,KPI_Element_Map!$G$2:$G$287,X$1)&gt;0,1,"")</f>
        <v/>
      </c>
      <c r="Y64" s="21" t="str">
        <f>IF(COUNTIFS(KPI_Element_Map!$A$2:$A$287,$A64,KPI_Element_Map!$G$2:$G$287,Y$1)&gt;0,1,"")</f>
        <v/>
      </c>
      <c r="Z64" s="21" t="str">
        <f>IF(COUNTIFS(KPI_Element_Map!$A$2:$A$287,$A64,KPI_Element_Map!$G$2:$G$287,Z$1)&gt;0,1,"")</f>
        <v/>
      </c>
      <c r="AA64" s="21" t="str">
        <f>IF(COUNTIFS(KPI_Element_Map!$A$2:$A$287,$A64,KPI_Element_Map!$G$2:$G$287,AA$1)&gt;0,1,"")</f>
        <v/>
      </c>
      <c r="AB64" s="21" t="str">
        <f>IF(COUNTIFS(KPI_Element_Map!$A$2:$A$287,$A64,KPI_Element_Map!$G$2:$G$287,AB$1)&gt;0,1,"")</f>
        <v/>
      </c>
      <c r="AC64" s="21" t="str">
        <f>IF(COUNTIFS(KPI_Element_Map!$A$2:$A$287,$A64,KPI_Element_Map!$G$2:$G$287,AC$1)&gt;0,1,"")</f>
        <v/>
      </c>
      <c r="AD64" s="21" t="str">
        <f>IF(COUNTIFS(KPI_Element_Map!$A$2:$A$287,$A64,KPI_Element_Map!$G$2:$G$287,AD$1)&gt;0,1,"")</f>
        <v/>
      </c>
      <c r="AE64" s="21" t="str">
        <f>IF(COUNTIFS(KPI_Element_Map!$A$2:$A$287,$A64,KPI_Element_Map!$G$2:$G$287,AE$1)&gt;0,1,"")</f>
        <v/>
      </c>
      <c r="AF64" s="21" t="str">
        <f>IF(COUNTIFS(KPI_Element_Map!$A$2:$A$287,$A64,KPI_Element_Map!$G$2:$G$287,AF$1)&gt;0,1,"")</f>
        <v/>
      </c>
      <c r="AG64" s="21" t="str">
        <f>IF(COUNTIFS(KPI_Element_Map!$A$2:$A$287,$A64,KPI_Element_Map!$G$2:$G$287,AG$1)&gt;0,1,"")</f>
        <v/>
      </c>
      <c r="AH64" s="21" t="str">
        <f>IF(COUNTIFS(KPI_Element_Map!$A$2:$A$287,$A64,KPI_Element_Map!$G$2:$G$287,AH$1)&gt;0,1,"")</f>
        <v/>
      </c>
      <c r="AI64" s="21" t="str">
        <f>IF(COUNTIFS(KPI_Element_Map!$A$2:$A$287,$A64,KPI_Element_Map!$G$2:$G$287,AI$1)&gt;0,1,"")</f>
        <v/>
      </c>
      <c r="AJ64" s="21" t="str">
        <f>IF(COUNTIFS(KPI_Element_Map!$A$2:$A$287,$A64,KPI_Element_Map!$G$2:$G$287,AJ$1)&gt;0,1,"")</f>
        <v/>
      </c>
      <c r="AK64" s="21" t="str">
        <f>IF(COUNTIFS(KPI_Element_Map!$A$2:$A$287,$A64,KPI_Element_Map!$G$2:$G$287,AK$1)&gt;0,1,"")</f>
        <v/>
      </c>
    </row>
    <row r="65" spans="1:37">
      <c r="A65" s="21">
        <v>64</v>
      </c>
      <c r="B65" s="23" t="str">
        <f>INDEX(KPI_Master!$B:$B,MATCH($A65,KPI_Master!$A:$A,0))</f>
        <v>HRP-26</v>
      </c>
      <c r="C65" s="23" t="str">
        <f>INDEX(KPI_Master!$D:$D,MATCH($A65,KPI_Master!$A:$A,0))</f>
        <v>Employees per HR Staff Member</v>
      </c>
      <c r="D65" s="23" t="str">
        <f>INDEX(KPI_Master!$K:$K,MATCH($A65,KPI_Master!$A:$A,0))</f>
        <v>3 - Optional</v>
      </c>
      <c r="E65" s="23" t="str">
        <f t="array" ref="E65">_xlfn.TEXTJOIN(", ",TRUE(),IF(KPI_Element_Map!$A$2:$A$287=$A65,KPI_Element_Map!$E$2:$E$287,""))</f>
        <v>E30, E28</v>
      </c>
      <c r="F65" s="21">
        <f t="shared" si="1"/>
        <v>2</v>
      </c>
      <c r="G65" s="21" t="str">
        <f>IF(COUNTIFS(KPI_Element_Map!$A$2:$A$287,$A65,KPI_Element_Map!$G$2:$G$287,G$1)&gt;0,1,"")</f>
        <v/>
      </c>
      <c r="H65" s="21" t="str">
        <f>IF(COUNTIFS(KPI_Element_Map!$A$2:$A$287,$A65,KPI_Element_Map!$G$2:$G$287,H$1)&gt;0,1,"")</f>
        <v/>
      </c>
      <c r="I65" s="21" t="str">
        <f>IF(COUNTIFS(KPI_Element_Map!$A$2:$A$287,$A65,KPI_Element_Map!$G$2:$G$287,I$1)&gt;0,1,"")</f>
        <v/>
      </c>
      <c r="J65" s="21" t="str">
        <f>IF(COUNTIFS(KPI_Element_Map!$A$2:$A$287,$A65,KPI_Element_Map!$G$2:$G$287,J$1)&gt;0,1,"")</f>
        <v/>
      </c>
      <c r="K65" s="21" t="str">
        <f>IF(COUNTIFS(KPI_Element_Map!$A$2:$A$287,$A65,KPI_Element_Map!$G$2:$G$287,K$1)&gt;0,1,"")</f>
        <v/>
      </c>
      <c r="L65" s="21">
        <f>IF(COUNTIFS(KPI_Element_Map!$A$2:$A$287,$A65,KPI_Element_Map!$G$2:$G$287,L$1)&gt;0,1,"")</f>
        <v>1</v>
      </c>
      <c r="M65" s="21" t="str">
        <f>IF(COUNTIFS(KPI_Element_Map!$A$2:$A$287,$A65,KPI_Element_Map!$G$2:$G$287,M$1)&gt;0,1,"")</f>
        <v/>
      </c>
      <c r="N65" s="21">
        <f>IF(COUNTIFS(KPI_Element_Map!$A$2:$A$287,$A65,KPI_Element_Map!$G$2:$G$287,N$1)&gt;0,1,"")</f>
        <v>1</v>
      </c>
      <c r="O65" s="21" t="str">
        <f>IF(COUNTIFS(KPI_Element_Map!$A$2:$A$287,$A65,KPI_Element_Map!$G$2:$G$287,O$1)&gt;0,1,"")</f>
        <v/>
      </c>
      <c r="P65" s="21" t="str">
        <f>IF(COUNTIFS(KPI_Element_Map!$A$2:$A$287,$A65,KPI_Element_Map!$G$2:$G$287,P$1)&gt;0,1,"")</f>
        <v/>
      </c>
      <c r="Q65" s="21" t="str">
        <f>IF(COUNTIFS(KPI_Element_Map!$A$2:$A$287,$A65,KPI_Element_Map!$G$2:$G$287,Q$1)&gt;0,1,"")</f>
        <v/>
      </c>
      <c r="R65" s="21" t="str">
        <f>IF(COUNTIFS(KPI_Element_Map!$A$2:$A$287,$A65,KPI_Element_Map!$G$2:$G$287,R$1)&gt;0,1,"")</f>
        <v/>
      </c>
      <c r="S65" s="21" t="str">
        <f>IF(COUNTIFS(KPI_Element_Map!$A$2:$A$287,$A65,KPI_Element_Map!$G$2:$G$287,S$1)&gt;0,1,"")</f>
        <v/>
      </c>
      <c r="T65" s="21" t="str">
        <f>IF(COUNTIFS(KPI_Element_Map!$A$2:$A$287,$A65,KPI_Element_Map!$G$2:$G$287,T$1)&gt;0,1,"")</f>
        <v/>
      </c>
      <c r="U65" s="21" t="str">
        <f>IF(COUNTIFS(KPI_Element_Map!$A$2:$A$287,$A65,KPI_Element_Map!$G$2:$G$287,U$1)&gt;0,1,"")</f>
        <v/>
      </c>
      <c r="V65" s="21" t="str">
        <f>IF(COUNTIFS(KPI_Element_Map!$A$2:$A$287,$A65,KPI_Element_Map!$G$2:$G$287,V$1)&gt;0,1,"")</f>
        <v/>
      </c>
      <c r="W65" s="21" t="str">
        <f>IF(COUNTIFS(KPI_Element_Map!$A$2:$A$287,$A65,KPI_Element_Map!$G$2:$G$287,W$1)&gt;0,1,"")</f>
        <v/>
      </c>
      <c r="X65" s="21" t="str">
        <f>IF(COUNTIFS(KPI_Element_Map!$A$2:$A$287,$A65,KPI_Element_Map!$G$2:$G$287,X$1)&gt;0,1,"")</f>
        <v/>
      </c>
      <c r="Y65" s="21" t="str">
        <f>IF(COUNTIFS(KPI_Element_Map!$A$2:$A$287,$A65,KPI_Element_Map!$G$2:$G$287,Y$1)&gt;0,1,"")</f>
        <v/>
      </c>
      <c r="Z65" s="21" t="str">
        <f>IF(COUNTIFS(KPI_Element_Map!$A$2:$A$287,$A65,KPI_Element_Map!$G$2:$G$287,Z$1)&gt;0,1,"")</f>
        <v/>
      </c>
      <c r="AA65" s="21" t="str">
        <f>IF(COUNTIFS(KPI_Element_Map!$A$2:$A$287,$A65,KPI_Element_Map!$G$2:$G$287,AA$1)&gt;0,1,"")</f>
        <v/>
      </c>
      <c r="AB65" s="21" t="str">
        <f>IF(COUNTIFS(KPI_Element_Map!$A$2:$A$287,$A65,KPI_Element_Map!$G$2:$G$287,AB$1)&gt;0,1,"")</f>
        <v/>
      </c>
      <c r="AC65" s="21" t="str">
        <f>IF(COUNTIFS(KPI_Element_Map!$A$2:$A$287,$A65,KPI_Element_Map!$G$2:$G$287,AC$1)&gt;0,1,"")</f>
        <v/>
      </c>
      <c r="AD65" s="21" t="str">
        <f>IF(COUNTIFS(KPI_Element_Map!$A$2:$A$287,$A65,KPI_Element_Map!$G$2:$G$287,AD$1)&gt;0,1,"")</f>
        <v/>
      </c>
      <c r="AE65" s="21" t="str">
        <f>IF(COUNTIFS(KPI_Element_Map!$A$2:$A$287,$A65,KPI_Element_Map!$G$2:$G$287,AE$1)&gt;0,1,"")</f>
        <v/>
      </c>
      <c r="AF65" s="21" t="str">
        <f>IF(COUNTIFS(KPI_Element_Map!$A$2:$A$287,$A65,KPI_Element_Map!$G$2:$G$287,AF$1)&gt;0,1,"")</f>
        <v/>
      </c>
      <c r="AG65" s="21" t="str">
        <f>IF(COUNTIFS(KPI_Element_Map!$A$2:$A$287,$A65,KPI_Element_Map!$G$2:$G$287,AG$1)&gt;0,1,"")</f>
        <v/>
      </c>
      <c r="AH65" s="21" t="str">
        <f>IF(COUNTIFS(KPI_Element_Map!$A$2:$A$287,$A65,KPI_Element_Map!$G$2:$G$287,AH$1)&gt;0,1,"")</f>
        <v/>
      </c>
      <c r="AI65" s="21" t="str">
        <f>IF(COUNTIFS(KPI_Element_Map!$A$2:$A$287,$A65,KPI_Element_Map!$G$2:$G$287,AI$1)&gt;0,1,"")</f>
        <v/>
      </c>
      <c r="AJ65" s="21" t="str">
        <f>IF(COUNTIFS(KPI_Element_Map!$A$2:$A$287,$A65,KPI_Element_Map!$G$2:$G$287,AJ$1)&gt;0,1,"")</f>
        <v/>
      </c>
      <c r="AK65" s="21" t="str">
        <f>IF(COUNTIFS(KPI_Element_Map!$A$2:$A$287,$A65,KPI_Element_Map!$G$2:$G$287,AK$1)&gt;0,1,"")</f>
        <v/>
      </c>
    </row>
    <row r="66" spans="1:37">
      <c r="A66" s="21">
        <v>65</v>
      </c>
      <c r="B66" s="23" t="str">
        <f>INDEX(KPI_Master!$B:$B,MATCH($A66,KPI_Master!$A:$A,0))</f>
        <v>HRP-27</v>
      </c>
      <c r="C66" s="23" t="str">
        <f>INDEX(KPI_Master!$D:$D,MATCH($A66,KPI_Master!$A:$A,0))</f>
        <v>RN Turnover Rate</v>
      </c>
      <c r="D66" s="23" t="str">
        <f>INDEX(KPI_Master!$K:$K,MATCH($A66,KPI_Master!$A:$A,0))</f>
        <v>2 - Standard</v>
      </c>
      <c r="E66" s="23" t="str">
        <f t="array" ref="E66">_xlfn.TEXTJOIN(", ",TRUE(),IF(KPI_Element_Map!$A$2:$A$287=$A66,KPI_Element_Map!$E$2:$E$287,""))</f>
        <v>E31, E30</v>
      </c>
      <c r="F66" s="21">
        <f t="shared" ref="F66:F97" si="2">SUM(G66:AK66)</f>
        <v>1</v>
      </c>
      <c r="G66" s="21" t="str">
        <f>IF(COUNTIFS(KPI_Element_Map!$A$2:$A$287,$A66,KPI_Element_Map!$G$2:$G$287,G$1)&gt;0,1,"")</f>
        <v/>
      </c>
      <c r="H66" s="21" t="str">
        <f>IF(COUNTIFS(KPI_Element_Map!$A$2:$A$287,$A66,KPI_Element_Map!$G$2:$G$287,H$1)&gt;0,1,"")</f>
        <v/>
      </c>
      <c r="I66" s="21" t="str">
        <f>IF(COUNTIFS(KPI_Element_Map!$A$2:$A$287,$A66,KPI_Element_Map!$G$2:$G$287,I$1)&gt;0,1,"")</f>
        <v/>
      </c>
      <c r="J66" s="21" t="str">
        <f>IF(COUNTIFS(KPI_Element_Map!$A$2:$A$287,$A66,KPI_Element_Map!$G$2:$G$287,J$1)&gt;0,1,"")</f>
        <v/>
      </c>
      <c r="K66" s="21" t="str">
        <f>IF(COUNTIFS(KPI_Element_Map!$A$2:$A$287,$A66,KPI_Element_Map!$G$2:$G$287,K$1)&gt;0,1,"")</f>
        <v/>
      </c>
      <c r="L66" s="21" t="str">
        <f>IF(COUNTIFS(KPI_Element_Map!$A$2:$A$287,$A66,KPI_Element_Map!$G$2:$G$287,L$1)&gt;0,1,"")</f>
        <v/>
      </c>
      <c r="M66" s="21" t="str">
        <f>IF(COUNTIFS(KPI_Element_Map!$A$2:$A$287,$A66,KPI_Element_Map!$G$2:$G$287,M$1)&gt;0,1,"")</f>
        <v/>
      </c>
      <c r="N66" s="21">
        <f>IF(COUNTIFS(KPI_Element_Map!$A$2:$A$287,$A66,KPI_Element_Map!$G$2:$G$287,N$1)&gt;0,1,"")</f>
        <v>1</v>
      </c>
      <c r="O66" s="21" t="str">
        <f>IF(COUNTIFS(KPI_Element_Map!$A$2:$A$287,$A66,KPI_Element_Map!$G$2:$G$287,O$1)&gt;0,1,"")</f>
        <v/>
      </c>
      <c r="P66" s="21" t="str">
        <f>IF(COUNTIFS(KPI_Element_Map!$A$2:$A$287,$A66,KPI_Element_Map!$G$2:$G$287,P$1)&gt;0,1,"")</f>
        <v/>
      </c>
      <c r="Q66" s="21" t="str">
        <f>IF(COUNTIFS(KPI_Element_Map!$A$2:$A$287,$A66,KPI_Element_Map!$G$2:$G$287,Q$1)&gt;0,1,"")</f>
        <v/>
      </c>
      <c r="R66" s="21" t="str">
        <f>IF(COUNTIFS(KPI_Element_Map!$A$2:$A$287,$A66,KPI_Element_Map!$G$2:$G$287,R$1)&gt;0,1,"")</f>
        <v/>
      </c>
      <c r="S66" s="21" t="str">
        <f>IF(COUNTIFS(KPI_Element_Map!$A$2:$A$287,$A66,KPI_Element_Map!$G$2:$G$287,S$1)&gt;0,1,"")</f>
        <v/>
      </c>
      <c r="T66" s="21" t="str">
        <f>IF(COUNTIFS(KPI_Element_Map!$A$2:$A$287,$A66,KPI_Element_Map!$G$2:$G$287,T$1)&gt;0,1,"")</f>
        <v/>
      </c>
      <c r="U66" s="21" t="str">
        <f>IF(COUNTIFS(KPI_Element_Map!$A$2:$A$287,$A66,KPI_Element_Map!$G$2:$G$287,U$1)&gt;0,1,"")</f>
        <v/>
      </c>
      <c r="V66" s="21" t="str">
        <f>IF(COUNTIFS(KPI_Element_Map!$A$2:$A$287,$A66,KPI_Element_Map!$G$2:$G$287,V$1)&gt;0,1,"")</f>
        <v/>
      </c>
      <c r="W66" s="21" t="str">
        <f>IF(COUNTIFS(KPI_Element_Map!$A$2:$A$287,$A66,KPI_Element_Map!$G$2:$G$287,W$1)&gt;0,1,"")</f>
        <v/>
      </c>
      <c r="X66" s="21" t="str">
        <f>IF(COUNTIFS(KPI_Element_Map!$A$2:$A$287,$A66,KPI_Element_Map!$G$2:$G$287,X$1)&gt;0,1,"")</f>
        <v/>
      </c>
      <c r="Y66" s="21" t="str">
        <f>IF(COUNTIFS(KPI_Element_Map!$A$2:$A$287,$A66,KPI_Element_Map!$G$2:$G$287,Y$1)&gt;0,1,"")</f>
        <v/>
      </c>
      <c r="Z66" s="21" t="str">
        <f>IF(COUNTIFS(KPI_Element_Map!$A$2:$A$287,$A66,KPI_Element_Map!$G$2:$G$287,Z$1)&gt;0,1,"")</f>
        <v/>
      </c>
      <c r="AA66" s="21" t="str">
        <f>IF(COUNTIFS(KPI_Element_Map!$A$2:$A$287,$A66,KPI_Element_Map!$G$2:$G$287,AA$1)&gt;0,1,"")</f>
        <v/>
      </c>
      <c r="AB66" s="21" t="str">
        <f>IF(COUNTIFS(KPI_Element_Map!$A$2:$A$287,$A66,KPI_Element_Map!$G$2:$G$287,AB$1)&gt;0,1,"")</f>
        <v/>
      </c>
      <c r="AC66" s="21" t="str">
        <f>IF(COUNTIFS(KPI_Element_Map!$A$2:$A$287,$A66,KPI_Element_Map!$G$2:$G$287,AC$1)&gt;0,1,"")</f>
        <v/>
      </c>
      <c r="AD66" s="21" t="str">
        <f>IF(COUNTIFS(KPI_Element_Map!$A$2:$A$287,$A66,KPI_Element_Map!$G$2:$G$287,AD$1)&gt;0,1,"")</f>
        <v/>
      </c>
      <c r="AE66" s="21" t="str">
        <f>IF(COUNTIFS(KPI_Element_Map!$A$2:$A$287,$A66,KPI_Element_Map!$G$2:$G$287,AE$1)&gt;0,1,"")</f>
        <v/>
      </c>
      <c r="AF66" s="21" t="str">
        <f>IF(COUNTIFS(KPI_Element_Map!$A$2:$A$287,$A66,KPI_Element_Map!$G$2:$G$287,AF$1)&gt;0,1,"")</f>
        <v/>
      </c>
      <c r="AG66" s="21" t="str">
        <f>IF(COUNTIFS(KPI_Element_Map!$A$2:$A$287,$A66,KPI_Element_Map!$G$2:$G$287,AG$1)&gt;0,1,"")</f>
        <v/>
      </c>
      <c r="AH66" s="21" t="str">
        <f>IF(COUNTIFS(KPI_Element_Map!$A$2:$A$287,$A66,KPI_Element_Map!$G$2:$G$287,AH$1)&gt;0,1,"")</f>
        <v/>
      </c>
      <c r="AI66" s="21" t="str">
        <f>IF(COUNTIFS(KPI_Element_Map!$A$2:$A$287,$A66,KPI_Element_Map!$G$2:$G$287,AI$1)&gt;0,1,"")</f>
        <v/>
      </c>
      <c r="AJ66" s="21" t="str">
        <f>IF(COUNTIFS(KPI_Element_Map!$A$2:$A$287,$A66,KPI_Element_Map!$G$2:$G$287,AJ$1)&gt;0,1,"")</f>
        <v/>
      </c>
      <c r="AK66" s="21" t="str">
        <f>IF(COUNTIFS(KPI_Element_Map!$A$2:$A$287,$A66,KPI_Element_Map!$G$2:$G$287,AK$1)&gt;0,1,"")</f>
        <v/>
      </c>
    </row>
    <row r="67" spans="1:37">
      <c r="A67" s="21">
        <v>66</v>
      </c>
      <c r="B67" s="23" t="str">
        <f>INDEX(KPI_Master!$B:$B,MATCH($A67,KPI_Master!$A:$A,0))</f>
        <v>HRP-28</v>
      </c>
      <c r="C67" s="23" t="str">
        <f>INDEX(KPI_Master!$D:$D,MATCH($A67,KPI_Master!$A:$A,0))</f>
        <v>Workers' Compensation Cost as % of Wages</v>
      </c>
      <c r="D67" s="23" t="str">
        <f>INDEX(KPI_Master!$K:$K,MATCH($A67,KPI_Master!$A:$A,0))</f>
        <v>2 - Standard</v>
      </c>
      <c r="E67" s="23" t="str">
        <f t="array" ref="E67">_xlfn.TEXTJOIN(", ",TRUE(),IF(KPI_Element_Map!$A$2:$A$287=$A67,KPI_Element_Map!$E$2:$E$287,""))</f>
        <v>E23, E34</v>
      </c>
      <c r="F67" s="21">
        <f t="shared" si="2"/>
        <v>2</v>
      </c>
      <c r="G67" s="21" t="str">
        <f>IF(COUNTIFS(KPI_Element_Map!$A$2:$A$287,$A67,KPI_Element_Map!$G$2:$G$287,G$1)&gt;0,1,"")</f>
        <v/>
      </c>
      <c r="H67" s="21" t="str">
        <f>IF(COUNTIFS(KPI_Element_Map!$A$2:$A$287,$A67,KPI_Element_Map!$G$2:$G$287,H$1)&gt;0,1,"")</f>
        <v/>
      </c>
      <c r="I67" s="21">
        <f>IF(COUNTIFS(KPI_Element_Map!$A$2:$A$287,$A67,KPI_Element_Map!$G$2:$G$287,I$1)&gt;0,1,"")</f>
        <v>1</v>
      </c>
      <c r="J67" s="21" t="str">
        <f>IF(COUNTIFS(KPI_Element_Map!$A$2:$A$287,$A67,KPI_Element_Map!$G$2:$G$287,J$1)&gt;0,1,"")</f>
        <v/>
      </c>
      <c r="K67" s="21" t="str">
        <f>IF(COUNTIFS(KPI_Element_Map!$A$2:$A$287,$A67,KPI_Element_Map!$G$2:$G$287,K$1)&gt;0,1,"")</f>
        <v/>
      </c>
      <c r="L67" s="21" t="str">
        <f>IF(COUNTIFS(KPI_Element_Map!$A$2:$A$287,$A67,KPI_Element_Map!$G$2:$G$287,L$1)&gt;0,1,"")</f>
        <v/>
      </c>
      <c r="M67" s="21" t="str">
        <f>IF(COUNTIFS(KPI_Element_Map!$A$2:$A$287,$A67,KPI_Element_Map!$G$2:$G$287,M$1)&gt;0,1,"")</f>
        <v/>
      </c>
      <c r="N67" s="21" t="str">
        <f>IF(COUNTIFS(KPI_Element_Map!$A$2:$A$287,$A67,KPI_Element_Map!$G$2:$G$287,N$1)&gt;0,1,"")</f>
        <v/>
      </c>
      <c r="O67" s="21" t="str">
        <f>IF(COUNTIFS(KPI_Element_Map!$A$2:$A$287,$A67,KPI_Element_Map!$G$2:$G$287,O$1)&gt;0,1,"")</f>
        <v/>
      </c>
      <c r="P67" s="21">
        <f>IF(COUNTIFS(KPI_Element_Map!$A$2:$A$287,$A67,KPI_Element_Map!$G$2:$G$287,P$1)&gt;0,1,"")</f>
        <v>1</v>
      </c>
      <c r="Q67" s="21" t="str">
        <f>IF(COUNTIFS(KPI_Element_Map!$A$2:$A$287,$A67,KPI_Element_Map!$G$2:$G$287,Q$1)&gt;0,1,"")</f>
        <v/>
      </c>
      <c r="R67" s="21" t="str">
        <f>IF(COUNTIFS(KPI_Element_Map!$A$2:$A$287,$A67,KPI_Element_Map!$G$2:$G$287,R$1)&gt;0,1,"")</f>
        <v/>
      </c>
      <c r="S67" s="21" t="str">
        <f>IF(COUNTIFS(KPI_Element_Map!$A$2:$A$287,$A67,KPI_Element_Map!$G$2:$G$287,S$1)&gt;0,1,"")</f>
        <v/>
      </c>
      <c r="T67" s="21" t="str">
        <f>IF(COUNTIFS(KPI_Element_Map!$A$2:$A$287,$A67,KPI_Element_Map!$G$2:$G$287,T$1)&gt;0,1,"")</f>
        <v/>
      </c>
      <c r="U67" s="21" t="str">
        <f>IF(COUNTIFS(KPI_Element_Map!$A$2:$A$287,$A67,KPI_Element_Map!$G$2:$G$287,U$1)&gt;0,1,"")</f>
        <v/>
      </c>
      <c r="V67" s="21" t="str">
        <f>IF(COUNTIFS(KPI_Element_Map!$A$2:$A$287,$A67,KPI_Element_Map!$G$2:$G$287,V$1)&gt;0,1,"")</f>
        <v/>
      </c>
      <c r="W67" s="21" t="str">
        <f>IF(COUNTIFS(KPI_Element_Map!$A$2:$A$287,$A67,KPI_Element_Map!$G$2:$G$287,W$1)&gt;0,1,"")</f>
        <v/>
      </c>
      <c r="X67" s="21" t="str">
        <f>IF(COUNTIFS(KPI_Element_Map!$A$2:$A$287,$A67,KPI_Element_Map!$G$2:$G$287,X$1)&gt;0,1,"")</f>
        <v/>
      </c>
      <c r="Y67" s="21" t="str">
        <f>IF(COUNTIFS(KPI_Element_Map!$A$2:$A$287,$A67,KPI_Element_Map!$G$2:$G$287,Y$1)&gt;0,1,"")</f>
        <v/>
      </c>
      <c r="Z67" s="21" t="str">
        <f>IF(COUNTIFS(KPI_Element_Map!$A$2:$A$287,$A67,KPI_Element_Map!$G$2:$G$287,Z$1)&gt;0,1,"")</f>
        <v/>
      </c>
      <c r="AA67" s="21" t="str">
        <f>IF(COUNTIFS(KPI_Element_Map!$A$2:$A$287,$A67,KPI_Element_Map!$G$2:$G$287,AA$1)&gt;0,1,"")</f>
        <v/>
      </c>
      <c r="AB67" s="21" t="str">
        <f>IF(COUNTIFS(KPI_Element_Map!$A$2:$A$287,$A67,KPI_Element_Map!$G$2:$G$287,AB$1)&gt;0,1,"")</f>
        <v/>
      </c>
      <c r="AC67" s="21" t="str">
        <f>IF(COUNTIFS(KPI_Element_Map!$A$2:$A$287,$A67,KPI_Element_Map!$G$2:$G$287,AC$1)&gt;0,1,"")</f>
        <v/>
      </c>
      <c r="AD67" s="21" t="str">
        <f>IF(COUNTIFS(KPI_Element_Map!$A$2:$A$287,$A67,KPI_Element_Map!$G$2:$G$287,AD$1)&gt;0,1,"")</f>
        <v/>
      </c>
      <c r="AE67" s="21" t="str">
        <f>IF(COUNTIFS(KPI_Element_Map!$A$2:$A$287,$A67,KPI_Element_Map!$G$2:$G$287,AE$1)&gt;0,1,"")</f>
        <v/>
      </c>
      <c r="AF67" s="21" t="str">
        <f>IF(COUNTIFS(KPI_Element_Map!$A$2:$A$287,$A67,KPI_Element_Map!$G$2:$G$287,AF$1)&gt;0,1,"")</f>
        <v/>
      </c>
      <c r="AG67" s="21" t="str">
        <f>IF(COUNTIFS(KPI_Element_Map!$A$2:$A$287,$A67,KPI_Element_Map!$G$2:$G$287,AG$1)&gt;0,1,"")</f>
        <v/>
      </c>
      <c r="AH67" s="21" t="str">
        <f>IF(COUNTIFS(KPI_Element_Map!$A$2:$A$287,$A67,KPI_Element_Map!$G$2:$G$287,AH$1)&gt;0,1,"")</f>
        <v/>
      </c>
      <c r="AI67" s="21" t="str">
        <f>IF(COUNTIFS(KPI_Element_Map!$A$2:$A$287,$A67,KPI_Element_Map!$G$2:$G$287,AI$1)&gt;0,1,"")</f>
        <v/>
      </c>
      <c r="AJ67" s="21" t="str">
        <f>IF(COUNTIFS(KPI_Element_Map!$A$2:$A$287,$A67,KPI_Element_Map!$G$2:$G$287,AJ$1)&gt;0,1,"")</f>
        <v/>
      </c>
      <c r="AK67" s="21" t="str">
        <f>IF(COUNTIFS(KPI_Element_Map!$A$2:$A$287,$A67,KPI_Element_Map!$G$2:$G$287,AK$1)&gt;0,1,"")</f>
        <v/>
      </c>
    </row>
    <row r="68" spans="1:37">
      <c r="A68" s="21">
        <v>67</v>
      </c>
      <c r="B68" s="23" t="str">
        <f>INDEX(KPI_Master!$B:$B,MATCH($A68,KPI_Master!$A:$A,0))</f>
        <v>HRP-29</v>
      </c>
      <c r="C68" s="23" t="str">
        <f>INDEX(KPI_Master!$D:$D,MATCH($A68,KPI_Master!$A:$A,0))</f>
        <v>Staffing Variance to Recommended FTE</v>
      </c>
      <c r="D68" s="23" t="str">
        <f>INDEX(KPI_Master!$K:$K,MATCH($A68,KPI_Master!$A:$A,0))</f>
        <v>2 - Standard</v>
      </c>
      <c r="E68" s="23" t="str">
        <f t="array" ref="E68">_xlfn.TEXTJOIN(", ",TRUE(),IF(KPI_Element_Map!$A$2:$A$287=$A68,KPI_Element_Map!$E$2:$E$287,""))</f>
        <v>E28, E33</v>
      </c>
      <c r="F68" s="21">
        <f t="shared" si="2"/>
        <v>2</v>
      </c>
      <c r="G68" s="21" t="str">
        <f>IF(COUNTIFS(KPI_Element_Map!$A$2:$A$287,$A68,KPI_Element_Map!$G$2:$G$287,G$1)&gt;0,1,"")</f>
        <v/>
      </c>
      <c r="H68" s="21" t="str">
        <f>IF(COUNTIFS(KPI_Element_Map!$A$2:$A$287,$A68,KPI_Element_Map!$G$2:$G$287,H$1)&gt;0,1,"")</f>
        <v/>
      </c>
      <c r="I68" s="21" t="str">
        <f>IF(COUNTIFS(KPI_Element_Map!$A$2:$A$287,$A68,KPI_Element_Map!$G$2:$G$287,I$1)&gt;0,1,"")</f>
        <v/>
      </c>
      <c r="J68" s="21" t="str">
        <f>IF(COUNTIFS(KPI_Element_Map!$A$2:$A$287,$A68,KPI_Element_Map!$G$2:$G$287,J$1)&gt;0,1,"")</f>
        <v/>
      </c>
      <c r="K68" s="21" t="str">
        <f>IF(COUNTIFS(KPI_Element_Map!$A$2:$A$287,$A68,KPI_Element_Map!$G$2:$G$287,K$1)&gt;0,1,"")</f>
        <v/>
      </c>
      <c r="L68" s="21">
        <f>IF(COUNTIFS(KPI_Element_Map!$A$2:$A$287,$A68,KPI_Element_Map!$G$2:$G$287,L$1)&gt;0,1,"")</f>
        <v>1</v>
      </c>
      <c r="M68" s="21" t="str">
        <f>IF(COUNTIFS(KPI_Element_Map!$A$2:$A$287,$A68,KPI_Element_Map!$G$2:$G$287,M$1)&gt;0,1,"")</f>
        <v/>
      </c>
      <c r="N68" s="21" t="str">
        <f>IF(COUNTIFS(KPI_Element_Map!$A$2:$A$287,$A68,KPI_Element_Map!$G$2:$G$287,N$1)&gt;0,1,"")</f>
        <v/>
      </c>
      <c r="O68" s="21">
        <f>IF(COUNTIFS(KPI_Element_Map!$A$2:$A$287,$A68,KPI_Element_Map!$G$2:$G$287,O$1)&gt;0,1,"")</f>
        <v>1</v>
      </c>
      <c r="P68" s="21" t="str">
        <f>IF(COUNTIFS(KPI_Element_Map!$A$2:$A$287,$A68,KPI_Element_Map!$G$2:$G$287,P$1)&gt;0,1,"")</f>
        <v/>
      </c>
      <c r="Q68" s="21" t="str">
        <f>IF(COUNTIFS(KPI_Element_Map!$A$2:$A$287,$A68,KPI_Element_Map!$G$2:$G$287,Q$1)&gt;0,1,"")</f>
        <v/>
      </c>
      <c r="R68" s="21" t="str">
        <f>IF(COUNTIFS(KPI_Element_Map!$A$2:$A$287,$A68,KPI_Element_Map!$G$2:$G$287,R$1)&gt;0,1,"")</f>
        <v/>
      </c>
      <c r="S68" s="21" t="str">
        <f>IF(COUNTIFS(KPI_Element_Map!$A$2:$A$287,$A68,KPI_Element_Map!$G$2:$G$287,S$1)&gt;0,1,"")</f>
        <v/>
      </c>
      <c r="T68" s="21" t="str">
        <f>IF(COUNTIFS(KPI_Element_Map!$A$2:$A$287,$A68,KPI_Element_Map!$G$2:$G$287,T$1)&gt;0,1,"")</f>
        <v/>
      </c>
      <c r="U68" s="21" t="str">
        <f>IF(COUNTIFS(KPI_Element_Map!$A$2:$A$287,$A68,KPI_Element_Map!$G$2:$G$287,U$1)&gt;0,1,"")</f>
        <v/>
      </c>
      <c r="V68" s="21" t="str">
        <f>IF(COUNTIFS(KPI_Element_Map!$A$2:$A$287,$A68,KPI_Element_Map!$G$2:$G$287,V$1)&gt;0,1,"")</f>
        <v/>
      </c>
      <c r="W68" s="21" t="str">
        <f>IF(COUNTIFS(KPI_Element_Map!$A$2:$A$287,$A68,KPI_Element_Map!$G$2:$G$287,W$1)&gt;0,1,"")</f>
        <v/>
      </c>
      <c r="X68" s="21" t="str">
        <f>IF(COUNTIFS(KPI_Element_Map!$A$2:$A$287,$A68,KPI_Element_Map!$G$2:$G$287,X$1)&gt;0,1,"")</f>
        <v/>
      </c>
      <c r="Y68" s="21" t="str">
        <f>IF(COUNTIFS(KPI_Element_Map!$A$2:$A$287,$A68,KPI_Element_Map!$G$2:$G$287,Y$1)&gt;0,1,"")</f>
        <v/>
      </c>
      <c r="Z68" s="21" t="str">
        <f>IF(COUNTIFS(KPI_Element_Map!$A$2:$A$287,$A68,KPI_Element_Map!$G$2:$G$287,Z$1)&gt;0,1,"")</f>
        <v/>
      </c>
      <c r="AA68" s="21" t="str">
        <f>IF(COUNTIFS(KPI_Element_Map!$A$2:$A$287,$A68,KPI_Element_Map!$G$2:$G$287,AA$1)&gt;0,1,"")</f>
        <v/>
      </c>
      <c r="AB68" s="21" t="str">
        <f>IF(COUNTIFS(KPI_Element_Map!$A$2:$A$287,$A68,KPI_Element_Map!$G$2:$G$287,AB$1)&gt;0,1,"")</f>
        <v/>
      </c>
      <c r="AC68" s="21" t="str">
        <f>IF(COUNTIFS(KPI_Element_Map!$A$2:$A$287,$A68,KPI_Element_Map!$G$2:$G$287,AC$1)&gt;0,1,"")</f>
        <v/>
      </c>
      <c r="AD68" s="21" t="str">
        <f>IF(COUNTIFS(KPI_Element_Map!$A$2:$A$287,$A68,KPI_Element_Map!$G$2:$G$287,AD$1)&gt;0,1,"")</f>
        <v/>
      </c>
      <c r="AE68" s="21" t="str">
        <f>IF(COUNTIFS(KPI_Element_Map!$A$2:$A$287,$A68,KPI_Element_Map!$G$2:$G$287,AE$1)&gt;0,1,"")</f>
        <v/>
      </c>
      <c r="AF68" s="21" t="str">
        <f>IF(COUNTIFS(KPI_Element_Map!$A$2:$A$287,$A68,KPI_Element_Map!$G$2:$G$287,AF$1)&gt;0,1,"")</f>
        <v/>
      </c>
      <c r="AG68" s="21" t="str">
        <f>IF(COUNTIFS(KPI_Element_Map!$A$2:$A$287,$A68,KPI_Element_Map!$G$2:$G$287,AG$1)&gt;0,1,"")</f>
        <v/>
      </c>
      <c r="AH68" s="21" t="str">
        <f>IF(COUNTIFS(KPI_Element_Map!$A$2:$A$287,$A68,KPI_Element_Map!$G$2:$G$287,AH$1)&gt;0,1,"")</f>
        <v/>
      </c>
      <c r="AI68" s="21" t="str">
        <f>IF(COUNTIFS(KPI_Element_Map!$A$2:$A$287,$A68,KPI_Element_Map!$G$2:$G$287,AI$1)&gt;0,1,"")</f>
        <v/>
      </c>
      <c r="AJ68" s="21" t="str">
        <f>IF(COUNTIFS(KPI_Element_Map!$A$2:$A$287,$A68,KPI_Element_Map!$G$2:$G$287,AJ$1)&gt;0,1,"")</f>
        <v/>
      </c>
      <c r="AK68" s="21" t="str">
        <f>IF(COUNTIFS(KPI_Element_Map!$A$2:$A$287,$A68,KPI_Element_Map!$G$2:$G$287,AK$1)&gt;0,1,"")</f>
        <v/>
      </c>
    </row>
    <row r="69" spans="1:37" ht="28.5" customHeight="1">
      <c r="A69" s="21">
        <v>68</v>
      </c>
      <c r="B69" s="23" t="str">
        <f>INDEX(KPI_Master!$B:$B,MATCH($A69,KPI_Master!$A:$A,0))</f>
        <v>HRP-30</v>
      </c>
      <c r="C69" s="23" t="str">
        <f>INDEX(KPI_Master!$D:$D,MATCH($A69,KPI_Master!$A:$A,0))</f>
        <v>Housekeeping / Laundry Average Annual Wage per FTE</v>
      </c>
      <c r="D69" s="23" t="str">
        <f>INDEX(KPI_Master!$K:$K,MATCH($A69,KPI_Master!$A:$A,0))</f>
        <v>3 - Optional</v>
      </c>
      <c r="E69" s="23" t="str">
        <f t="array" ref="E69">_xlfn.TEXTJOIN(", ",TRUE(),IF(KPI_Element_Map!$A$2:$A$287=$A69,KPI_Element_Map!$E$2:$E$287,""))</f>
        <v>E27, E28</v>
      </c>
      <c r="F69" s="21">
        <f t="shared" si="2"/>
        <v>1</v>
      </c>
      <c r="G69" s="21" t="str">
        <f>IF(COUNTIFS(KPI_Element_Map!$A$2:$A$287,$A69,KPI_Element_Map!$G$2:$G$287,G$1)&gt;0,1,"")</f>
        <v/>
      </c>
      <c r="H69" s="21" t="str">
        <f>IF(COUNTIFS(KPI_Element_Map!$A$2:$A$287,$A69,KPI_Element_Map!$G$2:$G$287,H$1)&gt;0,1,"")</f>
        <v/>
      </c>
      <c r="I69" s="21" t="str">
        <f>IF(COUNTIFS(KPI_Element_Map!$A$2:$A$287,$A69,KPI_Element_Map!$G$2:$G$287,I$1)&gt;0,1,"")</f>
        <v/>
      </c>
      <c r="J69" s="21" t="str">
        <f>IF(COUNTIFS(KPI_Element_Map!$A$2:$A$287,$A69,KPI_Element_Map!$G$2:$G$287,J$1)&gt;0,1,"")</f>
        <v/>
      </c>
      <c r="K69" s="21" t="str">
        <f>IF(COUNTIFS(KPI_Element_Map!$A$2:$A$287,$A69,KPI_Element_Map!$G$2:$G$287,K$1)&gt;0,1,"")</f>
        <v/>
      </c>
      <c r="L69" s="21">
        <f>IF(COUNTIFS(KPI_Element_Map!$A$2:$A$287,$A69,KPI_Element_Map!$G$2:$G$287,L$1)&gt;0,1,"")</f>
        <v>1</v>
      </c>
      <c r="M69" s="21" t="str">
        <f>IF(COUNTIFS(KPI_Element_Map!$A$2:$A$287,$A69,KPI_Element_Map!$G$2:$G$287,M$1)&gt;0,1,"")</f>
        <v/>
      </c>
      <c r="N69" s="21" t="str">
        <f>IF(COUNTIFS(KPI_Element_Map!$A$2:$A$287,$A69,KPI_Element_Map!$G$2:$G$287,N$1)&gt;0,1,"")</f>
        <v/>
      </c>
      <c r="O69" s="21" t="str">
        <f>IF(COUNTIFS(KPI_Element_Map!$A$2:$A$287,$A69,KPI_Element_Map!$G$2:$G$287,O$1)&gt;0,1,"")</f>
        <v/>
      </c>
      <c r="P69" s="21" t="str">
        <f>IF(COUNTIFS(KPI_Element_Map!$A$2:$A$287,$A69,KPI_Element_Map!$G$2:$G$287,P$1)&gt;0,1,"")</f>
        <v/>
      </c>
      <c r="Q69" s="21" t="str">
        <f>IF(COUNTIFS(KPI_Element_Map!$A$2:$A$287,$A69,KPI_Element_Map!$G$2:$G$287,Q$1)&gt;0,1,"")</f>
        <v/>
      </c>
      <c r="R69" s="21" t="str">
        <f>IF(COUNTIFS(KPI_Element_Map!$A$2:$A$287,$A69,KPI_Element_Map!$G$2:$G$287,R$1)&gt;0,1,"")</f>
        <v/>
      </c>
      <c r="S69" s="21" t="str">
        <f>IF(COUNTIFS(KPI_Element_Map!$A$2:$A$287,$A69,KPI_Element_Map!$G$2:$G$287,S$1)&gt;0,1,"")</f>
        <v/>
      </c>
      <c r="T69" s="21" t="str">
        <f>IF(COUNTIFS(KPI_Element_Map!$A$2:$A$287,$A69,KPI_Element_Map!$G$2:$G$287,T$1)&gt;0,1,"")</f>
        <v/>
      </c>
      <c r="U69" s="21" t="str">
        <f>IF(COUNTIFS(KPI_Element_Map!$A$2:$A$287,$A69,KPI_Element_Map!$G$2:$G$287,U$1)&gt;0,1,"")</f>
        <v/>
      </c>
      <c r="V69" s="21" t="str">
        <f>IF(COUNTIFS(KPI_Element_Map!$A$2:$A$287,$A69,KPI_Element_Map!$G$2:$G$287,V$1)&gt;0,1,"")</f>
        <v/>
      </c>
      <c r="W69" s="21" t="str">
        <f>IF(COUNTIFS(KPI_Element_Map!$A$2:$A$287,$A69,KPI_Element_Map!$G$2:$G$287,W$1)&gt;0,1,"")</f>
        <v/>
      </c>
      <c r="X69" s="21" t="str">
        <f>IF(COUNTIFS(KPI_Element_Map!$A$2:$A$287,$A69,KPI_Element_Map!$G$2:$G$287,X$1)&gt;0,1,"")</f>
        <v/>
      </c>
      <c r="Y69" s="21" t="str">
        <f>IF(COUNTIFS(KPI_Element_Map!$A$2:$A$287,$A69,KPI_Element_Map!$G$2:$G$287,Y$1)&gt;0,1,"")</f>
        <v/>
      </c>
      <c r="Z69" s="21" t="str">
        <f>IF(COUNTIFS(KPI_Element_Map!$A$2:$A$287,$A69,KPI_Element_Map!$G$2:$G$287,Z$1)&gt;0,1,"")</f>
        <v/>
      </c>
      <c r="AA69" s="21" t="str">
        <f>IF(COUNTIFS(KPI_Element_Map!$A$2:$A$287,$A69,KPI_Element_Map!$G$2:$G$287,AA$1)&gt;0,1,"")</f>
        <v/>
      </c>
      <c r="AB69" s="21" t="str">
        <f>IF(COUNTIFS(KPI_Element_Map!$A$2:$A$287,$A69,KPI_Element_Map!$G$2:$G$287,AB$1)&gt;0,1,"")</f>
        <v/>
      </c>
      <c r="AC69" s="21" t="str">
        <f>IF(COUNTIFS(KPI_Element_Map!$A$2:$A$287,$A69,KPI_Element_Map!$G$2:$G$287,AC$1)&gt;0,1,"")</f>
        <v/>
      </c>
      <c r="AD69" s="21" t="str">
        <f>IF(COUNTIFS(KPI_Element_Map!$A$2:$A$287,$A69,KPI_Element_Map!$G$2:$G$287,AD$1)&gt;0,1,"")</f>
        <v/>
      </c>
      <c r="AE69" s="21" t="str">
        <f>IF(COUNTIFS(KPI_Element_Map!$A$2:$A$287,$A69,KPI_Element_Map!$G$2:$G$287,AE$1)&gt;0,1,"")</f>
        <v/>
      </c>
      <c r="AF69" s="21" t="str">
        <f>IF(COUNTIFS(KPI_Element_Map!$A$2:$A$287,$A69,KPI_Element_Map!$G$2:$G$287,AF$1)&gt;0,1,"")</f>
        <v/>
      </c>
      <c r="AG69" s="21" t="str">
        <f>IF(COUNTIFS(KPI_Element_Map!$A$2:$A$287,$A69,KPI_Element_Map!$G$2:$G$287,AG$1)&gt;0,1,"")</f>
        <v/>
      </c>
      <c r="AH69" s="21" t="str">
        <f>IF(COUNTIFS(KPI_Element_Map!$A$2:$A$287,$A69,KPI_Element_Map!$G$2:$G$287,AH$1)&gt;0,1,"")</f>
        <v/>
      </c>
      <c r="AI69" s="21" t="str">
        <f>IF(COUNTIFS(KPI_Element_Map!$A$2:$A$287,$A69,KPI_Element_Map!$G$2:$G$287,AI$1)&gt;0,1,"")</f>
        <v/>
      </c>
      <c r="AJ69" s="21" t="str">
        <f>IF(COUNTIFS(KPI_Element_Map!$A$2:$A$287,$A69,KPI_Element_Map!$G$2:$G$287,AJ$1)&gt;0,1,"")</f>
        <v/>
      </c>
      <c r="AK69" s="21" t="str">
        <f>IF(COUNTIFS(KPI_Element_Map!$A$2:$A$287,$A69,KPI_Element_Map!$G$2:$G$287,AK$1)&gt;0,1,"")</f>
        <v/>
      </c>
    </row>
    <row r="70" spans="1:37">
      <c r="A70" s="21">
        <v>69</v>
      </c>
      <c r="B70" s="23" t="str">
        <f>INDEX(KPI_Master!$B:$B,MATCH($A70,KPI_Master!$A:$A,0))</f>
        <v>HRP-31</v>
      </c>
      <c r="C70" s="23" t="str">
        <f>INDEX(KPI_Master!$D:$D,MATCH($A70,KPI_Master!$A:$A,0))</f>
        <v>Marketing Average Annual Wage per FTE</v>
      </c>
      <c r="D70" s="23" t="str">
        <f>INDEX(KPI_Master!$K:$K,MATCH($A70,KPI_Master!$A:$A,0))</f>
        <v>3 - Optional</v>
      </c>
      <c r="E70" s="23" t="str">
        <f t="array" ref="E70">_xlfn.TEXTJOIN(", ",TRUE(),IF(KPI_Element_Map!$A$2:$A$287=$A70,KPI_Element_Map!$E$2:$E$287,""))</f>
        <v>E27, E28</v>
      </c>
      <c r="F70" s="21">
        <f t="shared" si="2"/>
        <v>1</v>
      </c>
      <c r="G70" s="21" t="str">
        <f>IF(COUNTIFS(KPI_Element_Map!$A$2:$A$287,$A70,KPI_Element_Map!$G$2:$G$287,G$1)&gt;0,1,"")</f>
        <v/>
      </c>
      <c r="H70" s="21" t="str">
        <f>IF(COUNTIFS(KPI_Element_Map!$A$2:$A$287,$A70,KPI_Element_Map!$G$2:$G$287,H$1)&gt;0,1,"")</f>
        <v/>
      </c>
      <c r="I70" s="21" t="str">
        <f>IF(COUNTIFS(KPI_Element_Map!$A$2:$A$287,$A70,KPI_Element_Map!$G$2:$G$287,I$1)&gt;0,1,"")</f>
        <v/>
      </c>
      <c r="J70" s="21" t="str">
        <f>IF(COUNTIFS(KPI_Element_Map!$A$2:$A$287,$A70,KPI_Element_Map!$G$2:$G$287,J$1)&gt;0,1,"")</f>
        <v/>
      </c>
      <c r="K70" s="21" t="str">
        <f>IF(COUNTIFS(KPI_Element_Map!$A$2:$A$287,$A70,KPI_Element_Map!$G$2:$G$287,K$1)&gt;0,1,"")</f>
        <v/>
      </c>
      <c r="L70" s="21">
        <f>IF(COUNTIFS(KPI_Element_Map!$A$2:$A$287,$A70,KPI_Element_Map!$G$2:$G$287,L$1)&gt;0,1,"")</f>
        <v>1</v>
      </c>
      <c r="M70" s="21" t="str">
        <f>IF(COUNTIFS(KPI_Element_Map!$A$2:$A$287,$A70,KPI_Element_Map!$G$2:$G$287,M$1)&gt;0,1,"")</f>
        <v/>
      </c>
      <c r="N70" s="21" t="str">
        <f>IF(COUNTIFS(KPI_Element_Map!$A$2:$A$287,$A70,KPI_Element_Map!$G$2:$G$287,N$1)&gt;0,1,"")</f>
        <v/>
      </c>
      <c r="O70" s="21" t="str">
        <f>IF(COUNTIFS(KPI_Element_Map!$A$2:$A$287,$A70,KPI_Element_Map!$G$2:$G$287,O$1)&gt;0,1,"")</f>
        <v/>
      </c>
      <c r="P70" s="21" t="str">
        <f>IF(COUNTIFS(KPI_Element_Map!$A$2:$A$287,$A70,KPI_Element_Map!$G$2:$G$287,P$1)&gt;0,1,"")</f>
        <v/>
      </c>
      <c r="Q70" s="21" t="str">
        <f>IF(COUNTIFS(KPI_Element_Map!$A$2:$A$287,$A70,KPI_Element_Map!$G$2:$G$287,Q$1)&gt;0,1,"")</f>
        <v/>
      </c>
      <c r="R70" s="21" t="str">
        <f>IF(COUNTIFS(KPI_Element_Map!$A$2:$A$287,$A70,KPI_Element_Map!$G$2:$G$287,R$1)&gt;0,1,"")</f>
        <v/>
      </c>
      <c r="S70" s="21" t="str">
        <f>IF(COUNTIFS(KPI_Element_Map!$A$2:$A$287,$A70,KPI_Element_Map!$G$2:$G$287,S$1)&gt;0,1,"")</f>
        <v/>
      </c>
      <c r="T70" s="21" t="str">
        <f>IF(COUNTIFS(KPI_Element_Map!$A$2:$A$287,$A70,KPI_Element_Map!$G$2:$G$287,T$1)&gt;0,1,"")</f>
        <v/>
      </c>
      <c r="U70" s="21" t="str">
        <f>IF(COUNTIFS(KPI_Element_Map!$A$2:$A$287,$A70,KPI_Element_Map!$G$2:$G$287,U$1)&gt;0,1,"")</f>
        <v/>
      </c>
      <c r="V70" s="21" t="str">
        <f>IF(COUNTIFS(KPI_Element_Map!$A$2:$A$287,$A70,KPI_Element_Map!$G$2:$G$287,V$1)&gt;0,1,"")</f>
        <v/>
      </c>
      <c r="W70" s="21" t="str">
        <f>IF(COUNTIFS(KPI_Element_Map!$A$2:$A$287,$A70,KPI_Element_Map!$G$2:$G$287,W$1)&gt;0,1,"")</f>
        <v/>
      </c>
      <c r="X70" s="21" t="str">
        <f>IF(COUNTIFS(KPI_Element_Map!$A$2:$A$287,$A70,KPI_Element_Map!$G$2:$G$287,X$1)&gt;0,1,"")</f>
        <v/>
      </c>
      <c r="Y70" s="21" t="str">
        <f>IF(COUNTIFS(KPI_Element_Map!$A$2:$A$287,$A70,KPI_Element_Map!$G$2:$G$287,Y$1)&gt;0,1,"")</f>
        <v/>
      </c>
      <c r="Z70" s="21" t="str">
        <f>IF(COUNTIFS(KPI_Element_Map!$A$2:$A$287,$A70,KPI_Element_Map!$G$2:$G$287,Z$1)&gt;0,1,"")</f>
        <v/>
      </c>
      <c r="AA70" s="21" t="str">
        <f>IF(COUNTIFS(KPI_Element_Map!$A$2:$A$287,$A70,KPI_Element_Map!$G$2:$G$287,AA$1)&gt;0,1,"")</f>
        <v/>
      </c>
      <c r="AB70" s="21" t="str">
        <f>IF(COUNTIFS(KPI_Element_Map!$A$2:$A$287,$A70,KPI_Element_Map!$G$2:$G$287,AB$1)&gt;0,1,"")</f>
        <v/>
      </c>
      <c r="AC70" s="21" t="str">
        <f>IF(COUNTIFS(KPI_Element_Map!$A$2:$A$287,$A70,KPI_Element_Map!$G$2:$G$287,AC$1)&gt;0,1,"")</f>
        <v/>
      </c>
      <c r="AD70" s="21" t="str">
        <f>IF(COUNTIFS(KPI_Element_Map!$A$2:$A$287,$A70,KPI_Element_Map!$G$2:$G$287,AD$1)&gt;0,1,"")</f>
        <v/>
      </c>
      <c r="AE70" s="21" t="str">
        <f>IF(COUNTIFS(KPI_Element_Map!$A$2:$A$287,$A70,KPI_Element_Map!$G$2:$G$287,AE$1)&gt;0,1,"")</f>
        <v/>
      </c>
      <c r="AF70" s="21" t="str">
        <f>IF(COUNTIFS(KPI_Element_Map!$A$2:$A$287,$A70,KPI_Element_Map!$G$2:$G$287,AF$1)&gt;0,1,"")</f>
        <v/>
      </c>
      <c r="AG70" s="21" t="str">
        <f>IF(COUNTIFS(KPI_Element_Map!$A$2:$A$287,$A70,KPI_Element_Map!$G$2:$G$287,AG$1)&gt;0,1,"")</f>
        <v/>
      </c>
      <c r="AH70" s="21" t="str">
        <f>IF(COUNTIFS(KPI_Element_Map!$A$2:$A$287,$A70,KPI_Element_Map!$G$2:$G$287,AH$1)&gt;0,1,"")</f>
        <v/>
      </c>
      <c r="AI70" s="21" t="str">
        <f>IF(COUNTIFS(KPI_Element_Map!$A$2:$A$287,$A70,KPI_Element_Map!$G$2:$G$287,AI$1)&gt;0,1,"")</f>
        <v/>
      </c>
      <c r="AJ70" s="21" t="str">
        <f>IF(COUNTIFS(KPI_Element_Map!$A$2:$A$287,$A70,KPI_Element_Map!$G$2:$G$287,AJ$1)&gt;0,1,"")</f>
        <v/>
      </c>
      <c r="AK70" s="21" t="str">
        <f>IF(COUNTIFS(KPI_Element_Map!$A$2:$A$287,$A70,KPI_Element_Map!$G$2:$G$287,AK$1)&gt;0,1,"")</f>
        <v/>
      </c>
    </row>
    <row r="71" spans="1:37" ht="28.5" customHeight="1">
      <c r="A71" s="21">
        <v>70</v>
      </c>
      <c r="B71" s="23" t="str">
        <f>INDEX(KPI_Master!$B:$B,MATCH($A71,KPI_Master!$A:$A,0))</f>
        <v>HRP-32</v>
      </c>
      <c r="C71" s="23" t="str">
        <f>INDEX(KPI_Master!$D:$D,MATCH($A71,KPI_Master!$A:$A,0))</f>
        <v>Assisted Living Care Staff Average Annual Wage per FTE</v>
      </c>
      <c r="D71" s="23" t="str">
        <f>INDEX(KPI_Master!$K:$K,MATCH($A71,KPI_Master!$A:$A,0))</f>
        <v>3 - Optional</v>
      </c>
      <c r="E71" s="23" t="str">
        <f t="array" ref="E71">_xlfn.TEXTJOIN(", ",TRUE(),IF(KPI_Element_Map!$A$2:$A$287=$A71,KPI_Element_Map!$E$2:$E$287,""))</f>
        <v>E27, E28</v>
      </c>
      <c r="F71" s="21">
        <f t="shared" si="2"/>
        <v>1</v>
      </c>
      <c r="G71" s="21" t="str">
        <f>IF(COUNTIFS(KPI_Element_Map!$A$2:$A$287,$A71,KPI_Element_Map!$G$2:$G$287,G$1)&gt;0,1,"")</f>
        <v/>
      </c>
      <c r="H71" s="21" t="str">
        <f>IF(COUNTIFS(KPI_Element_Map!$A$2:$A$287,$A71,KPI_Element_Map!$G$2:$G$287,H$1)&gt;0,1,"")</f>
        <v/>
      </c>
      <c r="I71" s="21" t="str">
        <f>IF(COUNTIFS(KPI_Element_Map!$A$2:$A$287,$A71,KPI_Element_Map!$G$2:$G$287,I$1)&gt;0,1,"")</f>
        <v/>
      </c>
      <c r="J71" s="21" t="str">
        <f>IF(COUNTIFS(KPI_Element_Map!$A$2:$A$287,$A71,KPI_Element_Map!$G$2:$G$287,J$1)&gt;0,1,"")</f>
        <v/>
      </c>
      <c r="K71" s="21" t="str">
        <f>IF(COUNTIFS(KPI_Element_Map!$A$2:$A$287,$A71,KPI_Element_Map!$G$2:$G$287,K$1)&gt;0,1,"")</f>
        <v/>
      </c>
      <c r="L71" s="21">
        <f>IF(COUNTIFS(KPI_Element_Map!$A$2:$A$287,$A71,KPI_Element_Map!$G$2:$G$287,L$1)&gt;0,1,"")</f>
        <v>1</v>
      </c>
      <c r="M71" s="21" t="str">
        <f>IF(COUNTIFS(KPI_Element_Map!$A$2:$A$287,$A71,KPI_Element_Map!$G$2:$G$287,M$1)&gt;0,1,"")</f>
        <v/>
      </c>
      <c r="N71" s="21" t="str">
        <f>IF(COUNTIFS(KPI_Element_Map!$A$2:$A$287,$A71,KPI_Element_Map!$G$2:$G$287,N$1)&gt;0,1,"")</f>
        <v/>
      </c>
      <c r="O71" s="21" t="str">
        <f>IF(COUNTIFS(KPI_Element_Map!$A$2:$A$287,$A71,KPI_Element_Map!$G$2:$G$287,O$1)&gt;0,1,"")</f>
        <v/>
      </c>
      <c r="P71" s="21" t="str">
        <f>IF(COUNTIFS(KPI_Element_Map!$A$2:$A$287,$A71,KPI_Element_Map!$G$2:$G$287,P$1)&gt;0,1,"")</f>
        <v/>
      </c>
      <c r="Q71" s="21" t="str">
        <f>IF(COUNTIFS(KPI_Element_Map!$A$2:$A$287,$A71,KPI_Element_Map!$G$2:$G$287,Q$1)&gt;0,1,"")</f>
        <v/>
      </c>
      <c r="R71" s="21" t="str">
        <f>IF(COUNTIFS(KPI_Element_Map!$A$2:$A$287,$A71,KPI_Element_Map!$G$2:$G$287,R$1)&gt;0,1,"")</f>
        <v/>
      </c>
      <c r="S71" s="21" t="str">
        <f>IF(COUNTIFS(KPI_Element_Map!$A$2:$A$287,$A71,KPI_Element_Map!$G$2:$G$287,S$1)&gt;0,1,"")</f>
        <v/>
      </c>
      <c r="T71" s="21" t="str">
        <f>IF(COUNTIFS(KPI_Element_Map!$A$2:$A$287,$A71,KPI_Element_Map!$G$2:$G$287,T$1)&gt;0,1,"")</f>
        <v/>
      </c>
      <c r="U71" s="21" t="str">
        <f>IF(COUNTIFS(KPI_Element_Map!$A$2:$A$287,$A71,KPI_Element_Map!$G$2:$G$287,U$1)&gt;0,1,"")</f>
        <v/>
      </c>
      <c r="V71" s="21" t="str">
        <f>IF(COUNTIFS(KPI_Element_Map!$A$2:$A$287,$A71,KPI_Element_Map!$G$2:$G$287,V$1)&gt;0,1,"")</f>
        <v/>
      </c>
      <c r="W71" s="21" t="str">
        <f>IF(COUNTIFS(KPI_Element_Map!$A$2:$A$287,$A71,KPI_Element_Map!$G$2:$G$287,W$1)&gt;0,1,"")</f>
        <v/>
      </c>
      <c r="X71" s="21" t="str">
        <f>IF(COUNTIFS(KPI_Element_Map!$A$2:$A$287,$A71,KPI_Element_Map!$G$2:$G$287,X$1)&gt;0,1,"")</f>
        <v/>
      </c>
      <c r="Y71" s="21" t="str">
        <f>IF(COUNTIFS(KPI_Element_Map!$A$2:$A$287,$A71,KPI_Element_Map!$G$2:$G$287,Y$1)&gt;0,1,"")</f>
        <v/>
      </c>
      <c r="Z71" s="21" t="str">
        <f>IF(COUNTIFS(KPI_Element_Map!$A$2:$A$287,$A71,KPI_Element_Map!$G$2:$G$287,Z$1)&gt;0,1,"")</f>
        <v/>
      </c>
      <c r="AA71" s="21" t="str">
        <f>IF(COUNTIFS(KPI_Element_Map!$A$2:$A$287,$A71,KPI_Element_Map!$G$2:$G$287,AA$1)&gt;0,1,"")</f>
        <v/>
      </c>
      <c r="AB71" s="21" t="str">
        <f>IF(COUNTIFS(KPI_Element_Map!$A$2:$A$287,$A71,KPI_Element_Map!$G$2:$G$287,AB$1)&gt;0,1,"")</f>
        <v/>
      </c>
      <c r="AC71" s="21" t="str">
        <f>IF(COUNTIFS(KPI_Element_Map!$A$2:$A$287,$A71,KPI_Element_Map!$G$2:$G$287,AC$1)&gt;0,1,"")</f>
        <v/>
      </c>
      <c r="AD71" s="21" t="str">
        <f>IF(COUNTIFS(KPI_Element_Map!$A$2:$A$287,$A71,KPI_Element_Map!$G$2:$G$287,AD$1)&gt;0,1,"")</f>
        <v/>
      </c>
      <c r="AE71" s="21" t="str">
        <f>IF(COUNTIFS(KPI_Element_Map!$A$2:$A$287,$A71,KPI_Element_Map!$G$2:$G$287,AE$1)&gt;0,1,"")</f>
        <v/>
      </c>
      <c r="AF71" s="21" t="str">
        <f>IF(COUNTIFS(KPI_Element_Map!$A$2:$A$287,$A71,KPI_Element_Map!$G$2:$G$287,AF$1)&gt;0,1,"")</f>
        <v/>
      </c>
      <c r="AG71" s="21" t="str">
        <f>IF(COUNTIFS(KPI_Element_Map!$A$2:$A$287,$A71,KPI_Element_Map!$G$2:$G$287,AG$1)&gt;0,1,"")</f>
        <v/>
      </c>
      <c r="AH71" s="21" t="str">
        <f>IF(COUNTIFS(KPI_Element_Map!$A$2:$A$287,$A71,KPI_Element_Map!$G$2:$G$287,AH$1)&gt;0,1,"")</f>
        <v/>
      </c>
      <c r="AI71" s="21" t="str">
        <f>IF(COUNTIFS(KPI_Element_Map!$A$2:$A$287,$A71,KPI_Element_Map!$G$2:$G$287,AI$1)&gt;0,1,"")</f>
        <v/>
      </c>
      <c r="AJ71" s="21" t="str">
        <f>IF(COUNTIFS(KPI_Element_Map!$A$2:$A$287,$A71,KPI_Element_Map!$G$2:$G$287,AJ$1)&gt;0,1,"")</f>
        <v/>
      </c>
      <c r="AK71" s="21" t="str">
        <f>IF(COUNTIFS(KPI_Element_Map!$A$2:$A$287,$A71,KPI_Element_Map!$G$2:$G$287,AK$1)&gt;0,1,"")</f>
        <v/>
      </c>
    </row>
    <row r="72" spans="1:37">
      <c r="A72" s="21">
        <v>71</v>
      </c>
      <c r="B72" s="23" t="str">
        <f>INDEX(KPI_Master!$B:$B,MATCH($A72,KPI_Master!$A:$A,0))</f>
        <v>HRP-33</v>
      </c>
      <c r="C72" s="23" t="str">
        <f>INDEX(KPI_Master!$D:$D,MATCH($A72,KPI_Master!$A:$A,0))</f>
        <v>Activities Average Annual Wage per FTE</v>
      </c>
      <c r="D72" s="23" t="str">
        <f>INDEX(KPI_Master!$K:$K,MATCH($A72,KPI_Master!$A:$A,0))</f>
        <v>3 - Optional</v>
      </c>
      <c r="E72" s="23" t="str">
        <f t="array" ref="E72">_xlfn.TEXTJOIN(", ",TRUE(),IF(KPI_Element_Map!$A$2:$A$287=$A72,KPI_Element_Map!$E$2:$E$287,""))</f>
        <v>E27, E28</v>
      </c>
      <c r="F72" s="21">
        <f t="shared" si="2"/>
        <v>1</v>
      </c>
      <c r="G72" s="21" t="str">
        <f>IF(COUNTIFS(KPI_Element_Map!$A$2:$A$287,$A72,KPI_Element_Map!$G$2:$G$287,G$1)&gt;0,1,"")</f>
        <v/>
      </c>
      <c r="H72" s="21" t="str">
        <f>IF(COUNTIFS(KPI_Element_Map!$A$2:$A$287,$A72,KPI_Element_Map!$G$2:$G$287,H$1)&gt;0,1,"")</f>
        <v/>
      </c>
      <c r="I72" s="21" t="str">
        <f>IF(COUNTIFS(KPI_Element_Map!$A$2:$A$287,$A72,KPI_Element_Map!$G$2:$G$287,I$1)&gt;0,1,"")</f>
        <v/>
      </c>
      <c r="J72" s="21" t="str">
        <f>IF(COUNTIFS(KPI_Element_Map!$A$2:$A$287,$A72,KPI_Element_Map!$G$2:$G$287,J$1)&gt;0,1,"")</f>
        <v/>
      </c>
      <c r="K72" s="21" t="str">
        <f>IF(COUNTIFS(KPI_Element_Map!$A$2:$A$287,$A72,KPI_Element_Map!$G$2:$G$287,K$1)&gt;0,1,"")</f>
        <v/>
      </c>
      <c r="L72" s="21">
        <f>IF(COUNTIFS(KPI_Element_Map!$A$2:$A$287,$A72,KPI_Element_Map!$G$2:$G$287,L$1)&gt;0,1,"")</f>
        <v>1</v>
      </c>
      <c r="M72" s="21" t="str">
        <f>IF(COUNTIFS(KPI_Element_Map!$A$2:$A$287,$A72,KPI_Element_Map!$G$2:$G$287,M$1)&gt;0,1,"")</f>
        <v/>
      </c>
      <c r="N72" s="21" t="str">
        <f>IF(COUNTIFS(KPI_Element_Map!$A$2:$A$287,$A72,KPI_Element_Map!$G$2:$G$287,N$1)&gt;0,1,"")</f>
        <v/>
      </c>
      <c r="O72" s="21" t="str">
        <f>IF(COUNTIFS(KPI_Element_Map!$A$2:$A$287,$A72,KPI_Element_Map!$G$2:$G$287,O$1)&gt;0,1,"")</f>
        <v/>
      </c>
      <c r="P72" s="21" t="str">
        <f>IF(COUNTIFS(KPI_Element_Map!$A$2:$A$287,$A72,KPI_Element_Map!$G$2:$G$287,P$1)&gt;0,1,"")</f>
        <v/>
      </c>
      <c r="Q72" s="21" t="str">
        <f>IF(COUNTIFS(KPI_Element_Map!$A$2:$A$287,$A72,KPI_Element_Map!$G$2:$G$287,Q$1)&gt;0,1,"")</f>
        <v/>
      </c>
      <c r="R72" s="21" t="str">
        <f>IF(COUNTIFS(KPI_Element_Map!$A$2:$A$287,$A72,KPI_Element_Map!$G$2:$G$287,R$1)&gt;0,1,"")</f>
        <v/>
      </c>
      <c r="S72" s="21" t="str">
        <f>IF(COUNTIFS(KPI_Element_Map!$A$2:$A$287,$A72,KPI_Element_Map!$G$2:$G$287,S$1)&gt;0,1,"")</f>
        <v/>
      </c>
      <c r="T72" s="21" t="str">
        <f>IF(COUNTIFS(KPI_Element_Map!$A$2:$A$287,$A72,KPI_Element_Map!$G$2:$G$287,T$1)&gt;0,1,"")</f>
        <v/>
      </c>
      <c r="U72" s="21" t="str">
        <f>IF(COUNTIFS(KPI_Element_Map!$A$2:$A$287,$A72,KPI_Element_Map!$G$2:$G$287,U$1)&gt;0,1,"")</f>
        <v/>
      </c>
      <c r="V72" s="21" t="str">
        <f>IF(COUNTIFS(KPI_Element_Map!$A$2:$A$287,$A72,KPI_Element_Map!$G$2:$G$287,V$1)&gt;0,1,"")</f>
        <v/>
      </c>
      <c r="W72" s="21" t="str">
        <f>IF(COUNTIFS(KPI_Element_Map!$A$2:$A$287,$A72,KPI_Element_Map!$G$2:$G$287,W$1)&gt;0,1,"")</f>
        <v/>
      </c>
      <c r="X72" s="21" t="str">
        <f>IF(COUNTIFS(KPI_Element_Map!$A$2:$A$287,$A72,KPI_Element_Map!$G$2:$G$287,X$1)&gt;0,1,"")</f>
        <v/>
      </c>
      <c r="Y72" s="21" t="str">
        <f>IF(COUNTIFS(KPI_Element_Map!$A$2:$A$287,$A72,KPI_Element_Map!$G$2:$G$287,Y$1)&gt;0,1,"")</f>
        <v/>
      </c>
      <c r="Z72" s="21" t="str">
        <f>IF(COUNTIFS(KPI_Element_Map!$A$2:$A$287,$A72,KPI_Element_Map!$G$2:$G$287,Z$1)&gt;0,1,"")</f>
        <v/>
      </c>
      <c r="AA72" s="21" t="str">
        <f>IF(COUNTIFS(KPI_Element_Map!$A$2:$A$287,$A72,KPI_Element_Map!$G$2:$G$287,AA$1)&gt;0,1,"")</f>
        <v/>
      </c>
      <c r="AB72" s="21" t="str">
        <f>IF(COUNTIFS(KPI_Element_Map!$A$2:$A$287,$A72,KPI_Element_Map!$G$2:$G$287,AB$1)&gt;0,1,"")</f>
        <v/>
      </c>
      <c r="AC72" s="21" t="str">
        <f>IF(COUNTIFS(KPI_Element_Map!$A$2:$A$287,$A72,KPI_Element_Map!$G$2:$G$287,AC$1)&gt;0,1,"")</f>
        <v/>
      </c>
      <c r="AD72" s="21" t="str">
        <f>IF(COUNTIFS(KPI_Element_Map!$A$2:$A$287,$A72,KPI_Element_Map!$G$2:$G$287,AD$1)&gt;0,1,"")</f>
        <v/>
      </c>
      <c r="AE72" s="21" t="str">
        <f>IF(COUNTIFS(KPI_Element_Map!$A$2:$A$287,$A72,KPI_Element_Map!$G$2:$G$287,AE$1)&gt;0,1,"")</f>
        <v/>
      </c>
      <c r="AF72" s="21" t="str">
        <f>IF(COUNTIFS(KPI_Element_Map!$A$2:$A$287,$A72,KPI_Element_Map!$G$2:$G$287,AF$1)&gt;0,1,"")</f>
        <v/>
      </c>
      <c r="AG72" s="21" t="str">
        <f>IF(COUNTIFS(KPI_Element_Map!$A$2:$A$287,$A72,KPI_Element_Map!$G$2:$G$287,AG$1)&gt;0,1,"")</f>
        <v/>
      </c>
      <c r="AH72" s="21" t="str">
        <f>IF(COUNTIFS(KPI_Element_Map!$A$2:$A$287,$A72,KPI_Element_Map!$G$2:$G$287,AH$1)&gt;0,1,"")</f>
        <v/>
      </c>
      <c r="AI72" s="21" t="str">
        <f>IF(COUNTIFS(KPI_Element_Map!$A$2:$A$287,$A72,KPI_Element_Map!$G$2:$G$287,AI$1)&gt;0,1,"")</f>
        <v/>
      </c>
      <c r="AJ72" s="21" t="str">
        <f>IF(COUNTIFS(KPI_Element_Map!$A$2:$A$287,$A72,KPI_Element_Map!$G$2:$G$287,AJ$1)&gt;0,1,"")</f>
        <v/>
      </c>
      <c r="AK72" s="21" t="str">
        <f>IF(COUNTIFS(KPI_Element_Map!$A$2:$A$287,$A72,KPI_Element_Map!$G$2:$G$287,AK$1)&gt;0,1,"")</f>
        <v/>
      </c>
    </row>
    <row r="73" spans="1:37">
      <c r="A73" s="21">
        <v>72</v>
      </c>
      <c r="B73" s="23" t="str">
        <f>INDEX(KPI_Master!$B:$B,MATCH($A73,KPI_Master!$A:$A,0))</f>
        <v>HRP-34</v>
      </c>
      <c r="C73" s="23" t="str">
        <f>INDEX(KPI_Master!$D:$D,MATCH($A73,KPI_Master!$A:$A,0))</f>
        <v>Average Compensation per FTE (All Staff)</v>
      </c>
      <c r="D73" s="23" t="str">
        <f>INDEX(KPI_Master!$K:$K,MATCH($A73,KPI_Master!$A:$A,0))</f>
        <v>3 - Optional</v>
      </c>
      <c r="E73" s="23" t="str">
        <f t="array" ref="E73">_xlfn.TEXTJOIN(", ",TRUE(),IF(KPI_Element_Map!$A$2:$A$287=$A73,KPI_Element_Map!$E$2:$E$287,""))</f>
        <v>E23, E28</v>
      </c>
      <c r="F73" s="21">
        <f t="shared" si="2"/>
        <v>2</v>
      </c>
      <c r="G73" s="21" t="str">
        <f>IF(COUNTIFS(KPI_Element_Map!$A$2:$A$287,$A73,KPI_Element_Map!$G$2:$G$287,G$1)&gt;0,1,"")</f>
        <v/>
      </c>
      <c r="H73" s="21" t="str">
        <f>IF(COUNTIFS(KPI_Element_Map!$A$2:$A$287,$A73,KPI_Element_Map!$G$2:$G$287,H$1)&gt;0,1,"")</f>
        <v/>
      </c>
      <c r="I73" s="21">
        <f>IF(COUNTIFS(KPI_Element_Map!$A$2:$A$287,$A73,KPI_Element_Map!$G$2:$G$287,I$1)&gt;0,1,"")</f>
        <v>1</v>
      </c>
      <c r="J73" s="21" t="str">
        <f>IF(COUNTIFS(KPI_Element_Map!$A$2:$A$287,$A73,KPI_Element_Map!$G$2:$G$287,J$1)&gt;0,1,"")</f>
        <v/>
      </c>
      <c r="K73" s="21" t="str">
        <f>IF(COUNTIFS(KPI_Element_Map!$A$2:$A$287,$A73,KPI_Element_Map!$G$2:$G$287,K$1)&gt;0,1,"")</f>
        <v/>
      </c>
      <c r="L73" s="21">
        <f>IF(COUNTIFS(KPI_Element_Map!$A$2:$A$287,$A73,KPI_Element_Map!$G$2:$G$287,L$1)&gt;0,1,"")</f>
        <v>1</v>
      </c>
      <c r="M73" s="21" t="str">
        <f>IF(COUNTIFS(KPI_Element_Map!$A$2:$A$287,$A73,KPI_Element_Map!$G$2:$G$287,M$1)&gt;0,1,"")</f>
        <v/>
      </c>
      <c r="N73" s="21" t="str">
        <f>IF(COUNTIFS(KPI_Element_Map!$A$2:$A$287,$A73,KPI_Element_Map!$G$2:$G$287,N$1)&gt;0,1,"")</f>
        <v/>
      </c>
      <c r="O73" s="21" t="str">
        <f>IF(COUNTIFS(KPI_Element_Map!$A$2:$A$287,$A73,KPI_Element_Map!$G$2:$G$287,O$1)&gt;0,1,"")</f>
        <v/>
      </c>
      <c r="P73" s="21" t="str">
        <f>IF(COUNTIFS(KPI_Element_Map!$A$2:$A$287,$A73,KPI_Element_Map!$G$2:$G$287,P$1)&gt;0,1,"")</f>
        <v/>
      </c>
      <c r="Q73" s="21" t="str">
        <f>IF(COUNTIFS(KPI_Element_Map!$A$2:$A$287,$A73,KPI_Element_Map!$G$2:$G$287,Q$1)&gt;0,1,"")</f>
        <v/>
      </c>
      <c r="R73" s="21" t="str">
        <f>IF(COUNTIFS(KPI_Element_Map!$A$2:$A$287,$A73,KPI_Element_Map!$G$2:$G$287,R$1)&gt;0,1,"")</f>
        <v/>
      </c>
      <c r="S73" s="21" t="str">
        <f>IF(COUNTIFS(KPI_Element_Map!$A$2:$A$287,$A73,KPI_Element_Map!$G$2:$G$287,S$1)&gt;0,1,"")</f>
        <v/>
      </c>
      <c r="T73" s="21" t="str">
        <f>IF(COUNTIFS(KPI_Element_Map!$A$2:$A$287,$A73,KPI_Element_Map!$G$2:$G$287,T$1)&gt;0,1,"")</f>
        <v/>
      </c>
      <c r="U73" s="21" t="str">
        <f>IF(COUNTIFS(KPI_Element_Map!$A$2:$A$287,$A73,KPI_Element_Map!$G$2:$G$287,U$1)&gt;0,1,"")</f>
        <v/>
      </c>
      <c r="V73" s="21" t="str">
        <f>IF(COUNTIFS(KPI_Element_Map!$A$2:$A$287,$A73,KPI_Element_Map!$G$2:$G$287,V$1)&gt;0,1,"")</f>
        <v/>
      </c>
      <c r="W73" s="21" t="str">
        <f>IF(COUNTIFS(KPI_Element_Map!$A$2:$A$287,$A73,KPI_Element_Map!$G$2:$G$287,W$1)&gt;0,1,"")</f>
        <v/>
      </c>
      <c r="X73" s="21" t="str">
        <f>IF(COUNTIFS(KPI_Element_Map!$A$2:$A$287,$A73,KPI_Element_Map!$G$2:$G$287,X$1)&gt;0,1,"")</f>
        <v/>
      </c>
      <c r="Y73" s="21" t="str">
        <f>IF(COUNTIFS(KPI_Element_Map!$A$2:$A$287,$A73,KPI_Element_Map!$G$2:$G$287,Y$1)&gt;0,1,"")</f>
        <v/>
      </c>
      <c r="Z73" s="21" t="str">
        <f>IF(COUNTIFS(KPI_Element_Map!$A$2:$A$287,$A73,KPI_Element_Map!$G$2:$G$287,Z$1)&gt;0,1,"")</f>
        <v/>
      </c>
      <c r="AA73" s="21" t="str">
        <f>IF(COUNTIFS(KPI_Element_Map!$A$2:$A$287,$A73,KPI_Element_Map!$G$2:$G$287,AA$1)&gt;0,1,"")</f>
        <v/>
      </c>
      <c r="AB73" s="21" t="str">
        <f>IF(COUNTIFS(KPI_Element_Map!$A$2:$A$287,$A73,KPI_Element_Map!$G$2:$G$287,AB$1)&gt;0,1,"")</f>
        <v/>
      </c>
      <c r="AC73" s="21" t="str">
        <f>IF(COUNTIFS(KPI_Element_Map!$A$2:$A$287,$A73,KPI_Element_Map!$G$2:$G$287,AC$1)&gt;0,1,"")</f>
        <v/>
      </c>
      <c r="AD73" s="21" t="str">
        <f>IF(COUNTIFS(KPI_Element_Map!$A$2:$A$287,$A73,KPI_Element_Map!$G$2:$G$287,AD$1)&gt;0,1,"")</f>
        <v/>
      </c>
      <c r="AE73" s="21" t="str">
        <f>IF(COUNTIFS(KPI_Element_Map!$A$2:$A$287,$A73,KPI_Element_Map!$G$2:$G$287,AE$1)&gt;0,1,"")</f>
        <v/>
      </c>
      <c r="AF73" s="21" t="str">
        <f>IF(COUNTIFS(KPI_Element_Map!$A$2:$A$287,$A73,KPI_Element_Map!$G$2:$G$287,AF$1)&gt;0,1,"")</f>
        <v/>
      </c>
      <c r="AG73" s="21" t="str">
        <f>IF(COUNTIFS(KPI_Element_Map!$A$2:$A$287,$A73,KPI_Element_Map!$G$2:$G$287,AG$1)&gt;0,1,"")</f>
        <v/>
      </c>
      <c r="AH73" s="21" t="str">
        <f>IF(COUNTIFS(KPI_Element_Map!$A$2:$A$287,$A73,KPI_Element_Map!$G$2:$G$287,AH$1)&gt;0,1,"")</f>
        <v/>
      </c>
      <c r="AI73" s="21" t="str">
        <f>IF(COUNTIFS(KPI_Element_Map!$A$2:$A$287,$A73,KPI_Element_Map!$G$2:$G$287,AI$1)&gt;0,1,"")</f>
        <v/>
      </c>
      <c r="AJ73" s="21" t="str">
        <f>IF(COUNTIFS(KPI_Element_Map!$A$2:$A$287,$A73,KPI_Element_Map!$G$2:$G$287,AJ$1)&gt;0,1,"")</f>
        <v/>
      </c>
      <c r="AK73" s="21" t="str">
        <f>IF(COUNTIFS(KPI_Element_Map!$A$2:$A$287,$A73,KPI_Element_Map!$G$2:$G$287,AK$1)&gt;0,1,"")</f>
        <v/>
      </c>
    </row>
    <row r="74" spans="1:37">
      <c r="A74" s="21">
        <v>73</v>
      </c>
      <c r="B74" s="23" t="str">
        <f>INDEX(KPI_Master!$B:$B,MATCH($A74,KPI_Master!$A:$A,0))</f>
        <v>LEAT-01</v>
      </c>
      <c r="C74" s="23" t="str">
        <f>INDEX(KPI_Master!$D:$D,MATCH($A74,KPI_Master!$A:$A,0))</f>
        <v>Mandatory Training Completion Rate</v>
      </c>
      <c r="D74" s="23" t="str">
        <f>INDEX(KPI_Master!$K:$K,MATCH($A74,KPI_Master!$A:$A,0))</f>
        <v>1 - Core</v>
      </c>
      <c r="E74" s="23" t="str">
        <f t="array" ref="E74">_xlfn.TEXTJOIN(", ",TRUE(),IF(KPI_Element_Map!$A$2:$A$287=$A74,KPI_Element_Map!$E$2:$E$287,""))</f>
        <v>E35</v>
      </c>
      <c r="F74" s="21">
        <f t="shared" si="2"/>
        <v>1</v>
      </c>
      <c r="G74" s="21" t="str">
        <f>IF(COUNTIFS(KPI_Element_Map!$A$2:$A$287,$A74,KPI_Element_Map!$G$2:$G$287,G$1)&gt;0,1,"")</f>
        <v/>
      </c>
      <c r="H74" s="21" t="str">
        <f>IF(COUNTIFS(KPI_Element_Map!$A$2:$A$287,$A74,KPI_Element_Map!$G$2:$G$287,H$1)&gt;0,1,"")</f>
        <v/>
      </c>
      <c r="I74" s="21" t="str">
        <f>IF(COUNTIFS(KPI_Element_Map!$A$2:$A$287,$A74,KPI_Element_Map!$G$2:$G$287,I$1)&gt;0,1,"")</f>
        <v/>
      </c>
      <c r="J74" s="21" t="str">
        <f>IF(COUNTIFS(KPI_Element_Map!$A$2:$A$287,$A74,KPI_Element_Map!$G$2:$G$287,J$1)&gt;0,1,"")</f>
        <v/>
      </c>
      <c r="K74" s="21" t="str">
        <f>IF(COUNTIFS(KPI_Element_Map!$A$2:$A$287,$A74,KPI_Element_Map!$G$2:$G$287,K$1)&gt;0,1,"")</f>
        <v/>
      </c>
      <c r="L74" s="21" t="str">
        <f>IF(COUNTIFS(KPI_Element_Map!$A$2:$A$287,$A74,KPI_Element_Map!$G$2:$G$287,L$1)&gt;0,1,"")</f>
        <v/>
      </c>
      <c r="M74" s="21" t="str">
        <f>IF(COUNTIFS(KPI_Element_Map!$A$2:$A$287,$A74,KPI_Element_Map!$G$2:$G$287,M$1)&gt;0,1,"")</f>
        <v/>
      </c>
      <c r="N74" s="21" t="str">
        <f>IF(COUNTIFS(KPI_Element_Map!$A$2:$A$287,$A74,KPI_Element_Map!$G$2:$G$287,N$1)&gt;0,1,"")</f>
        <v/>
      </c>
      <c r="O74" s="21" t="str">
        <f>IF(COUNTIFS(KPI_Element_Map!$A$2:$A$287,$A74,KPI_Element_Map!$G$2:$G$287,O$1)&gt;0,1,"")</f>
        <v/>
      </c>
      <c r="P74" s="21" t="str">
        <f>IF(COUNTIFS(KPI_Element_Map!$A$2:$A$287,$A74,KPI_Element_Map!$G$2:$G$287,P$1)&gt;0,1,"")</f>
        <v/>
      </c>
      <c r="Q74" s="21">
        <f>IF(COUNTIFS(KPI_Element_Map!$A$2:$A$287,$A74,KPI_Element_Map!$G$2:$G$287,Q$1)&gt;0,1,"")</f>
        <v>1</v>
      </c>
      <c r="R74" s="21" t="str">
        <f>IF(COUNTIFS(KPI_Element_Map!$A$2:$A$287,$A74,KPI_Element_Map!$G$2:$G$287,R$1)&gt;0,1,"")</f>
        <v/>
      </c>
      <c r="S74" s="21" t="str">
        <f>IF(COUNTIFS(KPI_Element_Map!$A$2:$A$287,$A74,KPI_Element_Map!$G$2:$G$287,S$1)&gt;0,1,"")</f>
        <v/>
      </c>
      <c r="T74" s="21" t="str">
        <f>IF(COUNTIFS(KPI_Element_Map!$A$2:$A$287,$A74,KPI_Element_Map!$G$2:$G$287,T$1)&gt;0,1,"")</f>
        <v/>
      </c>
      <c r="U74" s="21" t="str">
        <f>IF(COUNTIFS(KPI_Element_Map!$A$2:$A$287,$A74,KPI_Element_Map!$G$2:$G$287,U$1)&gt;0,1,"")</f>
        <v/>
      </c>
      <c r="V74" s="21" t="str">
        <f>IF(COUNTIFS(KPI_Element_Map!$A$2:$A$287,$A74,KPI_Element_Map!$G$2:$G$287,V$1)&gt;0,1,"")</f>
        <v/>
      </c>
      <c r="W74" s="21" t="str">
        <f>IF(COUNTIFS(KPI_Element_Map!$A$2:$A$287,$A74,KPI_Element_Map!$G$2:$G$287,W$1)&gt;0,1,"")</f>
        <v/>
      </c>
      <c r="X74" s="21" t="str">
        <f>IF(COUNTIFS(KPI_Element_Map!$A$2:$A$287,$A74,KPI_Element_Map!$G$2:$G$287,X$1)&gt;0,1,"")</f>
        <v/>
      </c>
      <c r="Y74" s="21" t="str">
        <f>IF(COUNTIFS(KPI_Element_Map!$A$2:$A$287,$A74,KPI_Element_Map!$G$2:$G$287,Y$1)&gt;0,1,"")</f>
        <v/>
      </c>
      <c r="Z74" s="21" t="str">
        <f>IF(COUNTIFS(KPI_Element_Map!$A$2:$A$287,$A74,KPI_Element_Map!$G$2:$G$287,Z$1)&gt;0,1,"")</f>
        <v/>
      </c>
      <c r="AA74" s="21" t="str">
        <f>IF(COUNTIFS(KPI_Element_Map!$A$2:$A$287,$A74,KPI_Element_Map!$G$2:$G$287,AA$1)&gt;0,1,"")</f>
        <v/>
      </c>
      <c r="AB74" s="21" t="str">
        <f>IF(COUNTIFS(KPI_Element_Map!$A$2:$A$287,$A74,KPI_Element_Map!$G$2:$G$287,AB$1)&gt;0,1,"")</f>
        <v/>
      </c>
      <c r="AC74" s="21" t="str">
        <f>IF(COUNTIFS(KPI_Element_Map!$A$2:$A$287,$A74,KPI_Element_Map!$G$2:$G$287,AC$1)&gt;0,1,"")</f>
        <v/>
      </c>
      <c r="AD74" s="21" t="str">
        <f>IF(COUNTIFS(KPI_Element_Map!$A$2:$A$287,$A74,KPI_Element_Map!$G$2:$G$287,AD$1)&gt;0,1,"")</f>
        <v/>
      </c>
      <c r="AE74" s="21" t="str">
        <f>IF(COUNTIFS(KPI_Element_Map!$A$2:$A$287,$A74,KPI_Element_Map!$G$2:$G$287,AE$1)&gt;0,1,"")</f>
        <v/>
      </c>
      <c r="AF74" s="21" t="str">
        <f>IF(COUNTIFS(KPI_Element_Map!$A$2:$A$287,$A74,KPI_Element_Map!$G$2:$G$287,AF$1)&gt;0,1,"")</f>
        <v/>
      </c>
      <c r="AG74" s="21" t="str">
        <f>IF(COUNTIFS(KPI_Element_Map!$A$2:$A$287,$A74,KPI_Element_Map!$G$2:$G$287,AG$1)&gt;0,1,"")</f>
        <v/>
      </c>
      <c r="AH74" s="21" t="str">
        <f>IF(COUNTIFS(KPI_Element_Map!$A$2:$A$287,$A74,KPI_Element_Map!$G$2:$G$287,AH$1)&gt;0,1,"")</f>
        <v/>
      </c>
      <c r="AI74" s="21" t="str">
        <f>IF(COUNTIFS(KPI_Element_Map!$A$2:$A$287,$A74,KPI_Element_Map!$G$2:$G$287,AI$1)&gt;0,1,"")</f>
        <v/>
      </c>
      <c r="AJ74" s="21" t="str">
        <f>IF(COUNTIFS(KPI_Element_Map!$A$2:$A$287,$A74,KPI_Element_Map!$G$2:$G$287,AJ$1)&gt;0,1,"")</f>
        <v/>
      </c>
      <c r="AK74" s="21" t="str">
        <f>IF(COUNTIFS(KPI_Element_Map!$A$2:$A$287,$A74,KPI_Element_Map!$G$2:$G$287,AK$1)&gt;0,1,"")</f>
        <v/>
      </c>
    </row>
    <row r="75" spans="1:37">
      <c r="A75" s="21">
        <v>74</v>
      </c>
      <c r="B75" s="23" t="str">
        <f>INDEX(KPI_Master!$B:$B,MATCH($A75,KPI_Master!$A:$A,0))</f>
        <v>LIFE-01</v>
      </c>
      <c r="C75" s="23" t="str">
        <f>INDEX(KPI_Master!$D:$D,MATCH($A75,KPI_Master!$A:$A,0))</f>
        <v>Activity Participation Rate</v>
      </c>
      <c r="D75" s="23" t="str">
        <f>INDEX(KPI_Master!$K:$K,MATCH($A75,KPI_Master!$A:$A,0))</f>
        <v>1 - Core</v>
      </c>
      <c r="E75" s="23" t="str">
        <f t="array" ref="E75">_xlfn.TEXTJOIN(", ",TRUE(),IF(KPI_Element_Map!$A$2:$A$287=$A75,KPI_Element_Map!$E$2:$E$287,""))</f>
        <v>E50, E49, E03</v>
      </c>
      <c r="F75" s="21">
        <f t="shared" si="2"/>
        <v>2</v>
      </c>
      <c r="G75" s="21">
        <f>IF(COUNTIFS(KPI_Element_Map!$A$2:$A$287,$A75,KPI_Element_Map!$G$2:$G$287,G$1)&gt;0,1,"")</f>
        <v>1</v>
      </c>
      <c r="H75" s="21" t="str">
        <f>IF(COUNTIFS(KPI_Element_Map!$A$2:$A$287,$A75,KPI_Element_Map!$G$2:$G$287,H$1)&gt;0,1,"")</f>
        <v/>
      </c>
      <c r="I75" s="21" t="str">
        <f>IF(COUNTIFS(KPI_Element_Map!$A$2:$A$287,$A75,KPI_Element_Map!$G$2:$G$287,I$1)&gt;0,1,"")</f>
        <v/>
      </c>
      <c r="J75" s="21" t="str">
        <f>IF(COUNTIFS(KPI_Element_Map!$A$2:$A$287,$A75,KPI_Element_Map!$G$2:$G$287,J$1)&gt;0,1,"")</f>
        <v/>
      </c>
      <c r="K75" s="21" t="str">
        <f>IF(COUNTIFS(KPI_Element_Map!$A$2:$A$287,$A75,KPI_Element_Map!$G$2:$G$287,K$1)&gt;0,1,"")</f>
        <v/>
      </c>
      <c r="L75" s="21" t="str">
        <f>IF(COUNTIFS(KPI_Element_Map!$A$2:$A$287,$A75,KPI_Element_Map!$G$2:$G$287,L$1)&gt;0,1,"")</f>
        <v/>
      </c>
      <c r="M75" s="21" t="str">
        <f>IF(COUNTIFS(KPI_Element_Map!$A$2:$A$287,$A75,KPI_Element_Map!$G$2:$G$287,M$1)&gt;0,1,"")</f>
        <v/>
      </c>
      <c r="N75" s="21" t="str">
        <f>IF(COUNTIFS(KPI_Element_Map!$A$2:$A$287,$A75,KPI_Element_Map!$G$2:$G$287,N$1)&gt;0,1,"")</f>
        <v/>
      </c>
      <c r="O75" s="21" t="str">
        <f>IF(COUNTIFS(KPI_Element_Map!$A$2:$A$287,$A75,KPI_Element_Map!$G$2:$G$287,O$1)&gt;0,1,"")</f>
        <v/>
      </c>
      <c r="P75" s="21" t="str">
        <f>IF(COUNTIFS(KPI_Element_Map!$A$2:$A$287,$A75,KPI_Element_Map!$G$2:$G$287,P$1)&gt;0,1,"")</f>
        <v/>
      </c>
      <c r="Q75" s="21" t="str">
        <f>IF(COUNTIFS(KPI_Element_Map!$A$2:$A$287,$A75,KPI_Element_Map!$G$2:$G$287,Q$1)&gt;0,1,"")</f>
        <v/>
      </c>
      <c r="R75" s="21" t="str">
        <f>IF(COUNTIFS(KPI_Element_Map!$A$2:$A$287,$A75,KPI_Element_Map!$G$2:$G$287,R$1)&gt;0,1,"")</f>
        <v/>
      </c>
      <c r="S75" s="21" t="str">
        <f>IF(COUNTIFS(KPI_Element_Map!$A$2:$A$287,$A75,KPI_Element_Map!$G$2:$G$287,S$1)&gt;0,1,"")</f>
        <v/>
      </c>
      <c r="T75" s="21" t="str">
        <f>IF(COUNTIFS(KPI_Element_Map!$A$2:$A$287,$A75,KPI_Element_Map!$G$2:$G$287,T$1)&gt;0,1,"")</f>
        <v/>
      </c>
      <c r="U75" s="21" t="str">
        <f>IF(COUNTIFS(KPI_Element_Map!$A$2:$A$287,$A75,KPI_Element_Map!$G$2:$G$287,U$1)&gt;0,1,"")</f>
        <v/>
      </c>
      <c r="V75" s="21" t="str">
        <f>IF(COUNTIFS(KPI_Element_Map!$A$2:$A$287,$A75,KPI_Element_Map!$G$2:$G$287,V$1)&gt;0,1,"")</f>
        <v/>
      </c>
      <c r="W75" s="21" t="str">
        <f>IF(COUNTIFS(KPI_Element_Map!$A$2:$A$287,$A75,KPI_Element_Map!$G$2:$G$287,W$1)&gt;0,1,"")</f>
        <v/>
      </c>
      <c r="X75" s="21" t="str">
        <f>IF(COUNTIFS(KPI_Element_Map!$A$2:$A$287,$A75,KPI_Element_Map!$G$2:$G$287,X$1)&gt;0,1,"")</f>
        <v/>
      </c>
      <c r="Y75" s="21" t="str">
        <f>IF(COUNTIFS(KPI_Element_Map!$A$2:$A$287,$A75,KPI_Element_Map!$G$2:$G$287,Y$1)&gt;0,1,"")</f>
        <v/>
      </c>
      <c r="Z75" s="21" t="str">
        <f>IF(COUNTIFS(KPI_Element_Map!$A$2:$A$287,$A75,KPI_Element_Map!$G$2:$G$287,Z$1)&gt;0,1,"")</f>
        <v/>
      </c>
      <c r="AA75" s="21" t="str">
        <f>IF(COUNTIFS(KPI_Element_Map!$A$2:$A$287,$A75,KPI_Element_Map!$G$2:$G$287,AA$1)&gt;0,1,"")</f>
        <v/>
      </c>
      <c r="AB75" s="21" t="str">
        <f>IF(COUNTIFS(KPI_Element_Map!$A$2:$A$287,$A75,KPI_Element_Map!$G$2:$G$287,AB$1)&gt;0,1,"")</f>
        <v/>
      </c>
      <c r="AC75" s="21" t="str">
        <f>IF(COUNTIFS(KPI_Element_Map!$A$2:$A$287,$A75,KPI_Element_Map!$G$2:$G$287,AC$1)&gt;0,1,"")</f>
        <v/>
      </c>
      <c r="AD75" s="21">
        <f>IF(COUNTIFS(KPI_Element_Map!$A$2:$A$287,$A75,KPI_Element_Map!$G$2:$G$287,AD$1)&gt;0,1,"")</f>
        <v>1</v>
      </c>
      <c r="AE75" s="21" t="str">
        <f>IF(COUNTIFS(KPI_Element_Map!$A$2:$A$287,$A75,KPI_Element_Map!$G$2:$G$287,AE$1)&gt;0,1,"")</f>
        <v/>
      </c>
      <c r="AF75" s="21" t="str">
        <f>IF(COUNTIFS(KPI_Element_Map!$A$2:$A$287,$A75,KPI_Element_Map!$G$2:$G$287,AF$1)&gt;0,1,"")</f>
        <v/>
      </c>
      <c r="AG75" s="21" t="str">
        <f>IF(COUNTIFS(KPI_Element_Map!$A$2:$A$287,$A75,KPI_Element_Map!$G$2:$G$287,AG$1)&gt;0,1,"")</f>
        <v/>
      </c>
      <c r="AH75" s="21" t="str">
        <f>IF(COUNTIFS(KPI_Element_Map!$A$2:$A$287,$A75,KPI_Element_Map!$G$2:$G$287,AH$1)&gt;0,1,"")</f>
        <v/>
      </c>
      <c r="AI75" s="21" t="str">
        <f>IF(COUNTIFS(KPI_Element_Map!$A$2:$A$287,$A75,KPI_Element_Map!$G$2:$G$287,AI$1)&gt;0,1,"")</f>
        <v/>
      </c>
      <c r="AJ75" s="21" t="str">
        <f>IF(COUNTIFS(KPI_Element_Map!$A$2:$A$287,$A75,KPI_Element_Map!$G$2:$G$287,AJ$1)&gt;0,1,"")</f>
        <v/>
      </c>
      <c r="AK75" s="21" t="str">
        <f>IF(COUNTIFS(KPI_Element_Map!$A$2:$A$287,$A75,KPI_Element_Map!$G$2:$G$287,AK$1)&gt;0,1,"")</f>
        <v/>
      </c>
    </row>
    <row r="76" spans="1:37">
      <c r="A76" s="21">
        <v>75</v>
      </c>
      <c r="B76" s="23" t="str">
        <f>INDEX(KPI_Master!$B:$B,MATCH($A76,KPI_Master!$A:$A,0))</f>
        <v>LIFE-02</v>
      </c>
      <c r="C76" s="23" t="str">
        <f>INDEX(KPI_Master!$D:$D,MATCH($A76,KPI_Master!$A:$A,0))</f>
        <v>Unique Resident Participation Rate</v>
      </c>
      <c r="D76" s="23" t="str">
        <f>INDEX(KPI_Master!$K:$K,MATCH($A76,KPI_Master!$A:$A,0))</f>
        <v>2 - Standard</v>
      </c>
      <c r="E76" s="23" t="str">
        <f t="array" ref="E76">_xlfn.TEXTJOIN(", ",TRUE(),IF(KPI_Element_Map!$A$2:$A$287=$A76,KPI_Element_Map!$E$2:$E$287,""))</f>
        <v>E50, E03</v>
      </c>
      <c r="F76" s="21">
        <f t="shared" si="2"/>
        <v>2</v>
      </c>
      <c r="G76" s="21">
        <f>IF(COUNTIFS(KPI_Element_Map!$A$2:$A$287,$A76,KPI_Element_Map!$G$2:$G$287,G$1)&gt;0,1,"")</f>
        <v>1</v>
      </c>
      <c r="H76" s="21" t="str">
        <f>IF(COUNTIFS(KPI_Element_Map!$A$2:$A$287,$A76,KPI_Element_Map!$G$2:$G$287,H$1)&gt;0,1,"")</f>
        <v/>
      </c>
      <c r="I76" s="21" t="str">
        <f>IF(COUNTIFS(KPI_Element_Map!$A$2:$A$287,$A76,KPI_Element_Map!$G$2:$G$287,I$1)&gt;0,1,"")</f>
        <v/>
      </c>
      <c r="J76" s="21" t="str">
        <f>IF(COUNTIFS(KPI_Element_Map!$A$2:$A$287,$A76,KPI_Element_Map!$G$2:$G$287,J$1)&gt;0,1,"")</f>
        <v/>
      </c>
      <c r="K76" s="21" t="str">
        <f>IF(COUNTIFS(KPI_Element_Map!$A$2:$A$287,$A76,KPI_Element_Map!$G$2:$G$287,K$1)&gt;0,1,"")</f>
        <v/>
      </c>
      <c r="L76" s="21" t="str">
        <f>IF(COUNTIFS(KPI_Element_Map!$A$2:$A$287,$A76,KPI_Element_Map!$G$2:$G$287,L$1)&gt;0,1,"")</f>
        <v/>
      </c>
      <c r="M76" s="21" t="str">
        <f>IF(COUNTIFS(KPI_Element_Map!$A$2:$A$287,$A76,KPI_Element_Map!$G$2:$G$287,M$1)&gt;0,1,"")</f>
        <v/>
      </c>
      <c r="N76" s="21" t="str">
        <f>IF(COUNTIFS(KPI_Element_Map!$A$2:$A$287,$A76,KPI_Element_Map!$G$2:$G$287,N$1)&gt;0,1,"")</f>
        <v/>
      </c>
      <c r="O76" s="21" t="str">
        <f>IF(COUNTIFS(KPI_Element_Map!$A$2:$A$287,$A76,KPI_Element_Map!$G$2:$G$287,O$1)&gt;0,1,"")</f>
        <v/>
      </c>
      <c r="P76" s="21" t="str">
        <f>IF(COUNTIFS(KPI_Element_Map!$A$2:$A$287,$A76,KPI_Element_Map!$G$2:$G$287,P$1)&gt;0,1,"")</f>
        <v/>
      </c>
      <c r="Q76" s="21" t="str">
        <f>IF(COUNTIFS(KPI_Element_Map!$A$2:$A$287,$A76,KPI_Element_Map!$G$2:$G$287,Q$1)&gt;0,1,"")</f>
        <v/>
      </c>
      <c r="R76" s="21" t="str">
        <f>IF(COUNTIFS(KPI_Element_Map!$A$2:$A$287,$A76,KPI_Element_Map!$G$2:$G$287,R$1)&gt;0,1,"")</f>
        <v/>
      </c>
      <c r="S76" s="21" t="str">
        <f>IF(COUNTIFS(KPI_Element_Map!$A$2:$A$287,$A76,KPI_Element_Map!$G$2:$G$287,S$1)&gt;0,1,"")</f>
        <v/>
      </c>
      <c r="T76" s="21" t="str">
        <f>IF(COUNTIFS(KPI_Element_Map!$A$2:$A$287,$A76,KPI_Element_Map!$G$2:$G$287,T$1)&gt;0,1,"")</f>
        <v/>
      </c>
      <c r="U76" s="21" t="str">
        <f>IF(COUNTIFS(KPI_Element_Map!$A$2:$A$287,$A76,KPI_Element_Map!$G$2:$G$287,U$1)&gt;0,1,"")</f>
        <v/>
      </c>
      <c r="V76" s="21" t="str">
        <f>IF(COUNTIFS(KPI_Element_Map!$A$2:$A$287,$A76,KPI_Element_Map!$G$2:$G$287,V$1)&gt;0,1,"")</f>
        <v/>
      </c>
      <c r="W76" s="21" t="str">
        <f>IF(COUNTIFS(KPI_Element_Map!$A$2:$A$287,$A76,KPI_Element_Map!$G$2:$G$287,W$1)&gt;0,1,"")</f>
        <v/>
      </c>
      <c r="X76" s="21" t="str">
        <f>IF(COUNTIFS(KPI_Element_Map!$A$2:$A$287,$A76,KPI_Element_Map!$G$2:$G$287,X$1)&gt;0,1,"")</f>
        <v/>
      </c>
      <c r="Y76" s="21" t="str">
        <f>IF(COUNTIFS(KPI_Element_Map!$A$2:$A$287,$A76,KPI_Element_Map!$G$2:$G$287,Y$1)&gt;0,1,"")</f>
        <v/>
      </c>
      <c r="Z76" s="21" t="str">
        <f>IF(COUNTIFS(KPI_Element_Map!$A$2:$A$287,$A76,KPI_Element_Map!$G$2:$G$287,Z$1)&gt;0,1,"")</f>
        <v/>
      </c>
      <c r="AA76" s="21" t="str">
        <f>IF(COUNTIFS(KPI_Element_Map!$A$2:$A$287,$A76,KPI_Element_Map!$G$2:$G$287,AA$1)&gt;0,1,"")</f>
        <v/>
      </c>
      <c r="AB76" s="21" t="str">
        <f>IF(COUNTIFS(KPI_Element_Map!$A$2:$A$287,$A76,KPI_Element_Map!$G$2:$G$287,AB$1)&gt;0,1,"")</f>
        <v/>
      </c>
      <c r="AC76" s="21" t="str">
        <f>IF(COUNTIFS(KPI_Element_Map!$A$2:$A$287,$A76,KPI_Element_Map!$G$2:$G$287,AC$1)&gt;0,1,"")</f>
        <v/>
      </c>
      <c r="AD76" s="21">
        <f>IF(COUNTIFS(KPI_Element_Map!$A$2:$A$287,$A76,KPI_Element_Map!$G$2:$G$287,AD$1)&gt;0,1,"")</f>
        <v>1</v>
      </c>
      <c r="AE76" s="21" t="str">
        <f>IF(COUNTIFS(KPI_Element_Map!$A$2:$A$287,$A76,KPI_Element_Map!$G$2:$G$287,AE$1)&gt;0,1,"")</f>
        <v/>
      </c>
      <c r="AF76" s="21" t="str">
        <f>IF(COUNTIFS(KPI_Element_Map!$A$2:$A$287,$A76,KPI_Element_Map!$G$2:$G$287,AF$1)&gt;0,1,"")</f>
        <v/>
      </c>
      <c r="AG76" s="21" t="str">
        <f>IF(COUNTIFS(KPI_Element_Map!$A$2:$A$287,$A76,KPI_Element_Map!$G$2:$G$287,AG$1)&gt;0,1,"")</f>
        <v/>
      </c>
      <c r="AH76" s="21" t="str">
        <f>IF(COUNTIFS(KPI_Element_Map!$A$2:$A$287,$A76,KPI_Element_Map!$G$2:$G$287,AH$1)&gt;0,1,"")</f>
        <v/>
      </c>
      <c r="AI76" s="21" t="str">
        <f>IF(COUNTIFS(KPI_Element_Map!$A$2:$A$287,$A76,KPI_Element_Map!$G$2:$G$287,AI$1)&gt;0,1,"")</f>
        <v/>
      </c>
      <c r="AJ76" s="21" t="str">
        <f>IF(COUNTIFS(KPI_Element_Map!$A$2:$A$287,$A76,KPI_Element_Map!$G$2:$G$287,AJ$1)&gt;0,1,"")</f>
        <v/>
      </c>
      <c r="AK76" s="21" t="str">
        <f>IF(COUNTIFS(KPI_Element_Map!$A$2:$A$287,$A76,KPI_Element_Map!$G$2:$G$287,AK$1)&gt;0,1,"")</f>
        <v/>
      </c>
    </row>
    <row r="77" spans="1:37">
      <c r="A77" s="21">
        <v>76</v>
      </c>
      <c r="B77" s="23" t="str">
        <f>INDEX(KPI_Master!$B:$B,MATCH($A77,KPI_Master!$A:$A,0))</f>
        <v>LIFE-08</v>
      </c>
      <c r="C77" s="23" t="str">
        <f>INDEX(KPI_Master!$D:$D,MATCH($A77,KPI_Master!$A:$A,0))</f>
        <v>Resident Program Satisfaction Score</v>
      </c>
      <c r="D77" s="23" t="str">
        <f>INDEX(KPI_Master!$K:$K,MATCH($A77,KPI_Master!$A:$A,0))</f>
        <v>2 - Standard</v>
      </c>
      <c r="E77" s="23" t="str">
        <f t="array" ref="E77">_xlfn.TEXTJOIN(", ",TRUE(),IF(KPI_Element_Map!$A$2:$A$287=$A77,KPI_Element_Map!$E$2:$E$287,""))</f>
        <v>E36</v>
      </c>
      <c r="F77" s="21">
        <f t="shared" si="2"/>
        <v>1</v>
      </c>
      <c r="G77" s="21" t="str">
        <f>IF(COUNTIFS(KPI_Element_Map!$A$2:$A$287,$A77,KPI_Element_Map!$G$2:$G$287,G$1)&gt;0,1,"")</f>
        <v/>
      </c>
      <c r="H77" s="21" t="str">
        <f>IF(COUNTIFS(KPI_Element_Map!$A$2:$A$287,$A77,KPI_Element_Map!$G$2:$G$287,H$1)&gt;0,1,"")</f>
        <v/>
      </c>
      <c r="I77" s="21" t="str">
        <f>IF(COUNTIFS(KPI_Element_Map!$A$2:$A$287,$A77,KPI_Element_Map!$G$2:$G$287,I$1)&gt;0,1,"")</f>
        <v/>
      </c>
      <c r="J77" s="21" t="str">
        <f>IF(COUNTIFS(KPI_Element_Map!$A$2:$A$287,$A77,KPI_Element_Map!$G$2:$G$287,J$1)&gt;0,1,"")</f>
        <v/>
      </c>
      <c r="K77" s="21" t="str">
        <f>IF(COUNTIFS(KPI_Element_Map!$A$2:$A$287,$A77,KPI_Element_Map!$G$2:$G$287,K$1)&gt;0,1,"")</f>
        <v/>
      </c>
      <c r="L77" s="21" t="str">
        <f>IF(COUNTIFS(KPI_Element_Map!$A$2:$A$287,$A77,KPI_Element_Map!$G$2:$G$287,L$1)&gt;0,1,"")</f>
        <v/>
      </c>
      <c r="M77" s="21" t="str">
        <f>IF(COUNTIFS(KPI_Element_Map!$A$2:$A$287,$A77,KPI_Element_Map!$G$2:$G$287,M$1)&gt;0,1,"")</f>
        <v/>
      </c>
      <c r="N77" s="21" t="str">
        <f>IF(COUNTIFS(KPI_Element_Map!$A$2:$A$287,$A77,KPI_Element_Map!$G$2:$G$287,N$1)&gt;0,1,"")</f>
        <v/>
      </c>
      <c r="O77" s="21" t="str">
        <f>IF(COUNTIFS(KPI_Element_Map!$A$2:$A$287,$A77,KPI_Element_Map!$G$2:$G$287,O$1)&gt;0,1,"")</f>
        <v/>
      </c>
      <c r="P77" s="21" t="str">
        <f>IF(COUNTIFS(KPI_Element_Map!$A$2:$A$287,$A77,KPI_Element_Map!$G$2:$G$287,P$1)&gt;0,1,"")</f>
        <v/>
      </c>
      <c r="Q77" s="21" t="str">
        <f>IF(COUNTIFS(KPI_Element_Map!$A$2:$A$287,$A77,KPI_Element_Map!$G$2:$G$287,Q$1)&gt;0,1,"")</f>
        <v/>
      </c>
      <c r="R77" s="21">
        <f>IF(COUNTIFS(KPI_Element_Map!$A$2:$A$287,$A77,KPI_Element_Map!$G$2:$G$287,R$1)&gt;0,1,"")</f>
        <v>1</v>
      </c>
      <c r="S77" s="21" t="str">
        <f>IF(COUNTIFS(KPI_Element_Map!$A$2:$A$287,$A77,KPI_Element_Map!$G$2:$G$287,S$1)&gt;0,1,"")</f>
        <v/>
      </c>
      <c r="T77" s="21" t="str">
        <f>IF(COUNTIFS(KPI_Element_Map!$A$2:$A$287,$A77,KPI_Element_Map!$G$2:$G$287,T$1)&gt;0,1,"")</f>
        <v/>
      </c>
      <c r="U77" s="21" t="str">
        <f>IF(COUNTIFS(KPI_Element_Map!$A$2:$A$287,$A77,KPI_Element_Map!$G$2:$G$287,U$1)&gt;0,1,"")</f>
        <v/>
      </c>
      <c r="V77" s="21" t="str">
        <f>IF(COUNTIFS(KPI_Element_Map!$A$2:$A$287,$A77,KPI_Element_Map!$G$2:$G$287,V$1)&gt;0,1,"")</f>
        <v/>
      </c>
      <c r="W77" s="21" t="str">
        <f>IF(COUNTIFS(KPI_Element_Map!$A$2:$A$287,$A77,KPI_Element_Map!$G$2:$G$287,W$1)&gt;0,1,"")</f>
        <v/>
      </c>
      <c r="X77" s="21" t="str">
        <f>IF(COUNTIFS(KPI_Element_Map!$A$2:$A$287,$A77,KPI_Element_Map!$G$2:$G$287,X$1)&gt;0,1,"")</f>
        <v/>
      </c>
      <c r="Y77" s="21" t="str">
        <f>IF(COUNTIFS(KPI_Element_Map!$A$2:$A$287,$A77,KPI_Element_Map!$G$2:$G$287,Y$1)&gt;0,1,"")</f>
        <v/>
      </c>
      <c r="Z77" s="21" t="str">
        <f>IF(COUNTIFS(KPI_Element_Map!$A$2:$A$287,$A77,KPI_Element_Map!$G$2:$G$287,Z$1)&gt;0,1,"")</f>
        <v/>
      </c>
      <c r="AA77" s="21" t="str">
        <f>IF(COUNTIFS(KPI_Element_Map!$A$2:$A$287,$A77,KPI_Element_Map!$G$2:$G$287,AA$1)&gt;0,1,"")</f>
        <v/>
      </c>
      <c r="AB77" s="21" t="str">
        <f>IF(COUNTIFS(KPI_Element_Map!$A$2:$A$287,$A77,KPI_Element_Map!$G$2:$G$287,AB$1)&gt;0,1,"")</f>
        <v/>
      </c>
      <c r="AC77" s="21" t="str">
        <f>IF(COUNTIFS(KPI_Element_Map!$A$2:$A$287,$A77,KPI_Element_Map!$G$2:$G$287,AC$1)&gt;0,1,"")</f>
        <v/>
      </c>
      <c r="AD77" s="21" t="str">
        <f>IF(COUNTIFS(KPI_Element_Map!$A$2:$A$287,$A77,KPI_Element_Map!$G$2:$G$287,AD$1)&gt;0,1,"")</f>
        <v/>
      </c>
      <c r="AE77" s="21" t="str">
        <f>IF(COUNTIFS(KPI_Element_Map!$A$2:$A$287,$A77,KPI_Element_Map!$G$2:$G$287,AE$1)&gt;0,1,"")</f>
        <v/>
      </c>
      <c r="AF77" s="21" t="str">
        <f>IF(COUNTIFS(KPI_Element_Map!$A$2:$A$287,$A77,KPI_Element_Map!$G$2:$G$287,AF$1)&gt;0,1,"")</f>
        <v/>
      </c>
      <c r="AG77" s="21" t="str">
        <f>IF(COUNTIFS(KPI_Element_Map!$A$2:$A$287,$A77,KPI_Element_Map!$G$2:$G$287,AG$1)&gt;0,1,"")</f>
        <v/>
      </c>
      <c r="AH77" s="21" t="str">
        <f>IF(COUNTIFS(KPI_Element_Map!$A$2:$A$287,$A77,KPI_Element_Map!$G$2:$G$287,AH$1)&gt;0,1,"")</f>
        <v/>
      </c>
      <c r="AI77" s="21" t="str">
        <f>IF(COUNTIFS(KPI_Element_Map!$A$2:$A$287,$A77,KPI_Element_Map!$G$2:$G$287,AI$1)&gt;0,1,"")</f>
        <v/>
      </c>
      <c r="AJ77" s="21" t="str">
        <f>IF(COUNTIFS(KPI_Element_Map!$A$2:$A$287,$A77,KPI_Element_Map!$G$2:$G$287,AJ$1)&gt;0,1,"")</f>
        <v/>
      </c>
      <c r="AK77" s="21" t="str">
        <f>IF(COUNTIFS(KPI_Element_Map!$A$2:$A$287,$A77,KPI_Element_Map!$G$2:$G$287,AK$1)&gt;0,1,"")</f>
        <v/>
      </c>
    </row>
    <row r="78" spans="1:37" ht="28.5" customHeight="1">
      <c r="A78" s="21">
        <v>77</v>
      </c>
      <c r="B78" s="23" t="str">
        <f>INDEX(KPI_Master!$B:$B,MATCH($A78,KPI_Master!$A:$A,0))</f>
        <v>LIFE-11</v>
      </c>
      <c r="C78" s="23" t="str">
        <f>INDEX(KPI_Master!$D:$D,MATCH($A78,KPI_Master!$A:$A,0))</f>
        <v>Memory Care Structured Engagement Hours per Resident per Day</v>
      </c>
      <c r="D78" s="23" t="str">
        <f>INDEX(KPI_Master!$K:$K,MATCH($A78,KPI_Master!$A:$A,0))</f>
        <v>2 - Standard</v>
      </c>
      <c r="E78" s="23" t="str">
        <f t="array" ref="E78">_xlfn.TEXTJOIN(", ",TRUE(),IF(KPI_Element_Map!$A$2:$A$287=$A78,KPI_Element_Map!$E$2:$E$287,""))</f>
        <v>E50, E06</v>
      </c>
      <c r="F78" s="21">
        <f t="shared" si="2"/>
        <v>2</v>
      </c>
      <c r="G78" s="21">
        <f>IF(COUNTIFS(KPI_Element_Map!$A$2:$A$287,$A78,KPI_Element_Map!$G$2:$G$287,G$1)&gt;0,1,"")</f>
        <v>1</v>
      </c>
      <c r="H78" s="21" t="str">
        <f>IF(COUNTIFS(KPI_Element_Map!$A$2:$A$287,$A78,KPI_Element_Map!$G$2:$G$287,H$1)&gt;0,1,"")</f>
        <v/>
      </c>
      <c r="I78" s="21" t="str">
        <f>IF(COUNTIFS(KPI_Element_Map!$A$2:$A$287,$A78,KPI_Element_Map!$G$2:$G$287,I$1)&gt;0,1,"")</f>
        <v/>
      </c>
      <c r="J78" s="21" t="str">
        <f>IF(COUNTIFS(KPI_Element_Map!$A$2:$A$287,$A78,KPI_Element_Map!$G$2:$G$287,J$1)&gt;0,1,"")</f>
        <v/>
      </c>
      <c r="K78" s="21" t="str">
        <f>IF(COUNTIFS(KPI_Element_Map!$A$2:$A$287,$A78,KPI_Element_Map!$G$2:$G$287,K$1)&gt;0,1,"")</f>
        <v/>
      </c>
      <c r="L78" s="21" t="str">
        <f>IF(COUNTIFS(KPI_Element_Map!$A$2:$A$287,$A78,KPI_Element_Map!$G$2:$G$287,L$1)&gt;0,1,"")</f>
        <v/>
      </c>
      <c r="M78" s="21" t="str">
        <f>IF(COUNTIFS(KPI_Element_Map!$A$2:$A$287,$A78,KPI_Element_Map!$G$2:$G$287,M$1)&gt;0,1,"")</f>
        <v/>
      </c>
      <c r="N78" s="21" t="str">
        <f>IF(COUNTIFS(KPI_Element_Map!$A$2:$A$287,$A78,KPI_Element_Map!$G$2:$G$287,N$1)&gt;0,1,"")</f>
        <v/>
      </c>
      <c r="O78" s="21" t="str">
        <f>IF(COUNTIFS(KPI_Element_Map!$A$2:$A$287,$A78,KPI_Element_Map!$G$2:$G$287,O$1)&gt;0,1,"")</f>
        <v/>
      </c>
      <c r="P78" s="21" t="str">
        <f>IF(COUNTIFS(KPI_Element_Map!$A$2:$A$287,$A78,KPI_Element_Map!$G$2:$G$287,P$1)&gt;0,1,"")</f>
        <v/>
      </c>
      <c r="Q78" s="21" t="str">
        <f>IF(COUNTIFS(KPI_Element_Map!$A$2:$A$287,$A78,KPI_Element_Map!$G$2:$G$287,Q$1)&gt;0,1,"")</f>
        <v/>
      </c>
      <c r="R78" s="21" t="str">
        <f>IF(COUNTIFS(KPI_Element_Map!$A$2:$A$287,$A78,KPI_Element_Map!$G$2:$G$287,R$1)&gt;0,1,"")</f>
        <v/>
      </c>
      <c r="S78" s="21" t="str">
        <f>IF(COUNTIFS(KPI_Element_Map!$A$2:$A$287,$A78,KPI_Element_Map!$G$2:$G$287,S$1)&gt;0,1,"")</f>
        <v/>
      </c>
      <c r="T78" s="21" t="str">
        <f>IF(COUNTIFS(KPI_Element_Map!$A$2:$A$287,$A78,KPI_Element_Map!$G$2:$G$287,T$1)&gt;0,1,"")</f>
        <v/>
      </c>
      <c r="U78" s="21" t="str">
        <f>IF(COUNTIFS(KPI_Element_Map!$A$2:$A$287,$A78,KPI_Element_Map!$G$2:$G$287,U$1)&gt;0,1,"")</f>
        <v/>
      </c>
      <c r="V78" s="21" t="str">
        <f>IF(COUNTIFS(KPI_Element_Map!$A$2:$A$287,$A78,KPI_Element_Map!$G$2:$G$287,V$1)&gt;0,1,"")</f>
        <v/>
      </c>
      <c r="W78" s="21" t="str">
        <f>IF(COUNTIFS(KPI_Element_Map!$A$2:$A$287,$A78,KPI_Element_Map!$G$2:$G$287,W$1)&gt;0,1,"")</f>
        <v/>
      </c>
      <c r="X78" s="21" t="str">
        <f>IF(COUNTIFS(KPI_Element_Map!$A$2:$A$287,$A78,KPI_Element_Map!$G$2:$G$287,X$1)&gt;0,1,"")</f>
        <v/>
      </c>
      <c r="Y78" s="21" t="str">
        <f>IF(COUNTIFS(KPI_Element_Map!$A$2:$A$287,$A78,KPI_Element_Map!$G$2:$G$287,Y$1)&gt;0,1,"")</f>
        <v/>
      </c>
      <c r="Z78" s="21" t="str">
        <f>IF(COUNTIFS(KPI_Element_Map!$A$2:$A$287,$A78,KPI_Element_Map!$G$2:$G$287,Z$1)&gt;0,1,"")</f>
        <v/>
      </c>
      <c r="AA78" s="21" t="str">
        <f>IF(COUNTIFS(KPI_Element_Map!$A$2:$A$287,$A78,KPI_Element_Map!$G$2:$G$287,AA$1)&gt;0,1,"")</f>
        <v/>
      </c>
      <c r="AB78" s="21" t="str">
        <f>IF(COUNTIFS(KPI_Element_Map!$A$2:$A$287,$A78,KPI_Element_Map!$G$2:$G$287,AB$1)&gt;0,1,"")</f>
        <v/>
      </c>
      <c r="AC78" s="21" t="str">
        <f>IF(COUNTIFS(KPI_Element_Map!$A$2:$A$287,$A78,KPI_Element_Map!$G$2:$G$287,AC$1)&gt;0,1,"")</f>
        <v/>
      </c>
      <c r="AD78" s="21">
        <f>IF(COUNTIFS(KPI_Element_Map!$A$2:$A$287,$A78,KPI_Element_Map!$G$2:$G$287,AD$1)&gt;0,1,"")</f>
        <v>1</v>
      </c>
      <c r="AE78" s="21" t="str">
        <f>IF(COUNTIFS(KPI_Element_Map!$A$2:$A$287,$A78,KPI_Element_Map!$G$2:$G$287,AE$1)&gt;0,1,"")</f>
        <v/>
      </c>
      <c r="AF78" s="21" t="str">
        <f>IF(COUNTIFS(KPI_Element_Map!$A$2:$A$287,$A78,KPI_Element_Map!$G$2:$G$287,AF$1)&gt;0,1,"")</f>
        <v/>
      </c>
      <c r="AG78" s="21" t="str">
        <f>IF(COUNTIFS(KPI_Element_Map!$A$2:$A$287,$A78,KPI_Element_Map!$G$2:$G$287,AG$1)&gt;0,1,"")</f>
        <v/>
      </c>
      <c r="AH78" s="21" t="str">
        <f>IF(COUNTIFS(KPI_Element_Map!$A$2:$A$287,$A78,KPI_Element_Map!$G$2:$G$287,AH$1)&gt;0,1,"")</f>
        <v/>
      </c>
      <c r="AI78" s="21" t="str">
        <f>IF(COUNTIFS(KPI_Element_Map!$A$2:$A$287,$A78,KPI_Element_Map!$G$2:$G$287,AI$1)&gt;0,1,"")</f>
        <v/>
      </c>
      <c r="AJ78" s="21" t="str">
        <f>IF(COUNTIFS(KPI_Element_Map!$A$2:$A$287,$A78,KPI_Element_Map!$G$2:$G$287,AJ$1)&gt;0,1,"")</f>
        <v/>
      </c>
      <c r="AK78" s="21" t="str">
        <f>IF(COUNTIFS(KPI_Element_Map!$A$2:$A$287,$A78,KPI_Element_Map!$G$2:$G$287,AK$1)&gt;0,1,"")</f>
        <v/>
      </c>
    </row>
    <row r="79" spans="1:37">
      <c r="A79" s="21">
        <v>78</v>
      </c>
      <c r="B79" s="23" t="str">
        <f>INDEX(KPI_Master!$B:$B,MATCH($A79,KPI_Master!$A:$A,0))</f>
        <v>LIFE-12</v>
      </c>
      <c r="C79" s="23" t="str">
        <f>INDEX(KPI_Master!$D:$D,MATCH($A79,KPI_Master!$A:$A,0))</f>
        <v>Programs Offered per Resident per Week</v>
      </c>
      <c r="D79" s="23" t="str">
        <f>INDEX(KPI_Master!$K:$K,MATCH($A79,KPI_Master!$A:$A,0))</f>
        <v>3 - Optional</v>
      </c>
      <c r="E79" s="23" t="str">
        <f t="array" ref="E79">_xlfn.TEXTJOIN(", ",TRUE(),IF(KPI_Element_Map!$A$2:$A$287=$A79,KPI_Element_Map!$E$2:$E$287,""))</f>
        <v>E49, E02</v>
      </c>
      <c r="F79" s="21">
        <f t="shared" si="2"/>
        <v>2</v>
      </c>
      <c r="G79" s="21">
        <f>IF(COUNTIFS(KPI_Element_Map!$A$2:$A$287,$A79,KPI_Element_Map!$G$2:$G$287,G$1)&gt;0,1,"")</f>
        <v>1</v>
      </c>
      <c r="H79" s="21" t="str">
        <f>IF(COUNTIFS(KPI_Element_Map!$A$2:$A$287,$A79,KPI_Element_Map!$G$2:$G$287,H$1)&gt;0,1,"")</f>
        <v/>
      </c>
      <c r="I79" s="21" t="str">
        <f>IF(COUNTIFS(KPI_Element_Map!$A$2:$A$287,$A79,KPI_Element_Map!$G$2:$G$287,I$1)&gt;0,1,"")</f>
        <v/>
      </c>
      <c r="J79" s="21" t="str">
        <f>IF(COUNTIFS(KPI_Element_Map!$A$2:$A$287,$A79,KPI_Element_Map!$G$2:$G$287,J$1)&gt;0,1,"")</f>
        <v/>
      </c>
      <c r="K79" s="21" t="str">
        <f>IF(COUNTIFS(KPI_Element_Map!$A$2:$A$287,$A79,KPI_Element_Map!$G$2:$G$287,K$1)&gt;0,1,"")</f>
        <v/>
      </c>
      <c r="L79" s="21" t="str">
        <f>IF(COUNTIFS(KPI_Element_Map!$A$2:$A$287,$A79,KPI_Element_Map!$G$2:$G$287,L$1)&gt;0,1,"")</f>
        <v/>
      </c>
      <c r="M79" s="21" t="str">
        <f>IF(COUNTIFS(KPI_Element_Map!$A$2:$A$287,$A79,KPI_Element_Map!$G$2:$G$287,M$1)&gt;0,1,"")</f>
        <v/>
      </c>
      <c r="N79" s="21" t="str">
        <f>IF(COUNTIFS(KPI_Element_Map!$A$2:$A$287,$A79,KPI_Element_Map!$G$2:$G$287,N$1)&gt;0,1,"")</f>
        <v/>
      </c>
      <c r="O79" s="21" t="str">
        <f>IF(COUNTIFS(KPI_Element_Map!$A$2:$A$287,$A79,KPI_Element_Map!$G$2:$G$287,O$1)&gt;0,1,"")</f>
        <v/>
      </c>
      <c r="P79" s="21" t="str">
        <f>IF(COUNTIFS(KPI_Element_Map!$A$2:$A$287,$A79,KPI_Element_Map!$G$2:$G$287,P$1)&gt;0,1,"")</f>
        <v/>
      </c>
      <c r="Q79" s="21" t="str">
        <f>IF(COUNTIFS(KPI_Element_Map!$A$2:$A$287,$A79,KPI_Element_Map!$G$2:$G$287,Q$1)&gt;0,1,"")</f>
        <v/>
      </c>
      <c r="R79" s="21" t="str">
        <f>IF(COUNTIFS(KPI_Element_Map!$A$2:$A$287,$A79,KPI_Element_Map!$G$2:$G$287,R$1)&gt;0,1,"")</f>
        <v/>
      </c>
      <c r="S79" s="21" t="str">
        <f>IF(COUNTIFS(KPI_Element_Map!$A$2:$A$287,$A79,KPI_Element_Map!$G$2:$G$287,S$1)&gt;0,1,"")</f>
        <v/>
      </c>
      <c r="T79" s="21" t="str">
        <f>IF(COUNTIFS(KPI_Element_Map!$A$2:$A$287,$A79,KPI_Element_Map!$G$2:$G$287,T$1)&gt;0,1,"")</f>
        <v/>
      </c>
      <c r="U79" s="21" t="str">
        <f>IF(COUNTIFS(KPI_Element_Map!$A$2:$A$287,$A79,KPI_Element_Map!$G$2:$G$287,U$1)&gt;0,1,"")</f>
        <v/>
      </c>
      <c r="V79" s="21" t="str">
        <f>IF(COUNTIFS(KPI_Element_Map!$A$2:$A$287,$A79,KPI_Element_Map!$G$2:$G$287,V$1)&gt;0,1,"")</f>
        <v/>
      </c>
      <c r="W79" s="21" t="str">
        <f>IF(COUNTIFS(KPI_Element_Map!$A$2:$A$287,$A79,KPI_Element_Map!$G$2:$G$287,W$1)&gt;0,1,"")</f>
        <v/>
      </c>
      <c r="X79" s="21" t="str">
        <f>IF(COUNTIFS(KPI_Element_Map!$A$2:$A$287,$A79,KPI_Element_Map!$G$2:$G$287,X$1)&gt;0,1,"")</f>
        <v/>
      </c>
      <c r="Y79" s="21" t="str">
        <f>IF(COUNTIFS(KPI_Element_Map!$A$2:$A$287,$A79,KPI_Element_Map!$G$2:$G$287,Y$1)&gt;0,1,"")</f>
        <v/>
      </c>
      <c r="Z79" s="21" t="str">
        <f>IF(COUNTIFS(KPI_Element_Map!$A$2:$A$287,$A79,KPI_Element_Map!$G$2:$G$287,Z$1)&gt;0,1,"")</f>
        <v/>
      </c>
      <c r="AA79" s="21" t="str">
        <f>IF(COUNTIFS(KPI_Element_Map!$A$2:$A$287,$A79,KPI_Element_Map!$G$2:$G$287,AA$1)&gt;0,1,"")</f>
        <v/>
      </c>
      <c r="AB79" s="21" t="str">
        <f>IF(COUNTIFS(KPI_Element_Map!$A$2:$A$287,$A79,KPI_Element_Map!$G$2:$G$287,AB$1)&gt;0,1,"")</f>
        <v/>
      </c>
      <c r="AC79" s="21" t="str">
        <f>IF(COUNTIFS(KPI_Element_Map!$A$2:$A$287,$A79,KPI_Element_Map!$G$2:$G$287,AC$1)&gt;0,1,"")</f>
        <v/>
      </c>
      <c r="AD79" s="21">
        <f>IF(COUNTIFS(KPI_Element_Map!$A$2:$A$287,$A79,KPI_Element_Map!$G$2:$G$287,AD$1)&gt;0,1,"")</f>
        <v>1</v>
      </c>
      <c r="AE79" s="21" t="str">
        <f>IF(COUNTIFS(KPI_Element_Map!$A$2:$A$287,$A79,KPI_Element_Map!$G$2:$G$287,AE$1)&gt;0,1,"")</f>
        <v/>
      </c>
      <c r="AF79" s="21" t="str">
        <f>IF(COUNTIFS(KPI_Element_Map!$A$2:$A$287,$A79,KPI_Element_Map!$G$2:$G$287,AF$1)&gt;0,1,"")</f>
        <v/>
      </c>
      <c r="AG79" s="21" t="str">
        <f>IF(COUNTIFS(KPI_Element_Map!$A$2:$A$287,$A79,KPI_Element_Map!$G$2:$G$287,AG$1)&gt;0,1,"")</f>
        <v/>
      </c>
      <c r="AH79" s="21" t="str">
        <f>IF(COUNTIFS(KPI_Element_Map!$A$2:$A$287,$A79,KPI_Element_Map!$G$2:$G$287,AH$1)&gt;0,1,"")</f>
        <v/>
      </c>
      <c r="AI79" s="21" t="str">
        <f>IF(COUNTIFS(KPI_Element_Map!$A$2:$A$287,$A79,KPI_Element_Map!$G$2:$G$287,AI$1)&gt;0,1,"")</f>
        <v/>
      </c>
      <c r="AJ79" s="21" t="str">
        <f>IF(COUNTIFS(KPI_Element_Map!$A$2:$A$287,$A79,KPI_Element_Map!$G$2:$G$287,AJ$1)&gt;0,1,"")</f>
        <v/>
      </c>
      <c r="AK79" s="21" t="str">
        <f>IF(COUNTIFS(KPI_Element_Map!$A$2:$A$287,$A79,KPI_Element_Map!$G$2:$G$287,AK$1)&gt;0,1,"")</f>
        <v/>
      </c>
    </row>
    <row r="80" spans="1:37">
      <c r="A80" s="21">
        <v>79</v>
      </c>
      <c r="B80" s="23" t="str">
        <f>INDEX(KPI_Master!$B:$B,MATCH($A80,KPI_Master!$A:$A,0))</f>
        <v>LIFE-13</v>
      </c>
      <c r="C80" s="23" t="str">
        <f>INDEX(KPI_Master!$D:$D,MATCH($A80,KPI_Master!$A:$A,0))</f>
        <v>Participation Mix by Wellness Dimension</v>
      </c>
      <c r="D80" s="23" t="str">
        <f>INDEX(KPI_Master!$K:$K,MATCH($A80,KPI_Master!$A:$A,0))</f>
        <v>3 - Optional</v>
      </c>
      <c r="E80" s="23" t="str">
        <f t="array" ref="E80">_xlfn.TEXTJOIN(", ",TRUE(),IF(KPI_Element_Map!$A$2:$A$287=$A80,KPI_Element_Map!$E$2:$E$287,""))</f>
        <v>E50, E49</v>
      </c>
      <c r="F80" s="21">
        <f t="shared" si="2"/>
        <v>1</v>
      </c>
      <c r="G80" s="21" t="str">
        <f>IF(COUNTIFS(KPI_Element_Map!$A$2:$A$287,$A80,KPI_Element_Map!$G$2:$G$287,G$1)&gt;0,1,"")</f>
        <v/>
      </c>
      <c r="H80" s="21" t="str">
        <f>IF(COUNTIFS(KPI_Element_Map!$A$2:$A$287,$A80,KPI_Element_Map!$G$2:$G$287,H$1)&gt;0,1,"")</f>
        <v/>
      </c>
      <c r="I80" s="21" t="str">
        <f>IF(COUNTIFS(KPI_Element_Map!$A$2:$A$287,$A80,KPI_Element_Map!$G$2:$G$287,I$1)&gt;0,1,"")</f>
        <v/>
      </c>
      <c r="J80" s="21" t="str">
        <f>IF(COUNTIFS(KPI_Element_Map!$A$2:$A$287,$A80,KPI_Element_Map!$G$2:$G$287,J$1)&gt;0,1,"")</f>
        <v/>
      </c>
      <c r="K80" s="21" t="str">
        <f>IF(COUNTIFS(KPI_Element_Map!$A$2:$A$287,$A80,KPI_Element_Map!$G$2:$G$287,K$1)&gt;0,1,"")</f>
        <v/>
      </c>
      <c r="L80" s="21" t="str">
        <f>IF(COUNTIFS(KPI_Element_Map!$A$2:$A$287,$A80,KPI_Element_Map!$G$2:$G$287,L$1)&gt;0,1,"")</f>
        <v/>
      </c>
      <c r="M80" s="21" t="str">
        <f>IF(COUNTIFS(KPI_Element_Map!$A$2:$A$287,$A80,KPI_Element_Map!$G$2:$G$287,M$1)&gt;0,1,"")</f>
        <v/>
      </c>
      <c r="N80" s="21" t="str">
        <f>IF(COUNTIFS(KPI_Element_Map!$A$2:$A$287,$A80,KPI_Element_Map!$G$2:$G$287,N$1)&gt;0,1,"")</f>
        <v/>
      </c>
      <c r="O80" s="21" t="str">
        <f>IF(COUNTIFS(KPI_Element_Map!$A$2:$A$287,$A80,KPI_Element_Map!$G$2:$G$287,O$1)&gt;0,1,"")</f>
        <v/>
      </c>
      <c r="P80" s="21" t="str">
        <f>IF(COUNTIFS(KPI_Element_Map!$A$2:$A$287,$A80,KPI_Element_Map!$G$2:$G$287,P$1)&gt;0,1,"")</f>
        <v/>
      </c>
      <c r="Q80" s="21" t="str">
        <f>IF(COUNTIFS(KPI_Element_Map!$A$2:$A$287,$A80,KPI_Element_Map!$G$2:$G$287,Q$1)&gt;0,1,"")</f>
        <v/>
      </c>
      <c r="R80" s="21" t="str">
        <f>IF(COUNTIFS(KPI_Element_Map!$A$2:$A$287,$A80,KPI_Element_Map!$G$2:$G$287,R$1)&gt;0,1,"")</f>
        <v/>
      </c>
      <c r="S80" s="21" t="str">
        <f>IF(COUNTIFS(KPI_Element_Map!$A$2:$A$287,$A80,KPI_Element_Map!$G$2:$G$287,S$1)&gt;0,1,"")</f>
        <v/>
      </c>
      <c r="T80" s="21" t="str">
        <f>IF(COUNTIFS(KPI_Element_Map!$A$2:$A$287,$A80,KPI_Element_Map!$G$2:$G$287,T$1)&gt;0,1,"")</f>
        <v/>
      </c>
      <c r="U80" s="21" t="str">
        <f>IF(COUNTIFS(KPI_Element_Map!$A$2:$A$287,$A80,KPI_Element_Map!$G$2:$G$287,U$1)&gt;0,1,"")</f>
        <v/>
      </c>
      <c r="V80" s="21" t="str">
        <f>IF(COUNTIFS(KPI_Element_Map!$A$2:$A$287,$A80,KPI_Element_Map!$G$2:$G$287,V$1)&gt;0,1,"")</f>
        <v/>
      </c>
      <c r="W80" s="21" t="str">
        <f>IF(COUNTIFS(KPI_Element_Map!$A$2:$A$287,$A80,KPI_Element_Map!$G$2:$G$287,W$1)&gt;0,1,"")</f>
        <v/>
      </c>
      <c r="X80" s="21" t="str">
        <f>IF(COUNTIFS(KPI_Element_Map!$A$2:$A$287,$A80,KPI_Element_Map!$G$2:$G$287,X$1)&gt;0,1,"")</f>
        <v/>
      </c>
      <c r="Y80" s="21" t="str">
        <f>IF(COUNTIFS(KPI_Element_Map!$A$2:$A$287,$A80,KPI_Element_Map!$G$2:$G$287,Y$1)&gt;0,1,"")</f>
        <v/>
      </c>
      <c r="Z80" s="21" t="str">
        <f>IF(COUNTIFS(KPI_Element_Map!$A$2:$A$287,$A80,KPI_Element_Map!$G$2:$G$287,Z$1)&gt;0,1,"")</f>
        <v/>
      </c>
      <c r="AA80" s="21" t="str">
        <f>IF(COUNTIFS(KPI_Element_Map!$A$2:$A$287,$A80,KPI_Element_Map!$G$2:$G$287,AA$1)&gt;0,1,"")</f>
        <v/>
      </c>
      <c r="AB80" s="21" t="str">
        <f>IF(COUNTIFS(KPI_Element_Map!$A$2:$A$287,$A80,KPI_Element_Map!$G$2:$G$287,AB$1)&gt;0,1,"")</f>
        <v/>
      </c>
      <c r="AC80" s="21" t="str">
        <f>IF(COUNTIFS(KPI_Element_Map!$A$2:$A$287,$A80,KPI_Element_Map!$G$2:$G$287,AC$1)&gt;0,1,"")</f>
        <v/>
      </c>
      <c r="AD80" s="21">
        <f>IF(COUNTIFS(KPI_Element_Map!$A$2:$A$287,$A80,KPI_Element_Map!$G$2:$G$287,AD$1)&gt;0,1,"")</f>
        <v>1</v>
      </c>
      <c r="AE80" s="21" t="str">
        <f>IF(COUNTIFS(KPI_Element_Map!$A$2:$A$287,$A80,KPI_Element_Map!$G$2:$G$287,AE$1)&gt;0,1,"")</f>
        <v/>
      </c>
      <c r="AF80" s="21" t="str">
        <f>IF(COUNTIFS(KPI_Element_Map!$A$2:$A$287,$A80,KPI_Element_Map!$G$2:$G$287,AF$1)&gt;0,1,"")</f>
        <v/>
      </c>
      <c r="AG80" s="21" t="str">
        <f>IF(COUNTIFS(KPI_Element_Map!$A$2:$A$287,$A80,KPI_Element_Map!$G$2:$G$287,AG$1)&gt;0,1,"")</f>
        <v/>
      </c>
      <c r="AH80" s="21" t="str">
        <f>IF(COUNTIFS(KPI_Element_Map!$A$2:$A$287,$A80,KPI_Element_Map!$G$2:$G$287,AH$1)&gt;0,1,"")</f>
        <v/>
      </c>
      <c r="AI80" s="21" t="str">
        <f>IF(COUNTIFS(KPI_Element_Map!$A$2:$A$287,$A80,KPI_Element_Map!$G$2:$G$287,AI$1)&gt;0,1,"")</f>
        <v/>
      </c>
      <c r="AJ80" s="21" t="str">
        <f>IF(COUNTIFS(KPI_Element_Map!$A$2:$A$287,$A80,KPI_Element_Map!$G$2:$G$287,AJ$1)&gt;0,1,"")</f>
        <v/>
      </c>
      <c r="AK80" s="21" t="str">
        <f>IF(COUNTIFS(KPI_Element_Map!$A$2:$A$287,$A80,KPI_Element_Map!$G$2:$G$287,AK$1)&gt;0,1,"")</f>
        <v/>
      </c>
    </row>
    <row r="81" spans="1:37" ht="28.5" customHeight="1">
      <c r="A81" s="21">
        <v>80</v>
      </c>
      <c r="B81" s="23" t="str">
        <f>INDEX(KPI_Master!$B:$B,MATCH($A81,KPI_Master!$A:$A,0))</f>
        <v>LIFE-14</v>
      </c>
      <c r="C81" s="23" t="str">
        <f>INDEX(KPI_Master!$D:$D,MATCH($A81,KPI_Master!$A:$A,0))</f>
        <v>Life Enrichment Programming Coverage (Hours per Day)</v>
      </c>
      <c r="D81" s="23" t="str">
        <f>INDEX(KPI_Master!$K:$K,MATCH($A81,KPI_Master!$A:$A,0))</f>
        <v>2 - Standard</v>
      </c>
      <c r="E81" s="23" t="str">
        <f t="array" ref="E81">_xlfn.TEXTJOIN(", ",TRUE(),IF(KPI_Element_Map!$A$2:$A$287=$A81,KPI_Element_Map!$E$2:$E$287,""))</f>
        <v>E49</v>
      </c>
      <c r="F81" s="21">
        <f t="shared" si="2"/>
        <v>1</v>
      </c>
      <c r="G81" s="21" t="str">
        <f>IF(COUNTIFS(KPI_Element_Map!$A$2:$A$287,$A81,KPI_Element_Map!$G$2:$G$287,G$1)&gt;0,1,"")</f>
        <v/>
      </c>
      <c r="H81" s="21" t="str">
        <f>IF(COUNTIFS(KPI_Element_Map!$A$2:$A$287,$A81,KPI_Element_Map!$G$2:$G$287,H$1)&gt;0,1,"")</f>
        <v/>
      </c>
      <c r="I81" s="21" t="str">
        <f>IF(COUNTIFS(KPI_Element_Map!$A$2:$A$287,$A81,KPI_Element_Map!$G$2:$G$287,I$1)&gt;0,1,"")</f>
        <v/>
      </c>
      <c r="J81" s="21" t="str">
        <f>IF(COUNTIFS(KPI_Element_Map!$A$2:$A$287,$A81,KPI_Element_Map!$G$2:$G$287,J$1)&gt;0,1,"")</f>
        <v/>
      </c>
      <c r="K81" s="21" t="str">
        <f>IF(COUNTIFS(KPI_Element_Map!$A$2:$A$287,$A81,KPI_Element_Map!$G$2:$G$287,K$1)&gt;0,1,"")</f>
        <v/>
      </c>
      <c r="L81" s="21" t="str">
        <f>IF(COUNTIFS(KPI_Element_Map!$A$2:$A$287,$A81,KPI_Element_Map!$G$2:$G$287,L$1)&gt;0,1,"")</f>
        <v/>
      </c>
      <c r="M81" s="21" t="str">
        <f>IF(COUNTIFS(KPI_Element_Map!$A$2:$A$287,$A81,KPI_Element_Map!$G$2:$G$287,M$1)&gt;0,1,"")</f>
        <v/>
      </c>
      <c r="N81" s="21" t="str">
        <f>IF(COUNTIFS(KPI_Element_Map!$A$2:$A$287,$A81,KPI_Element_Map!$G$2:$G$287,N$1)&gt;0,1,"")</f>
        <v/>
      </c>
      <c r="O81" s="21" t="str">
        <f>IF(COUNTIFS(KPI_Element_Map!$A$2:$A$287,$A81,KPI_Element_Map!$G$2:$G$287,O$1)&gt;0,1,"")</f>
        <v/>
      </c>
      <c r="P81" s="21" t="str">
        <f>IF(COUNTIFS(KPI_Element_Map!$A$2:$A$287,$A81,KPI_Element_Map!$G$2:$G$287,P$1)&gt;0,1,"")</f>
        <v/>
      </c>
      <c r="Q81" s="21" t="str">
        <f>IF(COUNTIFS(KPI_Element_Map!$A$2:$A$287,$A81,KPI_Element_Map!$G$2:$G$287,Q$1)&gt;0,1,"")</f>
        <v/>
      </c>
      <c r="R81" s="21" t="str">
        <f>IF(COUNTIFS(KPI_Element_Map!$A$2:$A$287,$A81,KPI_Element_Map!$G$2:$G$287,R$1)&gt;0,1,"")</f>
        <v/>
      </c>
      <c r="S81" s="21" t="str">
        <f>IF(COUNTIFS(KPI_Element_Map!$A$2:$A$287,$A81,KPI_Element_Map!$G$2:$G$287,S$1)&gt;0,1,"")</f>
        <v/>
      </c>
      <c r="T81" s="21" t="str">
        <f>IF(COUNTIFS(KPI_Element_Map!$A$2:$A$287,$A81,KPI_Element_Map!$G$2:$G$287,T$1)&gt;0,1,"")</f>
        <v/>
      </c>
      <c r="U81" s="21" t="str">
        <f>IF(COUNTIFS(KPI_Element_Map!$A$2:$A$287,$A81,KPI_Element_Map!$G$2:$G$287,U$1)&gt;0,1,"")</f>
        <v/>
      </c>
      <c r="V81" s="21" t="str">
        <f>IF(COUNTIFS(KPI_Element_Map!$A$2:$A$287,$A81,KPI_Element_Map!$G$2:$G$287,V$1)&gt;0,1,"")</f>
        <v/>
      </c>
      <c r="W81" s="21" t="str">
        <f>IF(COUNTIFS(KPI_Element_Map!$A$2:$A$287,$A81,KPI_Element_Map!$G$2:$G$287,W$1)&gt;0,1,"")</f>
        <v/>
      </c>
      <c r="X81" s="21" t="str">
        <f>IF(COUNTIFS(KPI_Element_Map!$A$2:$A$287,$A81,KPI_Element_Map!$G$2:$G$287,X$1)&gt;0,1,"")</f>
        <v/>
      </c>
      <c r="Y81" s="21" t="str">
        <f>IF(COUNTIFS(KPI_Element_Map!$A$2:$A$287,$A81,KPI_Element_Map!$G$2:$G$287,Y$1)&gt;0,1,"")</f>
        <v/>
      </c>
      <c r="Z81" s="21" t="str">
        <f>IF(COUNTIFS(KPI_Element_Map!$A$2:$A$287,$A81,KPI_Element_Map!$G$2:$G$287,Z$1)&gt;0,1,"")</f>
        <v/>
      </c>
      <c r="AA81" s="21" t="str">
        <f>IF(COUNTIFS(KPI_Element_Map!$A$2:$A$287,$A81,KPI_Element_Map!$G$2:$G$287,AA$1)&gt;0,1,"")</f>
        <v/>
      </c>
      <c r="AB81" s="21" t="str">
        <f>IF(COUNTIFS(KPI_Element_Map!$A$2:$A$287,$A81,KPI_Element_Map!$G$2:$G$287,AB$1)&gt;0,1,"")</f>
        <v/>
      </c>
      <c r="AC81" s="21" t="str">
        <f>IF(COUNTIFS(KPI_Element_Map!$A$2:$A$287,$A81,KPI_Element_Map!$G$2:$G$287,AC$1)&gt;0,1,"")</f>
        <v/>
      </c>
      <c r="AD81" s="21">
        <f>IF(COUNTIFS(KPI_Element_Map!$A$2:$A$287,$A81,KPI_Element_Map!$G$2:$G$287,AD$1)&gt;0,1,"")</f>
        <v>1</v>
      </c>
      <c r="AE81" s="21" t="str">
        <f>IF(COUNTIFS(KPI_Element_Map!$A$2:$A$287,$A81,KPI_Element_Map!$G$2:$G$287,AE$1)&gt;0,1,"")</f>
        <v/>
      </c>
      <c r="AF81" s="21" t="str">
        <f>IF(COUNTIFS(KPI_Element_Map!$A$2:$A$287,$A81,KPI_Element_Map!$G$2:$G$287,AF$1)&gt;0,1,"")</f>
        <v/>
      </c>
      <c r="AG81" s="21" t="str">
        <f>IF(COUNTIFS(KPI_Element_Map!$A$2:$A$287,$A81,KPI_Element_Map!$G$2:$G$287,AG$1)&gt;0,1,"")</f>
        <v/>
      </c>
      <c r="AH81" s="21" t="str">
        <f>IF(COUNTIFS(KPI_Element_Map!$A$2:$A$287,$A81,KPI_Element_Map!$G$2:$G$287,AH$1)&gt;0,1,"")</f>
        <v/>
      </c>
      <c r="AI81" s="21" t="str">
        <f>IF(COUNTIFS(KPI_Element_Map!$A$2:$A$287,$A81,KPI_Element_Map!$G$2:$G$287,AI$1)&gt;0,1,"")</f>
        <v/>
      </c>
      <c r="AJ81" s="21" t="str">
        <f>IF(COUNTIFS(KPI_Element_Map!$A$2:$A$287,$A81,KPI_Element_Map!$G$2:$G$287,AJ$1)&gt;0,1,"")</f>
        <v/>
      </c>
      <c r="AK81" s="21" t="str">
        <f>IF(COUNTIFS(KPI_Element_Map!$A$2:$A$287,$A81,KPI_Element_Map!$G$2:$G$287,AK$1)&gt;0,1,"")</f>
        <v/>
      </c>
    </row>
    <row r="82" spans="1:37">
      <c r="A82" s="21">
        <v>81</v>
      </c>
      <c r="B82" s="23" t="str">
        <f>INDEX(KPI_Master!$B:$B,MATCH($A82,KPI_Master!$A:$A,0))</f>
        <v>NURC-01</v>
      </c>
      <c r="C82" s="23" t="str">
        <f>INDEX(KPI_Master!$D:$D,MATCH($A82,KPI_Master!$A:$A,0))</f>
        <v>Falls per 1,000 Resident Days</v>
      </c>
      <c r="D82" s="23" t="str">
        <f>INDEX(KPI_Master!$K:$K,MATCH($A82,KPI_Master!$A:$A,0))</f>
        <v>1 - Core</v>
      </c>
      <c r="E82" s="23" t="str">
        <f t="array" ref="E82">_xlfn.TEXTJOIN(", ",TRUE(),IF(KPI_Element_Map!$A$2:$A$287=$A82,KPI_Element_Map!$E$2:$E$287,""))</f>
        <v>E37, E01</v>
      </c>
      <c r="F82" s="21">
        <f t="shared" si="2"/>
        <v>2</v>
      </c>
      <c r="G82" s="21">
        <f>IF(COUNTIFS(KPI_Element_Map!$A$2:$A$287,$A82,KPI_Element_Map!$G$2:$G$287,G$1)&gt;0,1,"")</f>
        <v>1</v>
      </c>
      <c r="H82" s="21" t="str">
        <f>IF(COUNTIFS(KPI_Element_Map!$A$2:$A$287,$A82,KPI_Element_Map!$G$2:$G$287,H$1)&gt;0,1,"")</f>
        <v/>
      </c>
      <c r="I82" s="21" t="str">
        <f>IF(COUNTIFS(KPI_Element_Map!$A$2:$A$287,$A82,KPI_Element_Map!$G$2:$G$287,I$1)&gt;0,1,"")</f>
        <v/>
      </c>
      <c r="J82" s="21" t="str">
        <f>IF(COUNTIFS(KPI_Element_Map!$A$2:$A$287,$A82,KPI_Element_Map!$G$2:$G$287,J$1)&gt;0,1,"")</f>
        <v/>
      </c>
      <c r="K82" s="21" t="str">
        <f>IF(COUNTIFS(KPI_Element_Map!$A$2:$A$287,$A82,KPI_Element_Map!$G$2:$G$287,K$1)&gt;0,1,"")</f>
        <v/>
      </c>
      <c r="L82" s="21" t="str">
        <f>IF(COUNTIFS(KPI_Element_Map!$A$2:$A$287,$A82,KPI_Element_Map!$G$2:$G$287,L$1)&gt;0,1,"")</f>
        <v/>
      </c>
      <c r="M82" s="21" t="str">
        <f>IF(COUNTIFS(KPI_Element_Map!$A$2:$A$287,$A82,KPI_Element_Map!$G$2:$G$287,M$1)&gt;0,1,"")</f>
        <v/>
      </c>
      <c r="N82" s="21" t="str">
        <f>IF(COUNTIFS(KPI_Element_Map!$A$2:$A$287,$A82,KPI_Element_Map!$G$2:$G$287,N$1)&gt;0,1,"")</f>
        <v/>
      </c>
      <c r="O82" s="21" t="str">
        <f>IF(COUNTIFS(KPI_Element_Map!$A$2:$A$287,$A82,KPI_Element_Map!$G$2:$G$287,O$1)&gt;0,1,"")</f>
        <v/>
      </c>
      <c r="P82" s="21" t="str">
        <f>IF(COUNTIFS(KPI_Element_Map!$A$2:$A$287,$A82,KPI_Element_Map!$G$2:$G$287,P$1)&gt;0,1,"")</f>
        <v/>
      </c>
      <c r="Q82" s="21" t="str">
        <f>IF(COUNTIFS(KPI_Element_Map!$A$2:$A$287,$A82,KPI_Element_Map!$G$2:$G$287,Q$1)&gt;0,1,"")</f>
        <v/>
      </c>
      <c r="R82" s="21" t="str">
        <f>IF(COUNTIFS(KPI_Element_Map!$A$2:$A$287,$A82,KPI_Element_Map!$G$2:$G$287,R$1)&gt;0,1,"")</f>
        <v/>
      </c>
      <c r="S82" s="21">
        <f>IF(COUNTIFS(KPI_Element_Map!$A$2:$A$287,$A82,KPI_Element_Map!$G$2:$G$287,S$1)&gt;0,1,"")</f>
        <v>1</v>
      </c>
      <c r="T82" s="21" t="str">
        <f>IF(COUNTIFS(KPI_Element_Map!$A$2:$A$287,$A82,KPI_Element_Map!$G$2:$G$287,T$1)&gt;0,1,"")</f>
        <v/>
      </c>
      <c r="U82" s="21" t="str">
        <f>IF(COUNTIFS(KPI_Element_Map!$A$2:$A$287,$A82,KPI_Element_Map!$G$2:$G$287,U$1)&gt;0,1,"")</f>
        <v/>
      </c>
      <c r="V82" s="21" t="str">
        <f>IF(COUNTIFS(KPI_Element_Map!$A$2:$A$287,$A82,KPI_Element_Map!$G$2:$G$287,V$1)&gt;0,1,"")</f>
        <v/>
      </c>
      <c r="W82" s="21" t="str">
        <f>IF(COUNTIFS(KPI_Element_Map!$A$2:$A$287,$A82,KPI_Element_Map!$G$2:$G$287,W$1)&gt;0,1,"")</f>
        <v/>
      </c>
      <c r="X82" s="21" t="str">
        <f>IF(COUNTIFS(KPI_Element_Map!$A$2:$A$287,$A82,KPI_Element_Map!$G$2:$G$287,X$1)&gt;0,1,"")</f>
        <v/>
      </c>
      <c r="Y82" s="21" t="str">
        <f>IF(COUNTIFS(KPI_Element_Map!$A$2:$A$287,$A82,KPI_Element_Map!$G$2:$G$287,Y$1)&gt;0,1,"")</f>
        <v/>
      </c>
      <c r="Z82" s="21" t="str">
        <f>IF(COUNTIFS(KPI_Element_Map!$A$2:$A$287,$A82,KPI_Element_Map!$G$2:$G$287,Z$1)&gt;0,1,"")</f>
        <v/>
      </c>
      <c r="AA82" s="21" t="str">
        <f>IF(COUNTIFS(KPI_Element_Map!$A$2:$A$287,$A82,KPI_Element_Map!$G$2:$G$287,AA$1)&gt;0,1,"")</f>
        <v/>
      </c>
      <c r="AB82" s="21" t="str">
        <f>IF(COUNTIFS(KPI_Element_Map!$A$2:$A$287,$A82,KPI_Element_Map!$G$2:$G$287,AB$1)&gt;0,1,"")</f>
        <v/>
      </c>
      <c r="AC82" s="21" t="str">
        <f>IF(COUNTIFS(KPI_Element_Map!$A$2:$A$287,$A82,KPI_Element_Map!$G$2:$G$287,AC$1)&gt;0,1,"")</f>
        <v/>
      </c>
      <c r="AD82" s="21" t="str">
        <f>IF(COUNTIFS(KPI_Element_Map!$A$2:$A$287,$A82,KPI_Element_Map!$G$2:$G$287,AD$1)&gt;0,1,"")</f>
        <v/>
      </c>
      <c r="AE82" s="21" t="str">
        <f>IF(COUNTIFS(KPI_Element_Map!$A$2:$A$287,$A82,KPI_Element_Map!$G$2:$G$287,AE$1)&gt;0,1,"")</f>
        <v/>
      </c>
      <c r="AF82" s="21" t="str">
        <f>IF(COUNTIFS(KPI_Element_Map!$A$2:$A$287,$A82,KPI_Element_Map!$G$2:$G$287,AF$1)&gt;0,1,"")</f>
        <v/>
      </c>
      <c r="AG82" s="21" t="str">
        <f>IF(COUNTIFS(KPI_Element_Map!$A$2:$A$287,$A82,KPI_Element_Map!$G$2:$G$287,AG$1)&gt;0,1,"")</f>
        <v/>
      </c>
      <c r="AH82" s="21" t="str">
        <f>IF(COUNTIFS(KPI_Element_Map!$A$2:$A$287,$A82,KPI_Element_Map!$G$2:$G$287,AH$1)&gt;0,1,"")</f>
        <v/>
      </c>
      <c r="AI82" s="21" t="str">
        <f>IF(COUNTIFS(KPI_Element_Map!$A$2:$A$287,$A82,KPI_Element_Map!$G$2:$G$287,AI$1)&gt;0,1,"")</f>
        <v/>
      </c>
      <c r="AJ82" s="21" t="str">
        <f>IF(COUNTIFS(KPI_Element_Map!$A$2:$A$287,$A82,KPI_Element_Map!$G$2:$G$287,AJ$1)&gt;0,1,"")</f>
        <v/>
      </c>
      <c r="AK82" s="21" t="str">
        <f>IF(COUNTIFS(KPI_Element_Map!$A$2:$A$287,$A82,KPI_Element_Map!$G$2:$G$287,AK$1)&gt;0,1,"")</f>
        <v/>
      </c>
    </row>
    <row r="83" spans="1:37">
      <c r="A83" s="21">
        <v>82</v>
      </c>
      <c r="B83" s="23" t="str">
        <f>INDEX(KPI_Master!$B:$B,MATCH($A83,KPI_Master!$A:$A,0))</f>
        <v>NURC-02</v>
      </c>
      <c r="C83" s="23" t="str">
        <f>INDEX(KPI_Master!$D:$D,MATCH($A83,KPI_Master!$A:$A,0))</f>
        <v>Fall with Major Injury Rate</v>
      </c>
      <c r="D83" s="23" t="str">
        <f>INDEX(KPI_Master!$K:$K,MATCH($A83,KPI_Master!$A:$A,0))</f>
        <v>2 - Standard</v>
      </c>
      <c r="E83" s="23" t="str">
        <f t="array" ref="E83">_xlfn.TEXTJOIN(", ",TRUE(),IF(KPI_Element_Map!$A$2:$A$287=$A83,KPI_Element_Map!$E$2:$E$287,""))</f>
        <v>E37</v>
      </c>
      <c r="F83" s="21">
        <f t="shared" si="2"/>
        <v>1</v>
      </c>
      <c r="G83" s="21" t="str">
        <f>IF(COUNTIFS(KPI_Element_Map!$A$2:$A$287,$A83,KPI_Element_Map!$G$2:$G$287,G$1)&gt;0,1,"")</f>
        <v/>
      </c>
      <c r="H83" s="21" t="str">
        <f>IF(COUNTIFS(KPI_Element_Map!$A$2:$A$287,$A83,KPI_Element_Map!$G$2:$G$287,H$1)&gt;0,1,"")</f>
        <v/>
      </c>
      <c r="I83" s="21" t="str">
        <f>IF(COUNTIFS(KPI_Element_Map!$A$2:$A$287,$A83,KPI_Element_Map!$G$2:$G$287,I$1)&gt;0,1,"")</f>
        <v/>
      </c>
      <c r="J83" s="21" t="str">
        <f>IF(COUNTIFS(KPI_Element_Map!$A$2:$A$287,$A83,KPI_Element_Map!$G$2:$G$287,J$1)&gt;0,1,"")</f>
        <v/>
      </c>
      <c r="K83" s="21" t="str">
        <f>IF(COUNTIFS(KPI_Element_Map!$A$2:$A$287,$A83,KPI_Element_Map!$G$2:$G$287,K$1)&gt;0,1,"")</f>
        <v/>
      </c>
      <c r="L83" s="21" t="str">
        <f>IF(COUNTIFS(KPI_Element_Map!$A$2:$A$287,$A83,KPI_Element_Map!$G$2:$G$287,L$1)&gt;0,1,"")</f>
        <v/>
      </c>
      <c r="M83" s="21" t="str">
        <f>IF(COUNTIFS(KPI_Element_Map!$A$2:$A$287,$A83,KPI_Element_Map!$G$2:$G$287,M$1)&gt;0,1,"")</f>
        <v/>
      </c>
      <c r="N83" s="21" t="str">
        <f>IF(COUNTIFS(KPI_Element_Map!$A$2:$A$287,$A83,KPI_Element_Map!$G$2:$G$287,N$1)&gt;0,1,"")</f>
        <v/>
      </c>
      <c r="O83" s="21" t="str">
        <f>IF(COUNTIFS(KPI_Element_Map!$A$2:$A$287,$A83,KPI_Element_Map!$G$2:$G$287,O$1)&gt;0,1,"")</f>
        <v/>
      </c>
      <c r="P83" s="21" t="str">
        <f>IF(COUNTIFS(KPI_Element_Map!$A$2:$A$287,$A83,KPI_Element_Map!$G$2:$G$287,P$1)&gt;0,1,"")</f>
        <v/>
      </c>
      <c r="Q83" s="21" t="str">
        <f>IF(COUNTIFS(KPI_Element_Map!$A$2:$A$287,$A83,KPI_Element_Map!$G$2:$G$287,Q$1)&gt;0,1,"")</f>
        <v/>
      </c>
      <c r="R83" s="21" t="str">
        <f>IF(COUNTIFS(KPI_Element_Map!$A$2:$A$287,$A83,KPI_Element_Map!$G$2:$G$287,R$1)&gt;0,1,"")</f>
        <v/>
      </c>
      <c r="S83" s="21">
        <f>IF(COUNTIFS(KPI_Element_Map!$A$2:$A$287,$A83,KPI_Element_Map!$G$2:$G$287,S$1)&gt;0,1,"")</f>
        <v>1</v>
      </c>
      <c r="T83" s="21" t="str">
        <f>IF(COUNTIFS(KPI_Element_Map!$A$2:$A$287,$A83,KPI_Element_Map!$G$2:$G$287,T$1)&gt;0,1,"")</f>
        <v/>
      </c>
      <c r="U83" s="21" t="str">
        <f>IF(COUNTIFS(KPI_Element_Map!$A$2:$A$287,$A83,KPI_Element_Map!$G$2:$G$287,U$1)&gt;0,1,"")</f>
        <v/>
      </c>
      <c r="V83" s="21" t="str">
        <f>IF(COUNTIFS(KPI_Element_Map!$A$2:$A$287,$A83,KPI_Element_Map!$G$2:$G$287,V$1)&gt;0,1,"")</f>
        <v/>
      </c>
      <c r="W83" s="21" t="str">
        <f>IF(COUNTIFS(KPI_Element_Map!$A$2:$A$287,$A83,KPI_Element_Map!$G$2:$G$287,W$1)&gt;0,1,"")</f>
        <v/>
      </c>
      <c r="X83" s="21" t="str">
        <f>IF(COUNTIFS(KPI_Element_Map!$A$2:$A$287,$A83,KPI_Element_Map!$G$2:$G$287,X$1)&gt;0,1,"")</f>
        <v/>
      </c>
      <c r="Y83" s="21" t="str">
        <f>IF(COUNTIFS(KPI_Element_Map!$A$2:$A$287,$A83,KPI_Element_Map!$G$2:$G$287,Y$1)&gt;0,1,"")</f>
        <v/>
      </c>
      <c r="Z83" s="21" t="str">
        <f>IF(COUNTIFS(KPI_Element_Map!$A$2:$A$287,$A83,KPI_Element_Map!$G$2:$G$287,Z$1)&gt;0,1,"")</f>
        <v/>
      </c>
      <c r="AA83" s="21" t="str">
        <f>IF(COUNTIFS(KPI_Element_Map!$A$2:$A$287,$A83,KPI_Element_Map!$G$2:$G$287,AA$1)&gt;0,1,"")</f>
        <v/>
      </c>
      <c r="AB83" s="21" t="str">
        <f>IF(COUNTIFS(KPI_Element_Map!$A$2:$A$287,$A83,KPI_Element_Map!$G$2:$G$287,AB$1)&gt;0,1,"")</f>
        <v/>
      </c>
      <c r="AC83" s="21" t="str">
        <f>IF(COUNTIFS(KPI_Element_Map!$A$2:$A$287,$A83,KPI_Element_Map!$G$2:$G$287,AC$1)&gt;0,1,"")</f>
        <v/>
      </c>
      <c r="AD83" s="21" t="str">
        <f>IF(COUNTIFS(KPI_Element_Map!$A$2:$A$287,$A83,KPI_Element_Map!$G$2:$G$287,AD$1)&gt;0,1,"")</f>
        <v/>
      </c>
      <c r="AE83" s="21" t="str">
        <f>IF(COUNTIFS(KPI_Element_Map!$A$2:$A$287,$A83,KPI_Element_Map!$G$2:$G$287,AE$1)&gt;0,1,"")</f>
        <v/>
      </c>
      <c r="AF83" s="21" t="str">
        <f>IF(COUNTIFS(KPI_Element_Map!$A$2:$A$287,$A83,KPI_Element_Map!$G$2:$G$287,AF$1)&gt;0,1,"")</f>
        <v/>
      </c>
      <c r="AG83" s="21" t="str">
        <f>IF(COUNTIFS(KPI_Element_Map!$A$2:$A$287,$A83,KPI_Element_Map!$G$2:$G$287,AG$1)&gt;0,1,"")</f>
        <v/>
      </c>
      <c r="AH83" s="21" t="str">
        <f>IF(COUNTIFS(KPI_Element_Map!$A$2:$A$287,$A83,KPI_Element_Map!$G$2:$G$287,AH$1)&gt;0,1,"")</f>
        <v/>
      </c>
      <c r="AI83" s="21" t="str">
        <f>IF(COUNTIFS(KPI_Element_Map!$A$2:$A$287,$A83,KPI_Element_Map!$G$2:$G$287,AI$1)&gt;0,1,"")</f>
        <v/>
      </c>
      <c r="AJ83" s="21" t="str">
        <f>IF(COUNTIFS(KPI_Element_Map!$A$2:$A$287,$A83,KPI_Element_Map!$G$2:$G$287,AJ$1)&gt;0,1,"")</f>
        <v/>
      </c>
      <c r="AK83" s="21" t="str">
        <f>IF(COUNTIFS(KPI_Element_Map!$A$2:$A$287,$A83,KPI_Element_Map!$G$2:$G$287,AK$1)&gt;0,1,"")</f>
        <v/>
      </c>
    </row>
    <row r="84" spans="1:37">
      <c r="A84" s="21">
        <v>83</v>
      </c>
      <c r="B84" s="23" t="str">
        <f>INDEX(KPI_Master!$B:$B,MATCH($A84,KPI_Master!$A:$A,0))</f>
        <v>NURC-03</v>
      </c>
      <c r="C84" s="23" t="str">
        <f>INDEX(KPI_Master!$D:$D,MATCH($A84,KPI_Master!$A:$A,0))</f>
        <v>Pressure Injury Prevalence Rate</v>
      </c>
      <c r="D84" s="23" t="str">
        <f>INDEX(KPI_Master!$K:$K,MATCH($A84,KPI_Master!$A:$A,0))</f>
        <v>1 - Core</v>
      </c>
      <c r="E84" s="23" t="str">
        <f t="array" ref="E84">_xlfn.TEXTJOIN(", ",TRUE(),IF(KPI_Element_Map!$A$2:$A$287=$A84,KPI_Element_Map!$E$2:$E$287,""))</f>
        <v>E39</v>
      </c>
      <c r="F84" s="21">
        <f t="shared" si="2"/>
        <v>1</v>
      </c>
      <c r="G84" s="21" t="str">
        <f>IF(COUNTIFS(KPI_Element_Map!$A$2:$A$287,$A84,KPI_Element_Map!$G$2:$G$287,G$1)&gt;0,1,"")</f>
        <v/>
      </c>
      <c r="H84" s="21" t="str">
        <f>IF(COUNTIFS(KPI_Element_Map!$A$2:$A$287,$A84,KPI_Element_Map!$G$2:$G$287,H$1)&gt;0,1,"")</f>
        <v/>
      </c>
      <c r="I84" s="21" t="str">
        <f>IF(COUNTIFS(KPI_Element_Map!$A$2:$A$287,$A84,KPI_Element_Map!$G$2:$G$287,I$1)&gt;0,1,"")</f>
        <v/>
      </c>
      <c r="J84" s="21" t="str">
        <f>IF(COUNTIFS(KPI_Element_Map!$A$2:$A$287,$A84,KPI_Element_Map!$G$2:$G$287,J$1)&gt;0,1,"")</f>
        <v/>
      </c>
      <c r="K84" s="21" t="str">
        <f>IF(COUNTIFS(KPI_Element_Map!$A$2:$A$287,$A84,KPI_Element_Map!$G$2:$G$287,K$1)&gt;0,1,"")</f>
        <v/>
      </c>
      <c r="L84" s="21" t="str">
        <f>IF(COUNTIFS(KPI_Element_Map!$A$2:$A$287,$A84,KPI_Element_Map!$G$2:$G$287,L$1)&gt;0,1,"")</f>
        <v/>
      </c>
      <c r="M84" s="21" t="str">
        <f>IF(COUNTIFS(KPI_Element_Map!$A$2:$A$287,$A84,KPI_Element_Map!$G$2:$G$287,M$1)&gt;0,1,"")</f>
        <v/>
      </c>
      <c r="N84" s="21" t="str">
        <f>IF(COUNTIFS(KPI_Element_Map!$A$2:$A$287,$A84,KPI_Element_Map!$G$2:$G$287,N$1)&gt;0,1,"")</f>
        <v/>
      </c>
      <c r="O84" s="21" t="str">
        <f>IF(COUNTIFS(KPI_Element_Map!$A$2:$A$287,$A84,KPI_Element_Map!$G$2:$G$287,O$1)&gt;0,1,"")</f>
        <v/>
      </c>
      <c r="P84" s="21" t="str">
        <f>IF(COUNTIFS(KPI_Element_Map!$A$2:$A$287,$A84,KPI_Element_Map!$G$2:$G$287,P$1)&gt;0,1,"")</f>
        <v/>
      </c>
      <c r="Q84" s="21" t="str">
        <f>IF(COUNTIFS(KPI_Element_Map!$A$2:$A$287,$A84,KPI_Element_Map!$G$2:$G$287,Q$1)&gt;0,1,"")</f>
        <v/>
      </c>
      <c r="R84" s="21" t="str">
        <f>IF(COUNTIFS(KPI_Element_Map!$A$2:$A$287,$A84,KPI_Element_Map!$G$2:$G$287,R$1)&gt;0,1,"")</f>
        <v/>
      </c>
      <c r="S84" s="21" t="str">
        <f>IF(COUNTIFS(KPI_Element_Map!$A$2:$A$287,$A84,KPI_Element_Map!$G$2:$G$287,S$1)&gt;0,1,"")</f>
        <v/>
      </c>
      <c r="T84" s="21" t="str">
        <f>IF(COUNTIFS(KPI_Element_Map!$A$2:$A$287,$A84,KPI_Element_Map!$G$2:$G$287,T$1)&gt;0,1,"")</f>
        <v/>
      </c>
      <c r="U84" s="21">
        <f>IF(COUNTIFS(KPI_Element_Map!$A$2:$A$287,$A84,KPI_Element_Map!$G$2:$G$287,U$1)&gt;0,1,"")</f>
        <v>1</v>
      </c>
      <c r="V84" s="21" t="str">
        <f>IF(COUNTIFS(KPI_Element_Map!$A$2:$A$287,$A84,KPI_Element_Map!$G$2:$G$287,V$1)&gt;0,1,"")</f>
        <v/>
      </c>
      <c r="W84" s="21" t="str">
        <f>IF(COUNTIFS(KPI_Element_Map!$A$2:$A$287,$A84,KPI_Element_Map!$G$2:$G$287,W$1)&gt;0,1,"")</f>
        <v/>
      </c>
      <c r="X84" s="21" t="str">
        <f>IF(COUNTIFS(KPI_Element_Map!$A$2:$A$287,$A84,KPI_Element_Map!$G$2:$G$287,X$1)&gt;0,1,"")</f>
        <v/>
      </c>
      <c r="Y84" s="21" t="str">
        <f>IF(COUNTIFS(KPI_Element_Map!$A$2:$A$287,$A84,KPI_Element_Map!$G$2:$G$287,Y$1)&gt;0,1,"")</f>
        <v/>
      </c>
      <c r="Z84" s="21" t="str">
        <f>IF(COUNTIFS(KPI_Element_Map!$A$2:$A$287,$A84,KPI_Element_Map!$G$2:$G$287,Z$1)&gt;0,1,"")</f>
        <v/>
      </c>
      <c r="AA84" s="21" t="str">
        <f>IF(COUNTIFS(KPI_Element_Map!$A$2:$A$287,$A84,KPI_Element_Map!$G$2:$G$287,AA$1)&gt;0,1,"")</f>
        <v/>
      </c>
      <c r="AB84" s="21" t="str">
        <f>IF(COUNTIFS(KPI_Element_Map!$A$2:$A$287,$A84,KPI_Element_Map!$G$2:$G$287,AB$1)&gt;0,1,"")</f>
        <v/>
      </c>
      <c r="AC84" s="21" t="str">
        <f>IF(COUNTIFS(KPI_Element_Map!$A$2:$A$287,$A84,KPI_Element_Map!$G$2:$G$287,AC$1)&gt;0,1,"")</f>
        <v/>
      </c>
      <c r="AD84" s="21" t="str">
        <f>IF(COUNTIFS(KPI_Element_Map!$A$2:$A$287,$A84,KPI_Element_Map!$G$2:$G$287,AD$1)&gt;0,1,"")</f>
        <v/>
      </c>
      <c r="AE84" s="21" t="str">
        <f>IF(COUNTIFS(KPI_Element_Map!$A$2:$A$287,$A84,KPI_Element_Map!$G$2:$G$287,AE$1)&gt;0,1,"")</f>
        <v/>
      </c>
      <c r="AF84" s="21" t="str">
        <f>IF(COUNTIFS(KPI_Element_Map!$A$2:$A$287,$A84,KPI_Element_Map!$G$2:$G$287,AF$1)&gt;0,1,"")</f>
        <v/>
      </c>
      <c r="AG84" s="21" t="str">
        <f>IF(COUNTIFS(KPI_Element_Map!$A$2:$A$287,$A84,KPI_Element_Map!$G$2:$G$287,AG$1)&gt;0,1,"")</f>
        <v/>
      </c>
      <c r="AH84" s="21" t="str">
        <f>IF(COUNTIFS(KPI_Element_Map!$A$2:$A$287,$A84,KPI_Element_Map!$G$2:$G$287,AH$1)&gt;0,1,"")</f>
        <v/>
      </c>
      <c r="AI84" s="21" t="str">
        <f>IF(COUNTIFS(KPI_Element_Map!$A$2:$A$287,$A84,KPI_Element_Map!$G$2:$G$287,AI$1)&gt;0,1,"")</f>
        <v/>
      </c>
      <c r="AJ84" s="21" t="str">
        <f>IF(COUNTIFS(KPI_Element_Map!$A$2:$A$287,$A84,KPI_Element_Map!$G$2:$G$287,AJ$1)&gt;0,1,"")</f>
        <v/>
      </c>
      <c r="AK84" s="21" t="str">
        <f>IF(COUNTIFS(KPI_Element_Map!$A$2:$A$287,$A84,KPI_Element_Map!$G$2:$G$287,AK$1)&gt;0,1,"")</f>
        <v/>
      </c>
    </row>
    <row r="85" spans="1:37">
      <c r="A85" s="21">
        <v>84</v>
      </c>
      <c r="B85" s="23" t="str">
        <f>INDEX(KPI_Master!$B:$B,MATCH($A85,KPI_Master!$A:$A,0))</f>
        <v>NURC-04</v>
      </c>
      <c r="C85" s="23" t="str">
        <f>INDEX(KPI_Master!$D:$D,MATCH($A85,KPI_Master!$A:$A,0))</f>
        <v>Facility-Acquired Pressure Injury Rate</v>
      </c>
      <c r="D85" s="23" t="str">
        <f>INDEX(KPI_Master!$K:$K,MATCH($A85,KPI_Master!$A:$A,0))</f>
        <v>2 - Standard</v>
      </c>
      <c r="E85" s="23" t="str">
        <f t="array" ref="E85">_xlfn.TEXTJOIN(", ",TRUE(),IF(KPI_Element_Map!$A$2:$A$287=$A85,KPI_Element_Map!$E$2:$E$287,""))</f>
        <v>E39, E01</v>
      </c>
      <c r="F85" s="21">
        <f t="shared" si="2"/>
        <v>2</v>
      </c>
      <c r="G85" s="21">
        <f>IF(COUNTIFS(KPI_Element_Map!$A$2:$A$287,$A85,KPI_Element_Map!$G$2:$G$287,G$1)&gt;0,1,"")</f>
        <v>1</v>
      </c>
      <c r="H85" s="21" t="str">
        <f>IF(COUNTIFS(KPI_Element_Map!$A$2:$A$287,$A85,KPI_Element_Map!$G$2:$G$287,H$1)&gt;0,1,"")</f>
        <v/>
      </c>
      <c r="I85" s="21" t="str">
        <f>IF(COUNTIFS(KPI_Element_Map!$A$2:$A$287,$A85,KPI_Element_Map!$G$2:$G$287,I$1)&gt;0,1,"")</f>
        <v/>
      </c>
      <c r="J85" s="21" t="str">
        <f>IF(COUNTIFS(KPI_Element_Map!$A$2:$A$287,$A85,KPI_Element_Map!$G$2:$G$287,J$1)&gt;0,1,"")</f>
        <v/>
      </c>
      <c r="K85" s="21" t="str">
        <f>IF(COUNTIFS(KPI_Element_Map!$A$2:$A$287,$A85,KPI_Element_Map!$G$2:$G$287,K$1)&gt;0,1,"")</f>
        <v/>
      </c>
      <c r="L85" s="21" t="str">
        <f>IF(COUNTIFS(KPI_Element_Map!$A$2:$A$287,$A85,KPI_Element_Map!$G$2:$G$287,L$1)&gt;0,1,"")</f>
        <v/>
      </c>
      <c r="M85" s="21" t="str">
        <f>IF(COUNTIFS(KPI_Element_Map!$A$2:$A$287,$A85,KPI_Element_Map!$G$2:$G$287,M$1)&gt;0,1,"")</f>
        <v/>
      </c>
      <c r="N85" s="21" t="str">
        <f>IF(COUNTIFS(KPI_Element_Map!$A$2:$A$287,$A85,KPI_Element_Map!$G$2:$G$287,N$1)&gt;0,1,"")</f>
        <v/>
      </c>
      <c r="O85" s="21" t="str">
        <f>IF(COUNTIFS(KPI_Element_Map!$A$2:$A$287,$A85,KPI_Element_Map!$G$2:$G$287,O$1)&gt;0,1,"")</f>
        <v/>
      </c>
      <c r="P85" s="21" t="str">
        <f>IF(COUNTIFS(KPI_Element_Map!$A$2:$A$287,$A85,KPI_Element_Map!$G$2:$G$287,P$1)&gt;0,1,"")</f>
        <v/>
      </c>
      <c r="Q85" s="21" t="str">
        <f>IF(COUNTIFS(KPI_Element_Map!$A$2:$A$287,$A85,KPI_Element_Map!$G$2:$G$287,Q$1)&gt;0,1,"")</f>
        <v/>
      </c>
      <c r="R85" s="21" t="str">
        <f>IF(COUNTIFS(KPI_Element_Map!$A$2:$A$287,$A85,KPI_Element_Map!$G$2:$G$287,R$1)&gt;0,1,"")</f>
        <v/>
      </c>
      <c r="S85" s="21" t="str">
        <f>IF(COUNTIFS(KPI_Element_Map!$A$2:$A$287,$A85,KPI_Element_Map!$G$2:$G$287,S$1)&gt;0,1,"")</f>
        <v/>
      </c>
      <c r="T85" s="21" t="str">
        <f>IF(COUNTIFS(KPI_Element_Map!$A$2:$A$287,$A85,KPI_Element_Map!$G$2:$G$287,T$1)&gt;0,1,"")</f>
        <v/>
      </c>
      <c r="U85" s="21">
        <f>IF(COUNTIFS(KPI_Element_Map!$A$2:$A$287,$A85,KPI_Element_Map!$G$2:$G$287,U$1)&gt;0,1,"")</f>
        <v>1</v>
      </c>
      <c r="V85" s="21" t="str">
        <f>IF(COUNTIFS(KPI_Element_Map!$A$2:$A$287,$A85,KPI_Element_Map!$G$2:$G$287,V$1)&gt;0,1,"")</f>
        <v/>
      </c>
      <c r="W85" s="21" t="str">
        <f>IF(COUNTIFS(KPI_Element_Map!$A$2:$A$287,$A85,KPI_Element_Map!$G$2:$G$287,W$1)&gt;0,1,"")</f>
        <v/>
      </c>
      <c r="X85" s="21" t="str">
        <f>IF(COUNTIFS(KPI_Element_Map!$A$2:$A$287,$A85,KPI_Element_Map!$G$2:$G$287,X$1)&gt;0,1,"")</f>
        <v/>
      </c>
      <c r="Y85" s="21" t="str">
        <f>IF(COUNTIFS(KPI_Element_Map!$A$2:$A$287,$A85,KPI_Element_Map!$G$2:$G$287,Y$1)&gt;0,1,"")</f>
        <v/>
      </c>
      <c r="Z85" s="21" t="str">
        <f>IF(COUNTIFS(KPI_Element_Map!$A$2:$A$287,$A85,KPI_Element_Map!$G$2:$G$287,Z$1)&gt;0,1,"")</f>
        <v/>
      </c>
      <c r="AA85" s="21" t="str">
        <f>IF(COUNTIFS(KPI_Element_Map!$A$2:$A$287,$A85,KPI_Element_Map!$G$2:$G$287,AA$1)&gt;0,1,"")</f>
        <v/>
      </c>
      <c r="AB85" s="21" t="str">
        <f>IF(COUNTIFS(KPI_Element_Map!$A$2:$A$287,$A85,KPI_Element_Map!$G$2:$G$287,AB$1)&gt;0,1,"")</f>
        <v/>
      </c>
      <c r="AC85" s="21" t="str">
        <f>IF(COUNTIFS(KPI_Element_Map!$A$2:$A$287,$A85,KPI_Element_Map!$G$2:$G$287,AC$1)&gt;0,1,"")</f>
        <v/>
      </c>
      <c r="AD85" s="21" t="str">
        <f>IF(COUNTIFS(KPI_Element_Map!$A$2:$A$287,$A85,KPI_Element_Map!$G$2:$G$287,AD$1)&gt;0,1,"")</f>
        <v/>
      </c>
      <c r="AE85" s="21" t="str">
        <f>IF(COUNTIFS(KPI_Element_Map!$A$2:$A$287,$A85,KPI_Element_Map!$G$2:$G$287,AE$1)&gt;0,1,"")</f>
        <v/>
      </c>
      <c r="AF85" s="21" t="str">
        <f>IF(COUNTIFS(KPI_Element_Map!$A$2:$A$287,$A85,KPI_Element_Map!$G$2:$G$287,AF$1)&gt;0,1,"")</f>
        <v/>
      </c>
      <c r="AG85" s="21" t="str">
        <f>IF(COUNTIFS(KPI_Element_Map!$A$2:$A$287,$A85,KPI_Element_Map!$G$2:$G$287,AG$1)&gt;0,1,"")</f>
        <v/>
      </c>
      <c r="AH85" s="21" t="str">
        <f>IF(COUNTIFS(KPI_Element_Map!$A$2:$A$287,$A85,KPI_Element_Map!$G$2:$G$287,AH$1)&gt;0,1,"")</f>
        <v/>
      </c>
      <c r="AI85" s="21" t="str">
        <f>IF(COUNTIFS(KPI_Element_Map!$A$2:$A$287,$A85,KPI_Element_Map!$G$2:$G$287,AI$1)&gt;0,1,"")</f>
        <v/>
      </c>
      <c r="AJ85" s="21" t="str">
        <f>IF(COUNTIFS(KPI_Element_Map!$A$2:$A$287,$A85,KPI_Element_Map!$G$2:$G$287,AJ$1)&gt;0,1,"")</f>
        <v/>
      </c>
      <c r="AK85" s="21" t="str">
        <f>IF(COUNTIFS(KPI_Element_Map!$A$2:$A$287,$A85,KPI_Element_Map!$G$2:$G$287,AK$1)&gt;0,1,"")</f>
        <v/>
      </c>
    </row>
    <row r="86" spans="1:37">
      <c r="A86" s="21">
        <v>85</v>
      </c>
      <c r="B86" s="23" t="str">
        <f>INDEX(KPI_Master!$B:$B,MATCH($A86,KPI_Master!$A:$A,0))</f>
        <v>NURC-05</v>
      </c>
      <c r="C86" s="23" t="str">
        <f>INDEX(KPI_Master!$D:$D,MATCH($A86,KPI_Master!$A:$A,0))</f>
        <v>Medication Error Rate</v>
      </c>
      <c r="D86" s="23" t="str">
        <f>INDEX(KPI_Master!$K:$K,MATCH($A86,KPI_Master!$A:$A,0))</f>
        <v>1 - Core</v>
      </c>
      <c r="E86" s="23" t="str">
        <f t="array" ref="E86">_xlfn.TEXTJOIN(", ",TRUE(),IF(KPI_Element_Map!$A$2:$A$287=$A86,KPI_Element_Map!$E$2:$E$287,""))</f>
        <v>E37, E38</v>
      </c>
      <c r="F86" s="21">
        <f t="shared" si="2"/>
        <v>2</v>
      </c>
      <c r="G86" s="21" t="str">
        <f>IF(COUNTIFS(KPI_Element_Map!$A$2:$A$287,$A86,KPI_Element_Map!$G$2:$G$287,G$1)&gt;0,1,"")</f>
        <v/>
      </c>
      <c r="H86" s="21" t="str">
        <f>IF(COUNTIFS(KPI_Element_Map!$A$2:$A$287,$A86,KPI_Element_Map!$G$2:$G$287,H$1)&gt;0,1,"")</f>
        <v/>
      </c>
      <c r="I86" s="21" t="str">
        <f>IF(COUNTIFS(KPI_Element_Map!$A$2:$A$287,$A86,KPI_Element_Map!$G$2:$G$287,I$1)&gt;0,1,"")</f>
        <v/>
      </c>
      <c r="J86" s="21" t="str">
        <f>IF(COUNTIFS(KPI_Element_Map!$A$2:$A$287,$A86,KPI_Element_Map!$G$2:$G$287,J$1)&gt;0,1,"")</f>
        <v/>
      </c>
      <c r="K86" s="21" t="str">
        <f>IF(COUNTIFS(KPI_Element_Map!$A$2:$A$287,$A86,KPI_Element_Map!$G$2:$G$287,K$1)&gt;0,1,"")</f>
        <v/>
      </c>
      <c r="L86" s="21" t="str">
        <f>IF(COUNTIFS(KPI_Element_Map!$A$2:$A$287,$A86,KPI_Element_Map!$G$2:$G$287,L$1)&gt;0,1,"")</f>
        <v/>
      </c>
      <c r="M86" s="21" t="str">
        <f>IF(COUNTIFS(KPI_Element_Map!$A$2:$A$287,$A86,KPI_Element_Map!$G$2:$G$287,M$1)&gt;0,1,"")</f>
        <v/>
      </c>
      <c r="N86" s="21" t="str">
        <f>IF(COUNTIFS(KPI_Element_Map!$A$2:$A$287,$A86,KPI_Element_Map!$G$2:$G$287,N$1)&gt;0,1,"")</f>
        <v/>
      </c>
      <c r="O86" s="21" t="str">
        <f>IF(COUNTIFS(KPI_Element_Map!$A$2:$A$287,$A86,KPI_Element_Map!$G$2:$G$287,O$1)&gt;0,1,"")</f>
        <v/>
      </c>
      <c r="P86" s="21" t="str">
        <f>IF(COUNTIFS(KPI_Element_Map!$A$2:$A$287,$A86,KPI_Element_Map!$G$2:$G$287,P$1)&gt;0,1,"")</f>
        <v/>
      </c>
      <c r="Q86" s="21" t="str">
        <f>IF(COUNTIFS(KPI_Element_Map!$A$2:$A$287,$A86,KPI_Element_Map!$G$2:$G$287,Q$1)&gt;0,1,"")</f>
        <v/>
      </c>
      <c r="R86" s="21" t="str">
        <f>IF(COUNTIFS(KPI_Element_Map!$A$2:$A$287,$A86,KPI_Element_Map!$G$2:$G$287,R$1)&gt;0,1,"")</f>
        <v/>
      </c>
      <c r="S86" s="21">
        <f>IF(COUNTIFS(KPI_Element_Map!$A$2:$A$287,$A86,KPI_Element_Map!$G$2:$G$287,S$1)&gt;0,1,"")</f>
        <v>1</v>
      </c>
      <c r="T86" s="21">
        <f>IF(COUNTIFS(KPI_Element_Map!$A$2:$A$287,$A86,KPI_Element_Map!$G$2:$G$287,T$1)&gt;0,1,"")</f>
        <v>1</v>
      </c>
      <c r="U86" s="21" t="str">
        <f>IF(COUNTIFS(KPI_Element_Map!$A$2:$A$287,$A86,KPI_Element_Map!$G$2:$G$287,U$1)&gt;0,1,"")</f>
        <v/>
      </c>
      <c r="V86" s="21" t="str">
        <f>IF(COUNTIFS(KPI_Element_Map!$A$2:$A$287,$A86,KPI_Element_Map!$G$2:$G$287,V$1)&gt;0,1,"")</f>
        <v/>
      </c>
      <c r="W86" s="21" t="str">
        <f>IF(COUNTIFS(KPI_Element_Map!$A$2:$A$287,$A86,KPI_Element_Map!$G$2:$G$287,W$1)&gt;0,1,"")</f>
        <v/>
      </c>
      <c r="X86" s="21" t="str">
        <f>IF(COUNTIFS(KPI_Element_Map!$A$2:$A$287,$A86,KPI_Element_Map!$G$2:$G$287,X$1)&gt;0,1,"")</f>
        <v/>
      </c>
      <c r="Y86" s="21" t="str">
        <f>IF(COUNTIFS(KPI_Element_Map!$A$2:$A$287,$A86,KPI_Element_Map!$G$2:$G$287,Y$1)&gt;0,1,"")</f>
        <v/>
      </c>
      <c r="Z86" s="21" t="str">
        <f>IF(COUNTIFS(KPI_Element_Map!$A$2:$A$287,$A86,KPI_Element_Map!$G$2:$G$287,Z$1)&gt;0,1,"")</f>
        <v/>
      </c>
      <c r="AA86" s="21" t="str">
        <f>IF(COUNTIFS(KPI_Element_Map!$A$2:$A$287,$A86,KPI_Element_Map!$G$2:$G$287,AA$1)&gt;0,1,"")</f>
        <v/>
      </c>
      <c r="AB86" s="21" t="str">
        <f>IF(COUNTIFS(KPI_Element_Map!$A$2:$A$287,$A86,KPI_Element_Map!$G$2:$G$287,AB$1)&gt;0,1,"")</f>
        <v/>
      </c>
      <c r="AC86" s="21" t="str">
        <f>IF(COUNTIFS(KPI_Element_Map!$A$2:$A$287,$A86,KPI_Element_Map!$G$2:$G$287,AC$1)&gt;0,1,"")</f>
        <v/>
      </c>
      <c r="AD86" s="21" t="str">
        <f>IF(COUNTIFS(KPI_Element_Map!$A$2:$A$287,$A86,KPI_Element_Map!$G$2:$G$287,AD$1)&gt;0,1,"")</f>
        <v/>
      </c>
      <c r="AE86" s="21" t="str">
        <f>IF(COUNTIFS(KPI_Element_Map!$A$2:$A$287,$A86,KPI_Element_Map!$G$2:$G$287,AE$1)&gt;0,1,"")</f>
        <v/>
      </c>
      <c r="AF86" s="21" t="str">
        <f>IF(COUNTIFS(KPI_Element_Map!$A$2:$A$287,$A86,KPI_Element_Map!$G$2:$G$287,AF$1)&gt;0,1,"")</f>
        <v/>
      </c>
      <c r="AG86" s="21" t="str">
        <f>IF(COUNTIFS(KPI_Element_Map!$A$2:$A$287,$A86,KPI_Element_Map!$G$2:$G$287,AG$1)&gt;0,1,"")</f>
        <v/>
      </c>
      <c r="AH86" s="21" t="str">
        <f>IF(COUNTIFS(KPI_Element_Map!$A$2:$A$287,$A86,KPI_Element_Map!$G$2:$G$287,AH$1)&gt;0,1,"")</f>
        <v/>
      </c>
      <c r="AI86" s="21" t="str">
        <f>IF(COUNTIFS(KPI_Element_Map!$A$2:$A$287,$A86,KPI_Element_Map!$G$2:$G$287,AI$1)&gt;0,1,"")</f>
        <v/>
      </c>
      <c r="AJ86" s="21" t="str">
        <f>IF(COUNTIFS(KPI_Element_Map!$A$2:$A$287,$A86,KPI_Element_Map!$G$2:$G$287,AJ$1)&gt;0,1,"")</f>
        <v/>
      </c>
      <c r="AK86" s="21" t="str">
        <f>IF(COUNTIFS(KPI_Element_Map!$A$2:$A$287,$A86,KPI_Element_Map!$G$2:$G$287,AK$1)&gt;0,1,"")</f>
        <v/>
      </c>
    </row>
    <row r="87" spans="1:37">
      <c r="A87" s="21">
        <v>86</v>
      </c>
      <c r="B87" s="23" t="str">
        <f>INDEX(KPI_Master!$B:$B,MATCH($A87,KPI_Master!$A:$A,0))</f>
        <v>NURC-07</v>
      </c>
      <c r="C87" s="23" t="str">
        <f>INDEX(KPI_Master!$D:$D,MATCH($A87,KPI_Master!$A:$A,0))</f>
        <v>30-Day Hospital Readmission Rate</v>
      </c>
      <c r="D87" s="23" t="str">
        <f>INDEX(KPI_Master!$K:$K,MATCH($A87,KPI_Master!$A:$A,0))</f>
        <v>1 - Core</v>
      </c>
      <c r="E87" s="23" t="str">
        <f t="array" ref="E87">_xlfn.TEXTJOIN(", ",TRUE(),IF(KPI_Element_Map!$A$2:$A$287=$A87,KPI_Element_Map!$E$2:$E$287,""))</f>
        <v>E09, E07</v>
      </c>
      <c r="F87" s="21">
        <f t="shared" si="2"/>
        <v>1</v>
      </c>
      <c r="G87" s="21">
        <f>IF(COUNTIFS(KPI_Element_Map!$A$2:$A$287,$A87,KPI_Element_Map!$G$2:$G$287,G$1)&gt;0,1,"")</f>
        <v>1</v>
      </c>
      <c r="H87" s="21" t="str">
        <f>IF(COUNTIFS(KPI_Element_Map!$A$2:$A$287,$A87,KPI_Element_Map!$G$2:$G$287,H$1)&gt;0,1,"")</f>
        <v/>
      </c>
      <c r="I87" s="21" t="str">
        <f>IF(COUNTIFS(KPI_Element_Map!$A$2:$A$287,$A87,KPI_Element_Map!$G$2:$G$287,I$1)&gt;0,1,"")</f>
        <v/>
      </c>
      <c r="J87" s="21" t="str">
        <f>IF(COUNTIFS(KPI_Element_Map!$A$2:$A$287,$A87,KPI_Element_Map!$G$2:$G$287,J$1)&gt;0,1,"")</f>
        <v/>
      </c>
      <c r="K87" s="21" t="str">
        <f>IF(COUNTIFS(KPI_Element_Map!$A$2:$A$287,$A87,KPI_Element_Map!$G$2:$G$287,K$1)&gt;0,1,"")</f>
        <v/>
      </c>
      <c r="L87" s="21" t="str">
        <f>IF(COUNTIFS(KPI_Element_Map!$A$2:$A$287,$A87,KPI_Element_Map!$G$2:$G$287,L$1)&gt;0,1,"")</f>
        <v/>
      </c>
      <c r="M87" s="21" t="str">
        <f>IF(COUNTIFS(KPI_Element_Map!$A$2:$A$287,$A87,KPI_Element_Map!$G$2:$G$287,M$1)&gt;0,1,"")</f>
        <v/>
      </c>
      <c r="N87" s="21" t="str">
        <f>IF(COUNTIFS(KPI_Element_Map!$A$2:$A$287,$A87,KPI_Element_Map!$G$2:$G$287,N$1)&gt;0,1,"")</f>
        <v/>
      </c>
      <c r="O87" s="21" t="str">
        <f>IF(COUNTIFS(KPI_Element_Map!$A$2:$A$287,$A87,KPI_Element_Map!$G$2:$G$287,O$1)&gt;0,1,"")</f>
        <v/>
      </c>
      <c r="P87" s="21" t="str">
        <f>IF(COUNTIFS(KPI_Element_Map!$A$2:$A$287,$A87,KPI_Element_Map!$G$2:$G$287,P$1)&gt;0,1,"")</f>
        <v/>
      </c>
      <c r="Q87" s="21" t="str">
        <f>IF(COUNTIFS(KPI_Element_Map!$A$2:$A$287,$A87,KPI_Element_Map!$G$2:$G$287,Q$1)&gt;0,1,"")</f>
        <v/>
      </c>
      <c r="R87" s="21" t="str">
        <f>IF(COUNTIFS(KPI_Element_Map!$A$2:$A$287,$A87,KPI_Element_Map!$G$2:$G$287,R$1)&gt;0,1,"")</f>
        <v/>
      </c>
      <c r="S87" s="21" t="str">
        <f>IF(COUNTIFS(KPI_Element_Map!$A$2:$A$287,$A87,KPI_Element_Map!$G$2:$G$287,S$1)&gt;0,1,"")</f>
        <v/>
      </c>
      <c r="T87" s="21" t="str">
        <f>IF(COUNTIFS(KPI_Element_Map!$A$2:$A$287,$A87,KPI_Element_Map!$G$2:$G$287,T$1)&gt;0,1,"")</f>
        <v/>
      </c>
      <c r="U87" s="21" t="str">
        <f>IF(COUNTIFS(KPI_Element_Map!$A$2:$A$287,$A87,KPI_Element_Map!$G$2:$G$287,U$1)&gt;0,1,"")</f>
        <v/>
      </c>
      <c r="V87" s="21" t="str">
        <f>IF(COUNTIFS(KPI_Element_Map!$A$2:$A$287,$A87,KPI_Element_Map!$G$2:$G$287,V$1)&gt;0,1,"")</f>
        <v/>
      </c>
      <c r="W87" s="21" t="str">
        <f>IF(COUNTIFS(KPI_Element_Map!$A$2:$A$287,$A87,KPI_Element_Map!$G$2:$G$287,W$1)&gt;0,1,"")</f>
        <v/>
      </c>
      <c r="X87" s="21" t="str">
        <f>IF(COUNTIFS(KPI_Element_Map!$A$2:$A$287,$A87,KPI_Element_Map!$G$2:$G$287,X$1)&gt;0,1,"")</f>
        <v/>
      </c>
      <c r="Y87" s="21" t="str">
        <f>IF(COUNTIFS(KPI_Element_Map!$A$2:$A$287,$A87,KPI_Element_Map!$G$2:$G$287,Y$1)&gt;0,1,"")</f>
        <v/>
      </c>
      <c r="Z87" s="21" t="str">
        <f>IF(COUNTIFS(KPI_Element_Map!$A$2:$A$287,$A87,KPI_Element_Map!$G$2:$G$287,Z$1)&gt;0,1,"")</f>
        <v/>
      </c>
      <c r="AA87" s="21" t="str">
        <f>IF(COUNTIFS(KPI_Element_Map!$A$2:$A$287,$A87,KPI_Element_Map!$G$2:$G$287,AA$1)&gt;0,1,"")</f>
        <v/>
      </c>
      <c r="AB87" s="21" t="str">
        <f>IF(COUNTIFS(KPI_Element_Map!$A$2:$A$287,$A87,KPI_Element_Map!$G$2:$G$287,AB$1)&gt;0,1,"")</f>
        <v/>
      </c>
      <c r="AC87" s="21" t="str">
        <f>IF(COUNTIFS(KPI_Element_Map!$A$2:$A$287,$A87,KPI_Element_Map!$G$2:$G$287,AC$1)&gt;0,1,"")</f>
        <v/>
      </c>
      <c r="AD87" s="21" t="str">
        <f>IF(COUNTIFS(KPI_Element_Map!$A$2:$A$287,$A87,KPI_Element_Map!$G$2:$G$287,AD$1)&gt;0,1,"")</f>
        <v/>
      </c>
      <c r="AE87" s="21" t="str">
        <f>IF(COUNTIFS(KPI_Element_Map!$A$2:$A$287,$A87,KPI_Element_Map!$G$2:$G$287,AE$1)&gt;0,1,"")</f>
        <v/>
      </c>
      <c r="AF87" s="21" t="str">
        <f>IF(COUNTIFS(KPI_Element_Map!$A$2:$A$287,$A87,KPI_Element_Map!$G$2:$G$287,AF$1)&gt;0,1,"")</f>
        <v/>
      </c>
      <c r="AG87" s="21" t="str">
        <f>IF(COUNTIFS(KPI_Element_Map!$A$2:$A$287,$A87,KPI_Element_Map!$G$2:$G$287,AG$1)&gt;0,1,"")</f>
        <v/>
      </c>
      <c r="AH87" s="21" t="str">
        <f>IF(COUNTIFS(KPI_Element_Map!$A$2:$A$287,$A87,KPI_Element_Map!$G$2:$G$287,AH$1)&gt;0,1,"")</f>
        <v/>
      </c>
      <c r="AI87" s="21" t="str">
        <f>IF(COUNTIFS(KPI_Element_Map!$A$2:$A$287,$A87,KPI_Element_Map!$G$2:$G$287,AI$1)&gt;0,1,"")</f>
        <v/>
      </c>
      <c r="AJ87" s="21" t="str">
        <f>IF(COUNTIFS(KPI_Element_Map!$A$2:$A$287,$A87,KPI_Element_Map!$G$2:$G$287,AJ$1)&gt;0,1,"")</f>
        <v/>
      </c>
      <c r="AK87" s="21" t="str">
        <f>IF(COUNTIFS(KPI_Element_Map!$A$2:$A$287,$A87,KPI_Element_Map!$G$2:$G$287,AK$1)&gt;0,1,"")</f>
        <v/>
      </c>
    </row>
    <row r="88" spans="1:37">
      <c r="A88" s="21">
        <v>87</v>
      </c>
      <c r="B88" s="23" t="str">
        <f>INDEX(KPI_Master!$B:$B,MATCH($A88,KPI_Master!$A:$A,0))</f>
        <v>NURC-08</v>
      </c>
      <c r="C88" s="23" t="str">
        <f>INDEX(KPI_Master!$D:$D,MATCH($A88,KPI_Master!$A:$A,0))</f>
        <v>Unplanned Hospital Transfer Rate</v>
      </c>
      <c r="D88" s="23" t="str">
        <f>INDEX(KPI_Master!$K:$K,MATCH($A88,KPI_Master!$A:$A,0))</f>
        <v>2 - Standard</v>
      </c>
      <c r="E88" s="23" t="str">
        <f t="array" ref="E88">_xlfn.TEXTJOIN(", ",TRUE(),IF(KPI_Element_Map!$A$2:$A$287=$A88,KPI_Element_Map!$E$2:$E$287,""))</f>
        <v>E09, E01</v>
      </c>
      <c r="F88" s="21">
        <f t="shared" si="2"/>
        <v>1</v>
      </c>
      <c r="G88" s="21">
        <f>IF(COUNTIFS(KPI_Element_Map!$A$2:$A$287,$A88,KPI_Element_Map!$G$2:$G$287,G$1)&gt;0,1,"")</f>
        <v>1</v>
      </c>
      <c r="H88" s="21" t="str">
        <f>IF(COUNTIFS(KPI_Element_Map!$A$2:$A$287,$A88,KPI_Element_Map!$G$2:$G$287,H$1)&gt;0,1,"")</f>
        <v/>
      </c>
      <c r="I88" s="21" t="str">
        <f>IF(COUNTIFS(KPI_Element_Map!$A$2:$A$287,$A88,KPI_Element_Map!$G$2:$G$287,I$1)&gt;0,1,"")</f>
        <v/>
      </c>
      <c r="J88" s="21" t="str">
        <f>IF(COUNTIFS(KPI_Element_Map!$A$2:$A$287,$A88,KPI_Element_Map!$G$2:$G$287,J$1)&gt;0,1,"")</f>
        <v/>
      </c>
      <c r="K88" s="21" t="str">
        <f>IF(COUNTIFS(KPI_Element_Map!$A$2:$A$287,$A88,KPI_Element_Map!$G$2:$G$287,K$1)&gt;0,1,"")</f>
        <v/>
      </c>
      <c r="L88" s="21" t="str">
        <f>IF(COUNTIFS(KPI_Element_Map!$A$2:$A$287,$A88,KPI_Element_Map!$G$2:$G$287,L$1)&gt;0,1,"")</f>
        <v/>
      </c>
      <c r="M88" s="21" t="str">
        <f>IF(COUNTIFS(KPI_Element_Map!$A$2:$A$287,$A88,KPI_Element_Map!$G$2:$G$287,M$1)&gt;0,1,"")</f>
        <v/>
      </c>
      <c r="N88" s="21" t="str">
        <f>IF(COUNTIFS(KPI_Element_Map!$A$2:$A$287,$A88,KPI_Element_Map!$G$2:$G$287,N$1)&gt;0,1,"")</f>
        <v/>
      </c>
      <c r="O88" s="21" t="str">
        <f>IF(COUNTIFS(KPI_Element_Map!$A$2:$A$287,$A88,KPI_Element_Map!$G$2:$G$287,O$1)&gt;0,1,"")</f>
        <v/>
      </c>
      <c r="P88" s="21" t="str">
        <f>IF(COUNTIFS(KPI_Element_Map!$A$2:$A$287,$A88,KPI_Element_Map!$G$2:$G$287,P$1)&gt;0,1,"")</f>
        <v/>
      </c>
      <c r="Q88" s="21" t="str">
        <f>IF(COUNTIFS(KPI_Element_Map!$A$2:$A$287,$A88,KPI_Element_Map!$G$2:$G$287,Q$1)&gt;0,1,"")</f>
        <v/>
      </c>
      <c r="R88" s="21" t="str">
        <f>IF(COUNTIFS(KPI_Element_Map!$A$2:$A$287,$A88,KPI_Element_Map!$G$2:$G$287,R$1)&gt;0,1,"")</f>
        <v/>
      </c>
      <c r="S88" s="21" t="str">
        <f>IF(COUNTIFS(KPI_Element_Map!$A$2:$A$287,$A88,KPI_Element_Map!$G$2:$G$287,S$1)&gt;0,1,"")</f>
        <v/>
      </c>
      <c r="T88" s="21" t="str">
        <f>IF(COUNTIFS(KPI_Element_Map!$A$2:$A$287,$A88,KPI_Element_Map!$G$2:$G$287,T$1)&gt;0,1,"")</f>
        <v/>
      </c>
      <c r="U88" s="21" t="str">
        <f>IF(COUNTIFS(KPI_Element_Map!$A$2:$A$287,$A88,KPI_Element_Map!$G$2:$G$287,U$1)&gt;0,1,"")</f>
        <v/>
      </c>
      <c r="V88" s="21" t="str">
        <f>IF(COUNTIFS(KPI_Element_Map!$A$2:$A$287,$A88,KPI_Element_Map!$G$2:$G$287,V$1)&gt;0,1,"")</f>
        <v/>
      </c>
      <c r="W88" s="21" t="str">
        <f>IF(COUNTIFS(KPI_Element_Map!$A$2:$A$287,$A88,KPI_Element_Map!$G$2:$G$287,W$1)&gt;0,1,"")</f>
        <v/>
      </c>
      <c r="X88" s="21" t="str">
        <f>IF(COUNTIFS(KPI_Element_Map!$A$2:$A$287,$A88,KPI_Element_Map!$G$2:$G$287,X$1)&gt;0,1,"")</f>
        <v/>
      </c>
      <c r="Y88" s="21" t="str">
        <f>IF(COUNTIFS(KPI_Element_Map!$A$2:$A$287,$A88,KPI_Element_Map!$G$2:$G$287,Y$1)&gt;0,1,"")</f>
        <v/>
      </c>
      <c r="Z88" s="21" t="str">
        <f>IF(COUNTIFS(KPI_Element_Map!$A$2:$A$287,$A88,KPI_Element_Map!$G$2:$G$287,Z$1)&gt;0,1,"")</f>
        <v/>
      </c>
      <c r="AA88" s="21" t="str">
        <f>IF(COUNTIFS(KPI_Element_Map!$A$2:$A$287,$A88,KPI_Element_Map!$G$2:$G$287,AA$1)&gt;0,1,"")</f>
        <v/>
      </c>
      <c r="AB88" s="21" t="str">
        <f>IF(COUNTIFS(KPI_Element_Map!$A$2:$A$287,$A88,KPI_Element_Map!$G$2:$G$287,AB$1)&gt;0,1,"")</f>
        <v/>
      </c>
      <c r="AC88" s="21" t="str">
        <f>IF(COUNTIFS(KPI_Element_Map!$A$2:$A$287,$A88,KPI_Element_Map!$G$2:$G$287,AC$1)&gt;0,1,"")</f>
        <v/>
      </c>
      <c r="AD88" s="21" t="str">
        <f>IF(COUNTIFS(KPI_Element_Map!$A$2:$A$287,$A88,KPI_Element_Map!$G$2:$G$287,AD$1)&gt;0,1,"")</f>
        <v/>
      </c>
      <c r="AE88" s="21" t="str">
        <f>IF(COUNTIFS(KPI_Element_Map!$A$2:$A$287,$A88,KPI_Element_Map!$G$2:$G$287,AE$1)&gt;0,1,"")</f>
        <v/>
      </c>
      <c r="AF88" s="21" t="str">
        <f>IF(COUNTIFS(KPI_Element_Map!$A$2:$A$287,$A88,KPI_Element_Map!$G$2:$G$287,AF$1)&gt;0,1,"")</f>
        <v/>
      </c>
      <c r="AG88" s="21" t="str">
        <f>IF(COUNTIFS(KPI_Element_Map!$A$2:$A$287,$A88,KPI_Element_Map!$G$2:$G$287,AG$1)&gt;0,1,"")</f>
        <v/>
      </c>
      <c r="AH88" s="21" t="str">
        <f>IF(COUNTIFS(KPI_Element_Map!$A$2:$A$287,$A88,KPI_Element_Map!$G$2:$G$287,AH$1)&gt;0,1,"")</f>
        <v/>
      </c>
      <c r="AI88" s="21" t="str">
        <f>IF(COUNTIFS(KPI_Element_Map!$A$2:$A$287,$A88,KPI_Element_Map!$G$2:$G$287,AI$1)&gt;0,1,"")</f>
        <v/>
      </c>
      <c r="AJ88" s="21" t="str">
        <f>IF(COUNTIFS(KPI_Element_Map!$A$2:$A$287,$A88,KPI_Element_Map!$G$2:$G$287,AJ$1)&gt;0,1,"")</f>
        <v/>
      </c>
      <c r="AK88" s="21" t="str">
        <f>IF(COUNTIFS(KPI_Element_Map!$A$2:$A$287,$A88,KPI_Element_Map!$G$2:$G$287,AK$1)&gt;0,1,"")</f>
        <v/>
      </c>
    </row>
    <row r="89" spans="1:37">
      <c r="A89" s="21">
        <v>88</v>
      </c>
      <c r="B89" s="23" t="str">
        <f>INDEX(KPI_Master!$B:$B,MATCH($A89,KPI_Master!$A:$A,0))</f>
        <v>NURC-09</v>
      </c>
      <c r="C89" s="23" t="str">
        <f>INDEX(KPI_Master!$D:$D,MATCH($A89,KPI_Master!$A:$A,0))</f>
        <v>Infection Rate per 1,000 Resident Days</v>
      </c>
      <c r="D89" s="23" t="str">
        <f>INDEX(KPI_Master!$K:$K,MATCH($A89,KPI_Master!$A:$A,0))</f>
        <v>2 - Standard</v>
      </c>
      <c r="E89" s="23" t="str">
        <f t="array" ref="E89">_xlfn.TEXTJOIN(", ",TRUE(),IF(KPI_Element_Map!$A$2:$A$287=$A89,KPI_Element_Map!$E$2:$E$287,""))</f>
        <v>E44, E01</v>
      </c>
      <c r="F89" s="21">
        <f t="shared" si="2"/>
        <v>2</v>
      </c>
      <c r="G89" s="21">
        <f>IF(COUNTIFS(KPI_Element_Map!$A$2:$A$287,$A89,KPI_Element_Map!$G$2:$G$287,G$1)&gt;0,1,"")</f>
        <v>1</v>
      </c>
      <c r="H89" s="21" t="str">
        <f>IF(COUNTIFS(KPI_Element_Map!$A$2:$A$287,$A89,KPI_Element_Map!$G$2:$G$287,H$1)&gt;0,1,"")</f>
        <v/>
      </c>
      <c r="I89" s="21" t="str">
        <f>IF(COUNTIFS(KPI_Element_Map!$A$2:$A$287,$A89,KPI_Element_Map!$G$2:$G$287,I$1)&gt;0,1,"")</f>
        <v/>
      </c>
      <c r="J89" s="21" t="str">
        <f>IF(COUNTIFS(KPI_Element_Map!$A$2:$A$287,$A89,KPI_Element_Map!$G$2:$G$287,J$1)&gt;0,1,"")</f>
        <v/>
      </c>
      <c r="K89" s="21" t="str">
        <f>IF(COUNTIFS(KPI_Element_Map!$A$2:$A$287,$A89,KPI_Element_Map!$G$2:$G$287,K$1)&gt;0,1,"")</f>
        <v/>
      </c>
      <c r="L89" s="21" t="str">
        <f>IF(COUNTIFS(KPI_Element_Map!$A$2:$A$287,$A89,KPI_Element_Map!$G$2:$G$287,L$1)&gt;0,1,"")</f>
        <v/>
      </c>
      <c r="M89" s="21" t="str">
        <f>IF(COUNTIFS(KPI_Element_Map!$A$2:$A$287,$A89,KPI_Element_Map!$G$2:$G$287,M$1)&gt;0,1,"")</f>
        <v/>
      </c>
      <c r="N89" s="21" t="str">
        <f>IF(COUNTIFS(KPI_Element_Map!$A$2:$A$287,$A89,KPI_Element_Map!$G$2:$G$287,N$1)&gt;0,1,"")</f>
        <v/>
      </c>
      <c r="O89" s="21" t="str">
        <f>IF(COUNTIFS(KPI_Element_Map!$A$2:$A$287,$A89,KPI_Element_Map!$G$2:$G$287,O$1)&gt;0,1,"")</f>
        <v/>
      </c>
      <c r="P89" s="21" t="str">
        <f>IF(COUNTIFS(KPI_Element_Map!$A$2:$A$287,$A89,KPI_Element_Map!$G$2:$G$287,P$1)&gt;0,1,"")</f>
        <v/>
      </c>
      <c r="Q89" s="21" t="str">
        <f>IF(COUNTIFS(KPI_Element_Map!$A$2:$A$287,$A89,KPI_Element_Map!$G$2:$G$287,Q$1)&gt;0,1,"")</f>
        <v/>
      </c>
      <c r="R89" s="21" t="str">
        <f>IF(COUNTIFS(KPI_Element_Map!$A$2:$A$287,$A89,KPI_Element_Map!$G$2:$G$287,R$1)&gt;0,1,"")</f>
        <v/>
      </c>
      <c r="S89" s="21" t="str">
        <f>IF(COUNTIFS(KPI_Element_Map!$A$2:$A$287,$A89,KPI_Element_Map!$G$2:$G$287,S$1)&gt;0,1,"")</f>
        <v/>
      </c>
      <c r="T89" s="21" t="str">
        <f>IF(COUNTIFS(KPI_Element_Map!$A$2:$A$287,$A89,KPI_Element_Map!$G$2:$G$287,T$1)&gt;0,1,"")</f>
        <v/>
      </c>
      <c r="U89" s="21" t="str">
        <f>IF(COUNTIFS(KPI_Element_Map!$A$2:$A$287,$A89,KPI_Element_Map!$G$2:$G$287,U$1)&gt;0,1,"")</f>
        <v/>
      </c>
      <c r="V89" s="21" t="str">
        <f>IF(COUNTIFS(KPI_Element_Map!$A$2:$A$287,$A89,KPI_Element_Map!$G$2:$G$287,V$1)&gt;0,1,"")</f>
        <v/>
      </c>
      <c r="W89" s="21" t="str">
        <f>IF(COUNTIFS(KPI_Element_Map!$A$2:$A$287,$A89,KPI_Element_Map!$G$2:$G$287,W$1)&gt;0,1,"")</f>
        <v/>
      </c>
      <c r="X89" s="21" t="str">
        <f>IF(COUNTIFS(KPI_Element_Map!$A$2:$A$287,$A89,KPI_Element_Map!$G$2:$G$287,X$1)&gt;0,1,"")</f>
        <v/>
      </c>
      <c r="Y89" s="21">
        <f>IF(COUNTIFS(KPI_Element_Map!$A$2:$A$287,$A89,KPI_Element_Map!$G$2:$G$287,Y$1)&gt;0,1,"")</f>
        <v>1</v>
      </c>
      <c r="Z89" s="21" t="str">
        <f>IF(COUNTIFS(KPI_Element_Map!$A$2:$A$287,$A89,KPI_Element_Map!$G$2:$G$287,Z$1)&gt;0,1,"")</f>
        <v/>
      </c>
      <c r="AA89" s="21" t="str">
        <f>IF(COUNTIFS(KPI_Element_Map!$A$2:$A$287,$A89,KPI_Element_Map!$G$2:$G$287,AA$1)&gt;0,1,"")</f>
        <v/>
      </c>
      <c r="AB89" s="21" t="str">
        <f>IF(COUNTIFS(KPI_Element_Map!$A$2:$A$287,$A89,KPI_Element_Map!$G$2:$G$287,AB$1)&gt;0,1,"")</f>
        <v/>
      </c>
      <c r="AC89" s="21" t="str">
        <f>IF(COUNTIFS(KPI_Element_Map!$A$2:$A$287,$A89,KPI_Element_Map!$G$2:$G$287,AC$1)&gt;0,1,"")</f>
        <v/>
      </c>
      <c r="AD89" s="21" t="str">
        <f>IF(COUNTIFS(KPI_Element_Map!$A$2:$A$287,$A89,KPI_Element_Map!$G$2:$G$287,AD$1)&gt;0,1,"")</f>
        <v/>
      </c>
      <c r="AE89" s="21" t="str">
        <f>IF(COUNTIFS(KPI_Element_Map!$A$2:$A$287,$A89,KPI_Element_Map!$G$2:$G$287,AE$1)&gt;0,1,"")</f>
        <v/>
      </c>
      <c r="AF89" s="21" t="str">
        <f>IF(COUNTIFS(KPI_Element_Map!$A$2:$A$287,$A89,KPI_Element_Map!$G$2:$G$287,AF$1)&gt;0,1,"")</f>
        <v/>
      </c>
      <c r="AG89" s="21" t="str">
        <f>IF(COUNTIFS(KPI_Element_Map!$A$2:$A$287,$A89,KPI_Element_Map!$G$2:$G$287,AG$1)&gt;0,1,"")</f>
        <v/>
      </c>
      <c r="AH89" s="21" t="str">
        <f>IF(COUNTIFS(KPI_Element_Map!$A$2:$A$287,$A89,KPI_Element_Map!$G$2:$G$287,AH$1)&gt;0,1,"")</f>
        <v/>
      </c>
      <c r="AI89" s="21" t="str">
        <f>IF(COUNTIFS(KPI_Element_Map!$A$2:$A$287,$A89,KPI_Element_Map!$G$2:$G$287,AI$1)&gt;0,1,"")</f>
        <v/>
      </c>
      <c r="AJ89" s="21" t="str">
        <f>IF(COUNTIFS(KPI_Element_Map!$A$2:$A$287,$A89,KPI_Element_Map!$G$2:$G$287,AJ$1)&gt;0,1,"")</f>
        <v/>
      </c>
      <c r="AK89" s="21" t="str">
        <f>IF(COUNTIFS(KPI_Element_Map!$A$2:$A$287,$A89,KPI_Element_Map!$G$2:$G$287,AK$1)&gt;0,1,"")</f>
        <v/>
      </c>
    </row>
    <row r="90" spans="1:37">
      <c r="A90" s="21">
        <v>89</v>
      </c>
      <c r="B90" s="23" t="str">
        <f>INDEX(KPI_Master!$B:$B,MATCH($A90,KPI_Master!$A:$A,0))</f>
        <v>NURC-10</v>
      </c>
      <c r="C90" s="23" t="str">
        <f>INDEX(KPI_Master!$D:$D,MATCH($A90,KPI_Master!$A:$A,0))</f>
        <v>UTI Rate per 1,000 Resident Days</v>
      </c>
      <c r="D90" s="23" t="str">
        <f>INDEX(KPI_Master!$K:$K,MATCH($A90,KPI_Master!$A:$A,0))</f>
        <v>2 - Standard</v>
      </c>
      <c r="E90" s="23" t="str">
        <f t="array" ref="E90">_xlfn.TEXTJOIN(", ",TRUE(),IF(KPI_Element_Map!$A$2:$A$287=$A90,KPI_Element_Map!$E$2:$E$287,""))</f>
        <v>E44, E01</v>
      </c>
      <c r="F90" s="21">
        <f t="shared" si="2"/>
        <v>2</v>
      </c>
      <c r="G90" s="21">
        <f>IF(COUNTIFS(KPI_Element_Map!$A$2:$A$287,$A90,KPI_Element_Map!$G$2:$G$287,G$1)&gt;0,1,"")</f>
        <v>1</v>
      </c>
      <c r="H90" s="21" t="str">
        <f>IF(COUNTIFS(KPI_Element_Map!$A$2:$A$287,$A90,KPI_Element_Map!$G$2:$G$287,H$1)&gt;0,1,"")</f>
        <v/>
      </c>
      <c r="I90" s="21" t="str">
        <f>IF(COUNTIFS(KPI_Element_Map!$A$2:$A$287,$A90,KPI_Element_Map!$G$2:$G$287,I$1)&gt;0,1,"")</f>
        <v/>
      </c>
      <c r="J90" s="21" t="str">
        <f>IF(COUNTIFS(KPI_Element_Map!$A$2:$A$287,$A90,KPI_Element_Map!$G$2:$G$287,J$1)&gt;0,1,"")</f>
        <v/>
      </c>
      <c r="K90" s="21" t="str">
        <f>IF(COUNTIFS(KPI_Element_Map!$A$2:$A$287,$A90,KPI_Element_Map!$G$2:$G$287,K$1)&gt;0,1,"")</f>
        <v/>
      </c>
      <c r="L90" s="21" t="str">
        <f>IF(COUNTIFS(KPI_Element_Map!$A$2:$A$287,$A90,KPI_Element_Map!$G$2:$G$287,L$1)&gt;0,1,"")</f>
        <v/>
      </c>
      <c r="M90" s="21" t="str">
        <f>IF(COUNTIFS(KPI_Element_Map!$A$2:$A$287,$A90,KPI_Element_Map!$G$2:$G$287,M$1)&gt;0,1,"")</f>
        <v/>
      </c>
      <c r="N90" s="21" t="str">
        <f>IF(COUNTIFS(KPI_Element_Map!$A$2:$A$287,$A90,KPI_Element_Map!$G$2:$G$287,N$1)&gt;0,1,"")</f>
        <v/>
      </c>
      <c r="O90" s="21" t="str">
        <f>IF(COUNTIFS(KPI_Element_Map!$A$2:$A$287,$A90,KPI_Element_Map!$G$2:$G$287,O$1)&gt;0,1,"")</f>
        <v/>
      </c>
      <c r="P90" s="21" t="str">
        <f>IF(COUNTIFS(KPI_Element_Map!$A$2:$A$287,$A90,KPI_Element_Map!$G$2:$G$287,P$1)&gt;0,1,"")</f>
        <v/>
      </c>
      <c r="Q90" s="21" t="str">
        <f>IF(COUNTIFS(KPI_Element_Map!$A$2:$A$287,$A90,KPI_Element_Map!$G$2:$G$287,Q$1)&gt;0,1,"")</f>
        <v/>
      </c>
      <c r="R90" s="21" t="str">
        <f>IF(COUNTIFS(KPI_Element_Map!$A$2:$A$287,$A90,KPI_Element_Map!$G$2:$G$287,R$1)&gt;0,1,"")</f>
        <v/>
      </c>
      <c r="S90" s="21" t="str">
        <f>IF(COUNTIFS(KPI_Element_Map!$A$2:$A$287,$A90,KPI_Element_Map!$G$2:$G$287,S$1)&gt;0,1,"")</f>
        <v/>
      </c>
      <c r="T90" s="21" t="str">
        <f>IF(COUNTIFS(KPI_Element_Map!$A$2:$A$287,$A90,KPI_Element_Map!$G$2:$G$287,T$1)&gt;0,1,"")</f>
        <v/>
      </c>
      <c r="U90" s="21" t="str">
        <f>IF(COUNTIFS(KPI_Element_Map!$A$2:$A$287,$A90,KPI_Element_Map!$G$2:$G$287,U$1)&gt;0,1,"")</f>
        <v/>
      </c>
      <c r="V90" s="21" t="str">
        <f>IF(COUNTIFS(KPI_Element_Map!$A$2:$A$287,$A90,KPI_Element_Map!$G$2:$G$287,V$1)&gt;0,1,"")</f>
        <v/>
      </c>
      <c r="W90" s="21" t="str">
        <f>IF(COUNTIFS(KPI_Element_Map!$A$2:$A$287,$A90,KPI_Element_Map!$G$2:$G$287,W$1)&gt;0,1,"")</f>
        <v/>
      </c>
      <c r="X90" s="21" t="str">
        <f>IF(COUNTIFS(KPI_Element_Map!$A$2:$A$287,$A90,KPI_Element_Map!$G$2:$G$287,X$1)&gt;0,1,"")</f>
        <v/>
      </c>
      <c r="Y90" s="21">
        <f>IF(COUNTIFS(KPI_Element_Map!$A$2:$A$287,$A90,KPI_Element_Map!$G$2:$G$287,Y$1)&gt;0,1,"")</f>
        <v>1</v>
      </c>
      <c r="Z90" s="21" t="str">
        <f>IF(COUNTIFS(KPI_Element_Map!$A$2:$A$287,$A90,KPI_Element_Map!$G$2:$G$287,Z$1)&gt;0,1,"")</f>
        <v/>
      </c>
      <c r="AA90" s="21" t="str">
        <f>IF(COUNTIFS(KPI_Element_Map!$A$2:$A$287,$A90,KPI_Element_Map!$G$2:$G$287,AA$1)&gt;0,1,"")</f>
        <v/>
      </c>
      <c r="AB90" s="21" t="str">
        <f>IF(COUNTIFS(KPI_Element_Map!$A$2:$A$287,$A90,KPI_Element_Map!$G$2:$G$287,AB$1)&gt;0,1,"")</f>
        <v/>
      </c>
      <c r="AC90" s="21" t="str">
        <f>IF(COUNTIFS(KPI_Element_Map!$A$2:$A$287,$A90,KPI_Element_Map!$G$2:$G$287,AC$1)&gt;0,1,"")</f>
        <v/>
      </c>
      <c r="AD90" s="21" t="str">
        <f>IF(COUNTIFS(KPI_Element_Map!$A$2:$A$287,$A90,KPI_Element_Map!$G$2:$G$287,AD$1)&gt;0,1,"")</f>
        <v/>
      </c>
      <c r="AE90" s="21" t="str">
        <f>IF(COUNTIFS(KPI_Element_Map!$A$2:$A$287,$A90,KPI_Element_Map!$G$2:$G$287,AE$1)&gt;0,1,"")</f>
        <v/>
      </c>
      <c r="AF90" s="21" t="str">
        <f>IF(COUNTIFS(KPI_Element_Map!$A$2:$A$287,$A90,KPI_Element_Map!$G$2:$G$287,AF$1)&gt;0,1,"")</f>
        <v/>
      </c>
      <c r="AG90" s="21" t="str">
        <f>IF(COUNTIFS(KPI_Element_Map!$A$2:$A$287,$A90,KPI_Element_Map!$G$2:$G$287,AG$1)&gt;0,1,"")</f>
        <v/>
      </c>
      <c r="AH90" s="21" t="str">
        <f>IF(COUNTIFS(KPI_Element_Map!$A$2:$A$287,$A90,KPI_Element_Map!$G$2:$G$287,AH$1)&gt;0,1,"")</f>
        <v/>
      </c>
      <c r="AI90" s="21" t="str">
        <f>IF(COUNTIFS(KPI_Element_Map!$A$2:$A$287,$A90,KPI_Element_Map!$G$2:$G$287,AI$1)&gt;0,1,"")</f>
        <v/>
      </c>
      <c r="AJ90" s="21" t="str">
        <f>IF(COUNTIFS(KPI_Element_Map!$A$2:$A$287,$A90,KPI_Element_Map!$G$2:$G$287,AJ$1)&gt;0,1,"")</f>
        <v/>
      </c>
      <c r="AK90" s="21" t="str">
        <f>IF(COUNTIFS(KPI_Element_Map!$A$2:$A$287,$A90,KPI_Element_Map!$G$2:$G$287,AK$1)&gt;0,1,"")</f>
        <v/>
      </c>
    </row>
    <row r="91" spans="1:37">
      <c r="A91" s="21">
        <v>90</v>
      </c>
      <c r="B91" s="23" t="str">
        <f>INDEX(KPI_Master!$B:$B,MATCH($A91,KPI_Master!$A:$A,0))</f>
        <v>NURC-12</v>
      </c>
      <c r="C91" s="23" t="str">
        <f>INDEX(KPI_Master!$D:$D,MATCH($A91,KPI_Master!$A:$A,0))</f>
        <v>Unplanned Weight Loss Rate</v>
      </c>
      <c r="D91" s="23" t="str">
        <f>INDEX(KPI_Master!$K:$K,MATCH($A91,KPI_Master!$A:$A,0))</f>
        <v>2 - Standard</v>
      </c>
      <c r="E91" s="23" t="str">
        <f t="array" ref="E91">_xlfn.TEXTJOIN(", ",TRUE(),IF(KPI_Element_Map!$A$2:$A$287=$A91,KPI_Element_Map!$E$2:$E$287,""))</f>
        <v>E39</v>
      </c>
      <c r="F91" s="21">
        <f t="shared" si="2"/>
        <v>1</v>
      </c>
      <c r="G91" s="21" t="str">
        <f>IF(COUNTIFS(KPI_Element_Map!$A$2:$A$287,$A91,KPI_Element_Map!$G$2:$G$287,G$1)&gt;0,1,"")</f>
        <v/>
      </c>
      <c r="H91" s="21" t="str">
        <f>IF(COUNTIFS(KPI_Element_Map!$A$2:$A$287,$A91,KPI_Element_Map!$G$2:$G$287,H$1)&gt;0,1,"")</f>
        <v/>
      </c>
      <c r="I91" s="21" t="str">
        <f>IF(COUNTIFS(KPI_Element_Map!$A$2:$A$287,$A91,KPI_Element_Map!$G$2:$G$287,I$1)&gt;0,1,"")</f>
        <v/>
      </c>
      <c r="J91" s="21" t="str">
        <f>IF(COUNTIFS(KPI_Element_Map!$A$2:$A$287,$A91,KPI_Element_Map!$G$2:$G$287,J$1)&gt;0,1,"")</f>
        <v/>
      </c>
      <c r="K91" s="21" t="str">
        <f>IF(COUNTIFS(KPI_Element_Map!$A$2:$A$287,$A91,KPI_Element_Map!$G$2:$G$287,K$1)&gt;0,1,"")</f>
        <v/>
      </c>
      <c r="L91" s="21" t="str">
        <f>IF(COUNTIFS(KPI_Element_Map!$A$2:$A$287,$A91,KPI_Element_Map!$G$2:$G$287,L$1)&gt;0,1,"")</f>
        <v/>
      </c>
      <c r="M91" s="21" t="str">
        <f>IF(COUNTIFS(KPI_Element_Map!$A$2:$A$287,$A91,KPI_Element_Map!$G$2:$G$287,M$1)&gt;0,1,"")</f>
        <v/>
      </c>
      <c r="N91" s="21" t="str">
        <f>IF(COUNTIFS(KPI_Element_Map!$A$2:$A$287,$A91,KPI_Element_Map!$G$2:$G$287,N$1)&gt;0,1,"")</f>
        <v/>
      </c>
      <c r="O91" s="21" t="str">
        <f>IF(COUNTIFS(KPI_Element_Map!$A$2:$A$287,$A91,KPI_Element_Map!$G$2:$G$287,O$1)&gt;0,1,"")</f>
        <v/>
      </c>
      <c r="P91" s="21" t="str">
        <f>IF(COUNTIFS(KPI_Element_Map!$A$2:$A$287,$A91,KPI_Element_Map!$G$2:$G$287,P$1)&gt;0,1,"")</f>
        <v/>
      </c>
      <c r="Q91" s="21" t="str">
        <f>IF(COUNTIFS(KPI_Element_Map!$A$2:$A$287,$A91,KPI_Element_Map!$G$2:$G$287,Q$1)&gt;0,1,"")</f>
        <v/>
      </c>
      <c r="R91" s="21" t="str">
        <f>IF(COUNTIFS(KPI_Element_Map!$A$2:$A$287,$A91,KPI_Element_Map!$G$2:$G$287,R$1)&gt;0,1,"")</f>
        <v/>
      </c>
      <c r="S91" s="21" t="str">
        <f>IF(COUNTIFS(KPI_Element_Map!$A$2:$A$287,$A91,KPI_Element_Map!$G$2:$G$287,S$1)&gt;0,1,"")</f>
        <v/>
      </c>
      <c r="T91" s="21" t="str">
        <f>IF(COUNTIFS(KPI_Element_Map!$A$2:$A$287,$A91,KPI_Element_Map!$G$2:$G$287,T$1)&gt;0,1,"")</f>
        <v/>
      </c>
      <c r="U91" s="21">
        <f>IF(COUNTIFS(KPI_Element_Map!$A$2:$A$287,$A91,KPI_Element_Map!$G$2:$G$287,U$1)&gt;0,1,"")</f>
        <v>1</v>
      </c>
      <c r="V91" s="21" t="str">
        <f>IF(COUNTIFS(KPI_Element_Map!$A$2:$A$287,$A91,KPI_Element_Map!$G$2:$G$287,V$1)&gt;0,1,"")</f>
        <v/>
      </c>
      <c r="W91" s="21" t="str">
        <f>IF(COUNTIFS(KPI_Element_Map!$A$2:$A$287,$A91,KPI_Element_Map!$G$2:$G$287,W$1)&gt;0,1,"")</f>
        <v/>
      </c>
      <c r="X91" s="21" t="str">
        <f>IF(COUNTIFS(KPI_Element_Map!$A$2:$A$287,$A91,KPI_Element_Map!$G$2:$G$287,X$1)&gt;0,1,"")</f>
        <v/>
      </c>
      <c r="Y91" s="21" t="str">
        <f>IF(COUNTIFS(KPI_Element_Map!$A$2:$A$287,$A91,KPI_Element_Map!$G$2:$G$287,Y$1)&gt;0,1,"")</f>
        <v/>
      </c>
      <c r="Z91" s="21" t="str">
        <f>IF(COUNTIFS(KPI_Element_Map!$A$2:$A$287,$A91,KPI_Element_Map!$G$2:$G$287,Z$1)&gt;0,1,"")</f>
        <v/>
      </c>
      <c r="AA91" s="21" t="str">
        <f>IF(COUNTIFS(KPI_Element_Map!$A$2:$A$287,$A91,KPI_Element_Map!$G$2:$G$287,AA$1)&gt;0,1,"")</f>
        <v/>
      </c>
      <c r="AB91" s="21" t="str">
        <f>IF(COUNTIFS(KPI_Element_Map!$A$2:$A$287,$A91,KPI_Element_Map!$G$2:$G$287,AB$1)&gt;0,1,"")</f>
        <v/>
      </c>
      <c r="AC91" s="21" t="str">
        <f>IF(COUNTIFS(KPI_Element_Map!$A$2:$A$287,$A91,KPI_Element_Map!$G$2:$G$287,AC$1)&gt;0,1,"")</f>
        <v/>
      </c>
      <c r="AD91" s="21" t="str">
        <f>IF(COUNTIFS(KPI_Element_Map!$A$2:$A$287,$A91,KPI_Element_Map!$G$2:$G$287,AD$1)&gt;0,1,"")</f>
        <v/>
      </c>
      <c r="AE91" s="21" t="str">
        <f>IF(COUNTIFS(KPI_Element_Map!$A$2:$A$287,$A91,KPI_Element_Map!$G$2:$G$287,AE$1)&gt;0,1,"")</f>
        <v/>
      </c>
      <c r="AF91" s="21" t="str">
        <f>IF(COUNTIFS(KPI_Element_Map!$A$2:$A$287,$A91,KPI_Element_Map!$G$2:$G$287,AF$1)&gt;0,1,"")</f>
        <v/>
      </c>
      <c r="AG91" s="21" t="str">
        <f>IF(COUNTIFS(KPI_Element_Map!$A$2:$A$287,$A91,KPI_Element_Map!$G$2:$G$287,AG$1)&gt;0,1,"")</f>
        <v/>
      </c>
      <c r="AH91" s="21" t="str">
        <f>IF(COUNTIFS(KPI_Element_Map!$A$2:$A$287,$A91,KPI_Element_Map!$G$2:$G$287,AH$1)&gt;0,1,"")</f>
        <v/>
      </c>
      <c r="AI91" s="21" t="str">
        <f>IF(COUNTIFS(KPI_Element_Map!$A$2:$A$287,$A91,KPI_Element_Map!$G$2:$G$287,AI$1)&gt;0,1,"")</f>
        <v/>
      </c>
      <c r="AJ91" s="21" t="str">
        <f>IF(COUNTIFS(KPI_Element_Map!$A$2:$A$287,$A91,KPI_Element_Map!$G$2:$G$287,AJ$1)&gt;0,1,"")</f>
        <v/>
      </c>
      <c r="AK91" s="21" t="str">
        <f>IF(COUNTIFS(KPI_Element_Map!$A$2:$A$287,$A91,KPI_Element_Map!$G$2:$G$287,AK$1)&gt;0,1,"")</f>
        <v/>
      </c>
    </row>
    <row r="92" spans="1:37">
      <c r="A92" s="21">
        <v>91</v>
      </c>
      <c r="B92" s="23" t="str">
        <f>INDEX(KPI_Master!$B:$B,MATCH($A92,KPI_Master!$A:$A,0))</f>
        <v>NURC-13</v>
      </c>
      <c r="C92" s="23" t="str">
        <f>INDEX(KPI_Master!$D:$D,MATCH($A92,KPI_Master!$A:$A,0))</f>
        <v>Antipsychotic Medication Use Rate</v>
      </c>
      <c r="D92" s="23" t="str">
        <f>INDEX(KPI_Master!$K:$K,MATCH($A92,KPI_Master!$A:$A,0))</f>
        <v>2 - Standard</v>
      </c>
      <c r="E92" s="23" t="str">
        <f t="array" ref="E92">_xlfn.TEXTJOIN(", ",TRUE(),IF(KPI_Element_Map!$A$2:$A$287=$A92,KPI_Element_Map!$E$2:$E$287,""))</f>
        <v>E38, E39, E03</v>
      </c>
      <c r="F92" s="21">
        <f t="shared" si="2"/>
        <v>3</v>
      </c>
      <c r="G92" s="21">
        <f>IF(COUNTIFS(KPI_Element_Map!$A$2:$A$287,$A92,KPI_Element_Map!$G$2:$G$287,G$1)&gt;0,1,"")</f>
        <v>1</v>
      </c>
      <c r="H92" s="21" t="str">
        <f>IF(COUNTIFS(KPI_Element_Map!$A$2:$A$287,$A92,KPI_Element_Map!$G$2:$G$287,H$1)&gt;0,1,"")</f>
        <v/>
      </c>
      <c r="I92" s="21" t="str">
        <f>IF(COUNTIFS(KPI_Element_Map!$A$2:$A$287,$A92,KPI_Element_Map!$G$2:$G$287,I$1)&gt;0,1,"")</f>
        <v/>
      </c>
      <c r="J92" s="21" t="str">
        <f>IF(COUNTIFS(KPI_Element_Map!$A$2:$A$287,$A92,KPI_Element_Map!$G$2:$G$287,J$1)&gt;0,1,"")</f>
        <v/>
      </c>
      <c r="K92" s="21" t="str">
        <f>IF(COUNTIFS(KPI_Element_Map!$A$2:$A$287,$A92,KPI_Element_Map!$G$2:$G$287,K$1)&gt;0,1,"")</f>
        <v/>
      </c>
      <c r="L92" s="21" t="str">
        <f>IF(COUNTIFS(KPI_Element_Map!$A$2:$A$287,$A92,KPI_Element_Map!$G$2:$G$287,L$1)&gt;0,1,"")</f>
        <v/>
      </c>
      <c r="M92" s="21" t="str">
        <f>IF(COUNTIFS(KPI_Element_Map!$A$2:$A$287,$A92,KPI_Element_Map!$G$2:$G$287,M$1)&gt;0,1,"")</f>
        <v/>
      </c>
      <c r="N92" s="21" t="str">
        <f>IF(COUNTIFS(KPI_Element_Map!$A$2:$A$287,$A92,KPI_Element_Map!$G$2:$G$287,N$1)&gt;0,1,"")</f>
        <v/>
      </c>
      <c r="O92" s="21" t="str">
        <f>IF(COUNTIFS(KPI_Element_Map!$A$2:$A$287,$A92,KPI_Element_Map!$G$2:$G$287,O$1)&gt;0,1,"")</f>
        <v/>
      </c>
      <c r="P92" s="21" t="str">
        <f>IF(COUNTIFS(KPI_Element_Map!$A$2:$A$287,$A92,KPI_Element_Map!$G$2:$G$287,P$1)&gt;0,1,"")</f>
        <v/>
      </c>
      <c r="Q92" s="21" t="str">
        <f>IF(COUNTIFS(KPI_Element_Map!$A$2:$A$287,$A92,KPI_Element_Map!$G$2:$G$287,Q$1)&gt;0,1,"")</f>
        <v/>
      </c>
      <c r="R92" s="21" t="str">
        <f>IF(COUNTIFS(KPI_Element_Map!$A$2:$A$287,$A92,KPI_Element_Map!$G$2:$G$287,R$1)&gt;0,1,"")</f>
        <v/>
      </c>
      <c r="S92" s="21" t="str">
        <f>IF(COUNTIFS(KPI_Element_Map!$A$2:$A$287,$A92,KPI_Element_Map!$G$2:$G$287,S$1)&gt;0,1,"")</f>
        <v/>
      </c>
      <c r="T92" s="21">
        <f>IF(COUNTIFS(KPI_Element_Map!$A$2:$A$287,$A92,KPI_Element_Map!$G$2:$G$287,T$1)&gt;0,1,"")</f>
        <v>1</v>
      </c>
      <c r="U92" s="21">
        <f>IF(COUNTIFS(KPI_Element_Map!$A$2:$A$287,$A92,KPI_Element_Map!$G$2:$G$287,U$1)&gt;0,1,"")</f>
        <v>1</v>
      </c>
      <c r="V92" s="21" t="str">
        <f>IF(COUNTIFS(KPI_Element_Map!$A$2:$A$287,$A92,KPI_Element_Map!$G$2:$G$287,V$1)&gt;0,1,"")</f>
        <v/>
      </c>
      <c r="W92" s="21" t="str">
        <f>IF(COUNTIFS(KPI_Element_Map!$A$2:$A$287,$A92,KPI_Element_Map!$G$2:$G$287,W$1)&gt;0,1,"")</f>
        <v/>
      </c>
      <c r="X92" s="21" t="str">
        <f>IF(COUNTIFS(KPI_Element_Map!$A$2:$A$287,$A92,KPI_Element_Map!$G$2:$G$287,X$1)&gt;0,1,"")</f>
        <v/>
      </c>
      <c r="Y92" s="21" t="str">
        <f>IF(COUNTIFS(KPI_Element_Map!$A$2:$A$287,$A92,KPI_Element_Map!$G$2:$G$287,Y$1)&gt;0,1,"")</f>
        <v/>
      </c>
      <c r="Z92" s="21" t="str">
        <f>IF(COUNTIFS(KPI_Element_Map!$A$2:$A$287,$A92,KPI_Element_Map!$G$2:$G$287,Z$1)&gt;0,1,"")</f>
        <v/>
      </c>
      <c r="AA92" s="21" t="str">
        <f>IF(COUNTIFS(KPI_Element_Map!$A$2:$A$287,$A92,KPI_Element_Map!$G$2:$G$287,AA$1)&gt;0,1,"")</f>
        <v/>
      </c>
      <c r="AB92" s="21" t="str">
        <f>IF(COUNTIFS(KPI_Element_Map!$A$2:$A$287,$A92,KPI_Element_Map!$G$2:$G$287,AB$1)&gt;0,1,"")</f>
        <v/>
      </c>
      <c r="AC92" s="21" t="str">
        <f>IF(COUNTIFS(KPI_Element_Map!$A$2:$A$287,$A92,KPI_Element_Map!$G$2:$G$287,AC$1)&gt;0,1,"")</f>
        <v/>
      </c>
      <c r="AD92" s="21" t="str">
        <f>IF(COUNTIFS(KPI_Element_Map!$A$2:$A$287,$A92,KPI_Element_Map!$G$2:$G$287,AD$1)&gt;0,1,"")</f>
        <v/>
      </c>
      <c r="AE92" s="21" t="str">
        <f>IF(COUNTIFS(KPI_Element_Map!$A$2:$A$287,$A92,KPI_Element_Map!$G$2:$G$287,AE$1)&gt;0,1,"")</f>
        <v/>
      </c>
      <c r="AF92" s="21" t="str">
        <f>IF(COUNTIFS(KPI_Element_Map!$A$2:$A$287,$A92,KPI_Element_Map!$G$2:$G$287,AF$1)&gt;0,1,"")</f>
        <v/>
      </c>
      <c r="AG92" s="21" t="str">
        <f>IF(COUNTIFS(KPI_Element_Map!$A$2:$A$287,$A92,KPI_Element_Map!$G$2:$G$287,AG$1)&gt;0,1,"")</f>
        <v/>
      </c>
      <c r="AH92" s="21" t="str">
        <f>IF(COUNTIFS(KPI_Element_Map!$A$2:$A$287,$A92,KPI_Element_Map!$G$2:$G$287,AH$1)&gt;0,1,"")</f>
        <v/>
      </c>
      <c r="AI92" s="21" t="str">
        <f>IF(COUNTIFS(KPI_Element_Map!$A$2:$A$287,$A92,KPI_Element_Map!$G$2:$G$287,AI$1)&gt;0,1,"")</f>
        <v/>
      </c>
      <c r="AJ92" s="21" t="str">
        <f>IF(COUNTIFS(KPI_Element_Map!$A$2:$A$287,$A92,KPI_Element_Map!$G$2:$G$287,AJ$1)&gt;0,1,"")</f>
        <v/>
      </c>
      <c r="AK92" s="21" t="str">
        <f>IF(COUNTIFS(KPI_Element_Map!$A$2:$A$287,$A92,KPI_Element_Map!$G$2:$G$287,AK$1)&gt;0,1,"")</f>
        <v/>
      </c>
    </row>
    <row r="93" spans="1:37">
      <c r="A93" s="21">
        <v>92</v>
      </c>
      <c r="B93" s="23" t="str">
        <f>INDEX(KPI_Master!$B:$B,MATCH($A93,KPI_Master!$A:$A,0))</f>
        <v>NURC-14</v>
      </c>
      <c r="C93" s="23" t="str">
        <f>INDEX(KPI_Master!$D:$D,MATCH($A93,KPI_Master!$A:$A,0))</f>
        <v>Care Plan Timeliness Compliance</v>
      </c>
      <c r="D93" s="23" t="str">
        <f>INDEX(KPI_Master!$K:$K,MATCH($A93,KPI_Master!$A:$A,0))</f>
        <v>2 - Standard</v>
      </c>
      <c r="E93" s="23" t="str">
        <f t="array" ref="E93">_xlfn.TEXTJOIN(", ",TRUE(),IF(KPI_Element_Map!$A$2:$A$287=$A93,KPI_Element_Map!$E$2:$E$287,""))</f>
        <v>E40</v>
      </c>
      <c r="F93" s="21">
        <f t="shared" si="2"/>
        <v>1</v>
      </c>
      <c r="G93" s="21" t="str">
        <f>IF(COUNTIFS(KPI_Element_Map!$A$2:$A$287,$A93,KPI_Element_Map!$G$2:$G$287,G$1)&gt;0,1,"")</f>
        <v/>
      </c>
      <c r="H93" s="21" t="str">
        <f>IF(COUNTIFS(KPI_Element_Map!$A$2:$A$287,$A93,KPI_Element_Map!$G$2:$G$287,H$1)&gt;0,1,"")</f>
        <v/>
      </c>
      <c r="I93" s="21" t="str">
        <f>IF(COUNTIFS(KPI_Element_Map!$A$2:$A$287,$A93,KPI_Element_Map!$G$2:$G$287,I$1)&gt;0,1,"")</f>
        <v/>
      </c>
      <c r="J93" s="21" t="str">
        <f>IF(COUNTIFS(KPI_Element_Map!$A$2:$A$287,$A93,KPI_Element_Map!$G$2:$G$287,J$1)&gt;0,1,"")</f>
        <v/>
      </c>
      <c r="K93" s="21" t="str">
        <f>IF(COUNTIFS(KPI_Element_Map!$A$2:$A$287,$A93,KPI_Element_Map!$G$2:$G$287,K$1)&gt;0,1,"")</f>
        <v/>
      </c>
      <c r="L93" s="21" t="str">
        <f>IF(COUNTIFS(KPI_Element_Map!$A$2:$A$287,$A93,KPI_Element_Map!$G$2:$G$287,L$1)&gt;0,1,"")</f>
        <v/>
      </c>
      <c r="M93" s="21" t="str">
        <f>IF(COUNTIFS(KPI_Element_Map!$A$2:$A$287,$A93,KPI_Element_Map!$G$2:$G$287,M$1)&gt;0,1,"")</f>
        <v/>
      </c>
      <c r="N93" s="21" t="str">
        <f>IF(COUNTIFS(KPI_Element_Map!$A$2:$A$287,$A93,KPI_Element_Map!$G$2:$G$287,N$1)&gt;0,1,"")</f>
        <v/>
      </c>
      <c r="O93" s="21" t="str">
        <f>IF(COUNTIFS(KPI_Element_Map!$A$2:$A$287,$A93,KPI_Element_Map!$G$2:$G$287,O$1)&gt;0,1,"")</f>
        <v/>
      </c>
      <c r="P93" s="21" t="str">
        <f>IF(COUNTIFS(KPI_Element_Map!$A$2:$A$287,$A93,KPI_Element_Map!$G$2:$G$287,P$1)&gt;0,1,"")</f>
        <v/>
      </c>
      <c r="Q93" s="21" t="str">
        <f>IF(COUNTIFS(KPI_Element_Map!$A$2:$A$287,$A93,KPI_Element_Map!$G$2:$G$287,Q$1)&gt;0,1,"")</f>
        <v/>
      </c>
      <c r="R93" s="21" t="str">
        <f>IF(COUNTIFS(KPI_Element_Map!$A$2:$A$287,$A93,KPI_Element_Map!$G$2:$G$287,R$1)&gt;0,1,"")</f>
        <v/>
      </c>
      <c r="S93" s="21" t="str">
        <f>IF(COUNTIFS(KPI_Element_Map!$A$2:$A$287,$A93,KPI_Element_Map!$G$2:$G$287,S$1)&gt;0,1,"")</f>
        <v/>
      </c>
      <c r="T93" s="21" t="str">
        <f>IF(COUNTIFS(KPI_Element_Map!$A$2:$A$287,$A93,KPI_Element_Map!$G$2:$G$287,T$1)&gt;0,1,"")</f>
        <v/>
      </c>
      <c r="U93" s="21">
        <f>IF(COUNTIFS(KPI_Element_Map!$A$2:$A$287,$A93,KPI_Element_Map!$G$2:$G$287,U$1)&gt;0,1,"")</f>
        <v>1</v>
      </c>
      <c r="V93" s="21" t="str">
        <f>IF(COUNTIFS(KPI_Element_Map!$A$2:$A$287,$A93,KPI_Element_Map!$G$2:$G$287,V$1)&gt;0,1,"")</f>
        <v/>
      </c>
      <c r="W93" s="21" t="str">
        <f>IF(COUNTIFS(KPI_Element_Map!$A$2:$A$287,$A93,KPI_Element_Map!$G$2:$G$287,W$1)&gt;0,1,"")</f>
        <v/>
      </c>
      <c r="X93" s="21" t="str">
        <f>IF(COUNTIFS(KPI_Element_Map!$A$2:$A$287,$A93,KPI_Element_Map!$G$2:$G$287,X$1)&gt;0,1,"")</f>
        <v/>
      </c>
      <c r="Y93" s="21" t="str">
        <f>IF(COUNTIFS(KPI_Element_Map!$A$2:$A$287,$A93,KPI_Element_Map!$G$2:$G$287,Y$1)&gt;0,1,"")</f>
        <v/>
      </c>
      <c r="Z93" s="21" t="str">
        <f>IF(COUNTIFS(KPI_Element_Map!$A$2:$A$287,$A93,KPI_Element_Map!$G$2:$G$287,Z$1)&gt;0,1,"")</f>
        <v/>
      </c>
      <c r="AA93" s="21" t="str">
        <f>IF(COUNTIFS(KPI_Element_Map!$A$2:$A$287,$A93,KPI_Element_Map!$G$2:$G$287,AA$1)&gt;0,1,"")</f>
        <v/>
      </c>
      <c r="AB93" s="21" t="str">
        <f>IF(COUNTIFS(KPI_Element_Map!$A$2:$A$287,$A93,KPI_Element_Map!$G$2:$G$287,AB$1)&gt;0,1,"")</f>
        <v/>
      </c>
      <c r="AC93" s="21" t="str">
        <f>IF(COUNTIFS(KPI_Element_Map!$A$2:$A$287,$A93,KPI_Element_Map!$G$2:$G$287,AC$1)&gt;0,1,"")</f>
        <v/>
      </c>
      <c r="AD93" s="21" t="str">
        <f>IF(COUNTIFS(KPI_Element_Map!$A$2:$A$287,$A93,KPI_Element_Map!$G$2:$G$287,AD$1)&gt;0,1,"")</f>
        <v/>
      </c>
      <c r="AE93" s="21" t="str">
        <f>IF(COUNTIFS(KPI_Element_Map!$A$2:$A$287,$A93,KPI_Element_Map!$G$2:$G$287,AE$1)&gt;0,1,"")</f>
        <v/>
      </c>
      <c r="AF93" s="21" t="str">
        <f>IF(COUNTIFS(KPI_Element_Map!$A$2:$A$287,$A93,KPI_Element_Map!$G$2:$G$287,AF$1)&gt;0,1,"")</f>
        <v/>
      </c>
      <c r="AG93" s="21" t="str">
        <f>IF(COUNTIFS(KPI_Element_Map!$A$2:$A$287,$A93,KPI_Element_Map!$G$2:$G$287,AG$1)&gt;0,1,"")</f>
        <v/>
      </c>
      <c r="AH93" s="21" t="str">
        <f>IF(COUNTIFS(KPI_Element_Map!$A$2:$A$287,$A93,KPI_Element_Map!$G$2:$G$287,AH$1)&gt;0,1,"")</f>
        <v/>
      </c>
      <c r="AI93" s="21" t="str">
        <f>IF(COUNTIFS(KPI_Element_Map!$A$2:$A$287,$A93,KPI_Element_Map!$G$2:$G$287,AI$1)&gt;0,1,"")</f>
        <v/>
      </c>
      <c r="AJ93" s="21" t="str">
        <f>IF(COUNTIFS(KPI_Element_Map!$A$2:$A$287,$A93,KPI_Element_Map!$G$2:$G$287,AJ$1)&gt;0,1,"")</f>
        <v/>
      </c>
      <c r="AK93" s="21" t="str">
        <f>IF(COUNTIFS(KPI_Element_Map!$A$2:$A$287,$A93,KPI_Element_Map!$G$2:$G$287,AK$1)&gt;0,1,"")</f>
        <v/>
      </c>
    </row>
    <row r="94" spans="1:37">
      <c r="A94" s="21">
        <v>93</v>
      </c>
      <c r="B94" s="23" t="str">
        <f>INDEX(KPI_Master!$B:$B,MATCH($A94,KPI_Master!$A:$A,0))</f>
        <v>NURC-15</v>
      </c>
      <c r="C94" s="23" t="str">
        <f>INDEX(KPI_Master!$D:$D,MATCH($A94,KPI_Master!$A:$A,0))</f>
        <v>Assessment Completion Rate (MDS / Service Plan)</v>
      </c>
      <c r="D94" s="23" t="str">
        <f>INDEX(KPI_Master!$K:$K,MATCH($A94,KPI_Master!$A:$A,0))</f>
        <v>2 - Standard</v>
      </c>
      <c r="E94" s="23" t="str">
        <f t="array" ref="E94">_xlfn.TEXTJOIN(", ",TRUE(),IF(KPI_Element_Map!$A$2:$A$287=$A94,KPI_Element_Map!$E$2:$E$287,""))</f>
        <v>E40</v>
      </c>
      <c r="F94" s="21">
        <f t="shared" si="2"/>
        <v>1</v>
      </c>
      <c r="G94" s="21" t="str">
        <f>IF(COUNTIFS(KPI_Element_Map!$A$2:$A$287,$A94,KPI_Element_Map!$G$2:$G$287,G$1)&gt;0,1,"")</f>
        <v/>
      </c>
      <c r="H94" s="21" t="str">
        <f>IF(COUNTIFS(KPI_Element_Map!$A$2:$A$287,$A94,KPI_Element_Map!$G$2:$G$287,H$1)&gt;0,1,"")</f>
        <v/>
      </c>
      <c r="I94" s="21" t="str">
        <f>IF(COUNTIFS(KPI_Element_Map!$A$2:$A$287,$A94,KPI_Element_Map!$G$2:$G$287,I$1)&gt;0,1,"")</f>
        <v/>
      </c>
      <c r="J94" s="21" t="str">
        <f>IF(COUNTIFS(KPI_Element_Map!$A$2:$A$287,$A94,KPI_Element_Map!$G$2:$G$287,J$1)&gt;0,1,"")</f>
        <v/>
      </c>
      <c r="K94" s="21" t="str">
        <f>IF(COUNTIFS(KPI_Element_Map!$A$2:$A$287,$A94,KPI_Element_Map!$G$2:$G$287,K$1)&gt;0,1,"")</f>
        <v/>
      </c>
      <c r="L94" s="21" t="str">
        <f>IF(COUNTIFS(KPI_Element_Map!$A$2:$A$287,$A94,KPI_Element_Map!$G$2:$G$287,L$1)&gt;0,1,"")</f>
        <v/>
      </c>
      <c r="M94" s="21" t="str">
        <f>IF(COUNTIFS(KPI_Element_Map!$A$2:$A$287,$A94,KPI_Element_Map!$G$2:$G$287,M$1)&gt;0,1,"")</f>
        <v/>
      </c>
      <c r="N94" s="21" t="str">
        <f>IF(COUNTIFS(KPI_Element_Map!$A$2:$A$287,$A94,KPI_Element_Map!$G$2:$G$287,N$1)&gt;0,1,"")</f>
        <v/>
      </c>
      <c r="O94" s="21" t="str">
        <f>IF(COUNTIFS(KPI_Element_Map!$A$2:$A$287,$A94,KPI_Element_Map!$G$2:$G$287,O$1)&gt;0,1,"")</f>
        <v/>
      </c>
      <c r="P94" s="21" t="str">
        <f>IF(COUNTIFS(KPI_Element_Map!$A$2:$A$287,$A94,KPI_Element_Map!$G$2:$G$287,P$1)&gt;0,1,"")</f>
        <v/>
      </c>
      <c r="Q94" s="21" t="str">
        <f>IF(COUNTIFS(KPI_Element_Map!$A$2:$A$287,$A94,KPI_Element_Map!$G$2:$G$287,Q$1)&gt;0,1,"")</f>
        <v/>
      </c>
      <c r="R94" s="21" t="str">
        <f>IF(COUNTIFS(KPI_Element_Map!$A$2:$A$287,$A94,KPI_Element_Map!$G$2:$G$287,R$1)&gt;0,1,"")</f>
        <v/>
      </c>
      <c r="S94" s="21" t="str">
        <f>IF(COUNTIFS(KPI_Element_Map!$A$2:$A$287,$A94,KPI_Element_Map!$G$2:$G$287,S$1)&gt;0,1,"")</f>
        <v/>
      </c>
      <c r="T94" s="21" t="str">
        <f>IF(COUNTIFS(KPI_Element_Map!$A$2:$A$287,$A94,KPI_Element_Map!$G$2:$G$287,T$1)&gt;0,1,"")</f>
        <v/>
      </c>
      <c r="U94" s="21">
        <f>IF(COUNTIFS(KPI_Element_Map!$A$2:$A$287,$A94,KPI_Element_Map!$G$2:$G$287,U$1)&gt;0,1,"")</f>
        <v>1</v>
      </c>
      <c r="V94" s="21" t="str">
        <f>IF(COUNTIFS(KPI_Element_Map!$A$2:$A$287,$A94,KPI_Element_Map!$G$2:$G$287,V$1)&gt;0,1,"")</f>
        <v/>
      </c>
      <c r="W94" s="21" t="str">
        <f>IF(COUNTIFS(KPI_Element_Map!$A$2:$A$287,$A94,KPI_Element_Map!$G$2:$G$287,W$1)&gt;0,1,"")</f>
        <v/>
      </c>
      <c r="X94" s="21" t="str">
        <f>IF(COUNTIFS(KPI_Element_Map!$A$2:$A$287,$A94,KPI_Element_Map!$G$2:$G$287,X$1)&gt;0,1,"")</f>
        <v/>
      </c>
      <c r="Y94" s="21" t="str">
        <f>IF(COUNTIFS(KPI_Element_Map!$A$2:$A$287,$A94,KPI_Element_Map!$G$2:$G$287,Y$1)&gt;0,1,"")</f>
        <v/>
      </c>
      <c r="Z94" s="21" t="str">
        <f>IF(COUNTIFS(KPI_Element_Map!$A$2:$A$287,$A94,KPI_Element_Map!$G$2:$G$287,Z$1)&gt;0,1,"")</f>
        <v/>
      </c>
      <c r="AA94" s="21" t="str">
        <f>IF(COUNTIFS(KPI_Element_Map!$A$2:$A$287,$A94,KPI_Element_Map!$G$2:$G$287,AA$1)&gt;0,1,"")</f>
        <v/>
      </c>
      <c r="AB94" s="21" t="str">
        <f>IF(COUNTIFS(KPI_Element_Map!$A$2:$A$287,$A94,KPI_Element_Map!$G$2:$G$287,AB$1)&gt;0,1,"")</f>
        <v/>
      </c>
      <c r="AC94" s="21" t="str">
        <f>IF(COUNTIFS(KPI_Element_Map!$A$2:$A$287,$A94,KPI_Element_Map!$G$2:$G$287,AC$1)&gt;0,1,"")</f>
        <v/>
      </c>
      <c r="AD94" s="21" t="str">
        <f>IF(COUNTIFS(KPI_Element_Map!$A$2:$A$287,$A94,KPI_Element_Map!$G$2:$G$287,AD$1)&gt;0,1,"")</f>
        <v/>
      </c>
      <c r="AE94" s="21" t="str">
        <f>IF(COUNTIFS(KPI_Element_Map!$A$2:$A$287,$A94,KPI_Element_Map!$G$2:$G$287,AE$1)&gt;0,1,"")</f>
        <v/>
      </c>
      <c r="AF94" s="21" t="str">
        <f>IF(COUNTIFS(KPI_Element_Map!$A$2:$A$287,$A94,KPI_Element_Map!$G$2:$G$287,AF$1)&gt;0,1,"")</f>
        <v/>
      </c>
      <c r="AG94" s="21" t="str">
        <f>IF(COUNTIFS(KPI_Element_Map!$A$2:$A$287,$A94,KPI_Element_Map!$G$2:$G$287,AG$1)&gt;0,1,"")</f>
        <v/>
      </c>
      <c r="AH94" s="21" t="str">
        <f>IF(COUNTIFS(KPI_Element_Map!$A$2:$A$287,$A94,KPI_Element_Map!$G$2:$G$287,AH$1)&gt;0,1,"")</f>
        <v/>
      </c>
      <c r="AI94" s="21" t="str">
        <f>IF(COUNTIFS(KPI_Element_Map!$A$2:$A$287,$A94,KPI_Element_Map!$G$2:$G$287,AI$1)&gt;0,1,"")</f>
        <v/>
      </c>
      <c r="AJ94" s="21" t="str">
        <f>IF(COUNTIFS(KPI_Element_Map!$A$2:$A$287,$A94,KPI_Element_Map!$G$2:$G$287,AJ$1)&gt;0,1,"")</f>
        <v/>
      </c>
      <c r="AK94" s="21" t="str">
        <f>IF(COUNTIFS(KPI_Element_Map!$A$2:$A$287,$A94,KPI_Element_Map!$G$2:$G$287,AK$1)&gt;0,1,"")</f>
        <v/>
      </c>
    </row>
    <row r="95" spans="1:37">
      <c r="A95" s="21">
        <v>94</v>
      </c>
      <c r="B95" s="23" t="str">
        <f>INDEX(KPI_Master!$B:$B,MATCH($A95,KPI_Master!$A:$A,0))</f>
        <v>NURC-16</v>
      </c>
      <c r="C95" s="23" t="str">
        <f>INDEX(KPI_Master!$D:$D,MATCH($A95,KPI_Master!$A:$A,0))</f>
        <v>Average Acuity Score per Resident</v>
      </c>
      <c r="D95" s="23" t="str">
        <f>INDEX(KPI_Master!$K:$K,MATCH($A95,KPI_Master!$A:$A,0))</f>
        <v>3 - Optional</v>
      </c>
      <c r="E95" s="23" t="str">
        <f t="array" ref="E95">_xlfn.TEXTJOIN(", ",TRUE(),IF(KPI_Element_Map!$A$2:$A$287=$A95,KPI_Element_Map!$E$2:$E$287,""))</f>
        <v>E39, E03</v>
      </c>
      <c r="F95" s="21">
        <f t="shared" si="2"/>
        <v>2</v>
      </c>
      <c r="G95" s="21">
        <f>IF(COUNTIFS(KPI_Element_Map!$A$2:$A$287,$A95,KPI_Element_Map!$G$2:$G$287,G$1)&gt;0,1,"")</f>
        <v>1</v>
      </c>
      <c r="H95" s="21" t="str">
        <f>IF(COUNTIFS(KPI_Element_Map!$A$2:$A$287,$A95,KPI_Element_Map!$G$2:$G$287,H$1)&gt;0,1,"")</f>
        <v/>
      </c>
      <c r="I95" s="21" t="str">
        <f>IF(COUNTIFS(KPI_Element_Map!$A$2:$A$287,$A95,KPI_Element_Map!$G$2:$G$287,I$1)&gt;0,1,"")</f>
        <v/>
      </c>
      <c r="J95" s="21" t="str">
        <f>IF(COUNTIFS(KPI_Element_Map!$A$2:$A$287,$A95,KPI_Element_Map!$G$2:$G$287,J$1)&gt;0,1,"")</f>
        <v/>
      </c>
      <c r="K95" s="21" t="str">
        <f>IF(COUNTIFS(KPI_Element_Map!$A$2:$A$287,$A95,KPI_Element_Map!$G$2:$G$287,K$1)&gt;0,1,"")</f>
        <v/>
      </c>
      <c r="L95" s="21" t="str">
        <f>IF(COUNTIFS(KPI_Element_Map!$A$2:$A$287,$A95,KPI_Element_Map!$G$2:$G$287,L$1)&gt;0,1,"")</f>
        <v/>
      </c>
      <c r="M95" s="21" t="str">
        <f>IF(COUNTIFS(KPI_Element_Map!$A$2:$A$287,$A95,KPI_Element_Map!$G$2:$G$287,M$1)&gt;0,1,"")</f>
        <v/>
      </c>
      <c r="N95" s="21" t="str">
        <f>IF(COUNTIFS(KPI_Element_Map!$A$2:$A$287,$A95,KPI_Element_Map!$G$2:$G$287,N$1)&gt;0,1,"")</f>
        <v/>
      </c>
      <c r="O95" s="21" t="str">
        <f>IF(COUNTIFS(KPI_Element_Map!$A$2:$A$287,$A95,KPI_Element_Map!$G$2:$G$287,O$1)&gt;0,1,"")</f>
        <v/>
      </c>
      <c r="P95" s="21" t="str">
        <f>IF(COUNTIFS(KPI_Element_Map!$A$2:$A$287,$A95,KPI_Element_Map!$G$2:$G$287,P$1)&gt;0,1,"")</f>
        <v/>
      </c>
      <c r="Q95" s="21" t="str">
        <f>IF(COUNTIFS(KPI_Element_Map!$A$2:$A$287,$A95,KPI_Element_Map!$G$2:$G$287,Q$1)&gt;0,1,"")</f>
        <v/>
      </c>
      <c r="R95" s="21" t="str">
        <f>IF(COUNTIFS(KPI_Element_Map!$A$2:$A$287,$A95,KPI_Element_Map!$G$2:$G$287,R$1)&gt;0,1,"")</f>
        <v/>
      </c>
      <c r="S95" s="21" t="str">
        <f>IF(COUNTIFS(KPI_Element_Map!$A$2:$A$287,$A95,KPI_Element_Map!$G$2:$G$287,S$1)&gt;0,1,"")</f>
        <v/>
      </c>
      <c r="T95" s="21" t="str">
        <f>IF(COUNTIFS(KPI_Element_Map!$A$2:$A$287,$A95,KPI_Element_Map!$G$2:$G$287,T$1)&gt;0,1,"")</f>
        <v/>
      </c>
      <c r="U95" s="21">
        <f>IF(COUNTIFS(KPI_Element_Map!$A$2:$A$287,$A95,KPI_Element_Map!$G$2:$G$287,U$1)&gt;0,1,"")</f>
        <v>1</v>
      </c>
      <c r="V95" s="21" t="str">
        <f>IF(COUNTIFS(KPI_Element_Map!$A$2:$A$287,$A95,KPI_Element_Map!$G$2:$G$287,V$1)&gt;0,1,"")</f>
        <v/>
      </c>
      <c r="W95" s="21" t="str">
        <f>IF(COUNTIFS(KPI_Element_Map!$A$2:$A$287,$A95,KPI_Element_Map!$G$2:$G$287,W$1)&gt;0,1,"")</f>
        <v/>
      </c>
      <c r="X95" s="21" t="str">
        <f>IF(COUNTIFS(KPI_Element_Map!$A$2:$A$287,$A95,KPI_Element_Map!$G$2:$G$287,X$1)&gt;0,1,"")</f>
        <v/>
      </c>
      <c r="Y95" s="21" t="str">
        <f>IF(COUNTIFS(KPI_Element_Map!$A$2:$A$287,$A95,KPI_Element_Map!$G$2:$G$287,Y$1)&gt;0,1,"")</f>
        <v/>
      </c>
      <c r="Z95" s="21" t="str">
        <f>IF(COUNTIFS(KPI_Element_Map!$A$2:$A$287,$A95,KPI_Element_Map!$G$2:$G$287,Z$1)&gt;0,1,"")</f>
        <v/>
      </c>
      <c r="AA95" s="21" t="str">
        <f>IF(COUNTIFS(KPI_Element_Map!$A$2:$A$287,$A95,KPI_Element_Map!$G$2:$G$287,AA$1)&gt;0,1,"")</f>
        <v/>
      </c>
      <c r="AB95" s="21" t="str">
        <f>IF(COUNTIFS(KPI_Element_Map!$A$2:$A$287,$A95,KPI_Element_Map!$G$2:$G$287,AB$1)&gt;0,1,"")</f>
        <v/>
      </c>
      <c r="AC95" s="21" t="str">
        <f>IF(COUNTIFS(KPI_Element_Map!$A$2:$A$287,$A95,KPI_Element_Map!$G$2:$G$287,AC$1)&gt;0,1,"")</f>
        <v/>
      </c>
      <c r="AD95" s="21" t="str">
        <f>IF(COUNTIFS(KPI_Element_Map!$A$2:$A$287,$A95,KPI_Element_Map!$G$2:$G$287,AD$1)&gt;0,1,"")</f>
        <v/>
      </c>
      <c r="AE95" s="21" t="str">
        <f>IF(COUNTIFS(KPI_Element_Map!$A$2:$A$287,$A95,KPI_Element_Map!$G$2:$G$287,AE$1)&gt;0,1,"")</f>
        <v/>
      </c>
      <c r="AF95" s="21" t="str">
        <f>IF(COUNTIFS(KPI_Element_Map!$A$2:$A$287,$A95,KPI_Element_Map!$G$2:$G$287,AF$1)&gt;0,1,"")</f>
        <v/>
      </c>
      <c r="AG95" s="21" t="str">
        <f>IF(COUNTIFS(KPI_Element_Map!$A$2:$A$287,$A95,KPI_Element_Map!$G$2:$G$287,AG$1)&gt;0,1,"")</f>
        <v/>
      </c>
      <c r="AH95" s="21" t="str">
        <f>IF(COUNTIFS(KPI_Element_Map!$A$2:$A$287,$A95,KPI_Element_Map!$G$2:$G$287,AH$1)&gt;0,1,"")</f>
        <v/>
      </c>
      <c r="AI95" s="21" t="str">
        <f>IF(COUNTIFS(KPI_Element_Map!$A$2:$A$287,$A95,KPI_Element_Map!$G$2:$G$287,AI$1)&gt;0,1,"")</f>
        <v/>
      </c>
      <c r="AJ95" s="21" t="str">
        <f>IF(COUNTIFS(KPI_Element_Map!$A$2:$A$287,$A95,KPI_Element_Map!$G$2:$G$287,AJ$1)&gt;0,1,"")</f>
        <v/>
      </c>
      <c r="AK95" s="21" t="str">
        <f>IF(COUNTIFS(KPI_Element_Map!$A$2:$A$287,$A95,KPI_Element_Map!$G$2:$G$287,AK$1)&gt;0,1,"")</f>
        <v/>
      </c>
    </row>
    <row r="96" spans="1:37">
      <c r="A96" s="21">
        <v>95</v>
      </c>
      <c r="B96" s="23" t="str">
        <f>INDEX(KPI_Master!$B:$B,MATCH($A96,KPI_Master!$A:$A,0))</f>
        <v>NURC-17</v>
      </c>
      <c r="C96" s="23" t="str">
        <f>INDEX(KPI_Master!$D:$D,MATCH($A96,KPI_Master!$A:$A,0))</f>
        <v>Nursing Hours per Resident Day (HPRD)</v>
      </c>
      <c r="D96" s="23" t="str">
        <f>INDEX(KPI_Master!$K:$K,MATCH($A96,KPI_Master!$A:$A,0))</f>
        <v>1 - Core</v>
      </c>
      <c r="E96" s="23" t="str">
        <f t="array" ref="E96">_xlfn.TEXTJOIN(", ",TRUE(),IF(KPI_Element_Map!$A$2:$A$287=$A96,KPI_Element_Map!$E$2:$E$287,""))</f>
        <v>E26, E01</v>
      </c>
      <c r="F96" s="21">
        <f t="shared" si="2"/>
        <v>2</v>
      </c>
      <c r="G96" s="21">
        <f>IF(COUNTIFS(KPI_Element_Map!$A$2:$A$287,$A96,KPI_Element_Map!$G$2:$G$287,G$1)&gt;0,1,"")</f>
        <v>1</v>
      </c>
      <c r="H96" s="21" t="str">
        <f>IF(COUNTIFS(KPI_Element_Map!$A$2:$A$287,$A96,KPI_Element_Map!$G$2:$G$287,H$1)&gt;0,1,"")</f>
        <v/>
      </c>
      <c r="I96" s="21" t="str">
        <f>IF(COUNTIFS(KPI_Element_Map!$A$2:$A$287,$A96,KPI_Element_Map!$G$2:$G$287,I$1)&gt;0,1,"")</f>
        <v/>
      </c>
      <c r="J96" s="21" t="str">
        <f>IF(COUNTIFS(KPI_Element_Map!$A$2:$A$287,$A96,KPI_Element_Map!$G$2:$G$287,J$1)&gt;0,1,"")</f>
        <v/>
      </c>
      <c r="K96" s="21" t="str">
        <f>IF(COUNTIFS(KPI_Element_Map!$A$2:$A$287,$A96,KPI_Element_Map!$G$2:$G$287,K$1)&gt;0,1,"")</f>
        <v/>
      </c>
      <c r="L96" s="21">
        <f>IF(COUNTIFS(KPI_Element_Map!$A$2:$A$287,$A96,KPI_Element_Map!$G$2:$G$287,L$1)&gt;0,1,"")</f>
        <v>1</v>
      </c>
      <c r="M96" s="21" t="str">
        <f>IF(COUNTIFS(KPI_Element_Map!$A$2:$A$287,$A96,KPI_Element_Map!$G$2:$G$287,M$1)&gt;0,1,"")</f>
        <v/>
      </c>
      <c r="N96" s="21" t="str">
        <f>IF(COUNTIFS(KPI_Element_Map!$A$2:$A$287,$A96,KPI_Element_Map!$G$2:$G$287,N$1)&gt;0,1,"")</f>
        <v/>
      </c>
      <c r="O96" s="21" t="str">
        <f>IF(COUNTIFS(KPI_Element_Map!$A$2:$A$287,$A96,KPI_Element_Map!$G$2:$G$287,O$1)&gt;0,1,"")</f>
        <v/>
      </c>
      <c r="P96" s="21" t="str">
        <f>IF(COUNTIFS(KPI_Element_Map!$A$2:$A$287,$A96,KPI_Element_Map!$G$2:$G$287,P$1)&gt;0,1,"")</f>
        <v/>
      </c>
      <c r="Q96" s="21" t="str">
        <f>IF(COUNTIFS(KPI_Element_Map!$A$2:$A$287,$A96,KPI_Element_Map!$G$2:$G$287,Q$1)&gt;0,1,"")</f>
        <v/>
      </c>
      <c r="R96" s="21" t="str">
        <f>IF(COUNTIFS(KPI_Element_Map!$A$2:$A$287,$A96,KPI_Element_Map!$G$2:$G$287,R$1)&gt;0,1,"")</f>
        <v/>
      </c>
      <c r="S96" s="21" t="str">
        <f>IF(COUNTIFS(KPI_Element_Map!$A$2:$A$287,$A96,KPI_Element_Map!$G$2:$G$287,S$1)&gt;0,1,"")</f>
        <v/>
      </c>
      <c r="T96" s="21" t="str">
        <f>IF(COUNTIFS(KPI_Element_Map!$A$2:$A$287,$A96,KPI_Element_Map!$G$2:$G$287,T$1)&gt;0,1,"")</f>
        <v/>
      </c>
      <c r="U96" s="21" t="str">
        <f>IF(COUNTIFS(KPI_Element_Map!$A$2:$A$287,$A96,KPI_Element_Map!$G$2:$G$287,U$1)&gt;0,1,"")</f>
        <v/>
      </c>
      <c r="V96" s="21" t="str">
        <f>IF(COUNTIFS(KPI_Element_Map!$A$2:$A$287,$A96,KPI_Element_Map!$G$2:$G$287,V$1)&gt;0,1,"")</f>
        <v/>
      </c>
      <c r="W96" s="21" t="str">
        <f>IF(COUNTIFS(KPI_Element_Map!$A$2:$A$287,$A96,KPI_Element_Map!$G$2:$G$287,W$1)&gt;0,1,"")</f>
        <v/>
      </c>
      <c r="X96" s="21" t="str">
        <f>IF(COUNTIFS(KPI_Element_Map!$A$2:$A$287,$A96,KPI_Element_Map!$G$2:$G$287,X$1)&gt;0,1,"")</f>
        <v/>
      </c>
      <c r="Y96" s="21" t="str">
        <f>IF(COUNTIFS(KPI_Element_Map!$A$2:$A$287,$A96,KPI_Element_Map!$G$2:$G$287,Y$1)&gt;0,1,"")</f>
        <v/>
      </c>
      <c r="Z96" s="21" t="str">
        <f>IF(COUNTIFS(KPI_Element_Map!$A$2:$A$287,$A96,KPI_Element_Map!$G$2:$G$287,Z$1)&gt;0,1,"")</f>
        <v/>
      </c>
      <c r="AA96" s="21" t="str">
        <f>IF(COUNTIFS(KPI_Element_Map!$A$2:$A$287,$A96,KPI_Element_Map!$G$2:$G$287,AA$1)&gt;0,1,"")</f>
        <v/>
      </c>
      <c r="AB96" s="21" t="str">
        <f>IF(COUNTIFS(KPI_Element_Map!$A$2:$A$287,$A96,KPI_Element_Map!$G$2:$G$287,AB$1)&gt;0,1,"")</f>
        <v/>
      </c>
      <c r="AC96" s="21" t="str">
        <f>IF(COUNTIFS(KPI_Element_Map!$A$2:$A$287,$A96,KPI_Element_Map!$G$2:$G$287,AC$1)&gt;0,1,"")</f>
        <v/>
      </c>
      <c r="AD96" s="21" t="str">
        <f>IF(COUNTIFS(KPI_Element_Map!$A$2:$A$287,$A96,KPI_Element_Map!$G$2:$G$287,AD$1)&gt;0,1,"")</f>
        <v/>
      </c>
      <c r="AE96" s="21" t="str">
        <f>IF(COUNTIFS(KPI_Element_Map!$A$2:$A$287,$A96,KPI_Element_Map!$G$2:$G$287,AE$1)&gt;0,1,"")</f>
        <v/>
      </c>
      <c r="AF96" s="21" t="str">
        <f>IF(COUNTIFS(KPI_Element_Map!$A$2:$A$287,$A96,KPI_Element_Map!$G$2:$G$287,AF$1)&gt;0,1,"")</f>
        <v/>
      </c>
      <c r="AG96" s="21" t="str">
        <f>IF(COUNTIFS(KPI_Element_Map!$A$2:$A$287,$A96,KPI_Element_Map!$G$2:$G$287,AG$1)&gt;0,1,"")</f>
        <v/>
      </c>
      <c r="AH96" s="21" t="str">
        <f>IF(COUNTIFS(KPI_Element_Map!$A$2:$A$287,$A96,KPI_Element_Map!$G$2:$G$287,AH$1)&gt;0,1,"")</f>
        <v/>
      </c>
      <c r="AI96" s="21" t="str">
        <f>IF(COUNTIFS(KPI_Element_Map!$A$2:$A$287,$A96,KPI_Element_Map!$G$2:$G$287,AI$1)&gt;0,1,"")</f>
        <v/>
      </c>
      <c r="AJ96" s="21" t="str">
        <f>IF(COUNTIFS(KPI_Element_Map!$A$2:$A$287,$A96,KPI_Element_Map!$G$2:$G$287,AJ$1)&gt;0,1,"")</f>
        <v/>
      </c>
      <c r="AK96" s="21" t="str">
        <f>IF(COUNTIFS(KPI_Element_Map!$A$2:$A$287,$A96,KPI_Element_Map!$G$2:$G$287,AK$1)&gt;0,1,"")</f>
        <v/>
      </c>
    </row>
    <row r="97" spans="1:37">
      <c r="A97" s="21">
        <v>96</v>
      </c>
      <c r="B97" s="23" t="str">
        <f>INDEX(KPI_Master!$B:$B,MATCH($A97,KPI_Master!$A:$A,0))</f>
        <v>NURC-19</v>
      </c>
      <c r="C97" s="23" t="str">
        <f>INDEX(KPI_Master!$D:$D,MATCH($A97,KPI_Master!$A:$A,0))</f>
        <v>ARD Accuracy Rate</v>
      </c>
      <c r="D97" s="23" t="str">
        <f>INDEX(KPI_Master!$K:$K,MATCH($A97,KPI_Master!$A:$A,0))</f>
        <v>2 - Standard</v>
      </c>
      <c r="E97" s="23" t="str">
        <f t="array" ref="E97">_xlfn.TEXTJOIN(", ",TRUE(),IF(KPI_Element_Map!$A$2:$A$287=$A97,KPI_Element_Map!$E$2:$E$287,""))</f>
        <v>E41</v>
      </c>
      <c r="F97" s="21">
        <f t="shared" si="2"/>
        <v>1</v>
      </c>
      <c r="G97" s="21" t="str">
        <f>IF(COUNTIFS(KPI_Element_Map!$A$2:$A$287,$A97,KPI_Element_Map!$G$2:$G$287,G$1)&gt;0,1,"")</f>
        <v/>
      </c>
      <c r="H97" s="21" t="str">
        <f>IF(COUNTIFS(KPI_Element_Map!$A$2:$A$287,$A97,KPI_Element_Map!$G$2:$G$287,H$1)&gt;0,1,"")</f>
        <v/>
      </c>
      <c r="I97" s="21" t="str">
        <f>IF(COUNTIFS(KPI_Element_Map!$A$2:$A$287,$A97,KPI_Element_Map!$G$2:$G$287,I$1)&gt;0,1,"")</f>
        <v/>
      </c>
      <c r="J97" s="21" t="str">
        <f>IF(COUNTIFS(KPI_Element_Map!$A$2:$A$287,$A97,KPI_Element_Map!$G$2:$G$287,J$1)&gt;0,1,"")</f>
        <v/>
      </c>
      <c r="K97" s="21" t="str">
        <f>IF(COUNTIFS(KPI_Element_Map!$A$2:$A$287,$A97,KPI_Element_Map!$G$2:$G$287,K$1)&gt;0,1,"")</f>
        <v/>
      </c>
      <c r="L97" s="21" t="str">
        <f>IF(COUNTIFS(KPI_Element_Map!$A$2:$A$287,$A97,KPI_Element_Map!$G$2:$G$287,L$1)&gt;0,1,"")</f>
        <v/>
      </c>
      <c r="M97" s="21" t="str">
        <f>IF(COUNTIFS(KPI_Element_Map!$A$2:$A$287,$A97,KPI_Element_Map!$G$2:$G$287,M$1)&gt;0,1,"")</f>
        <v/>
      </c>
      <c r="N97" s="21" t="str">
        <f>IF(COUNTIFS(KPI_Element_Map!$A$2:$A$287,$A97,KPI_Element_Map!$G$2:$G$287,N$1)&gt;0,1,"")</f>
        <v/>
      </c>
      <c r="O97" s="21" t="str">
        <f>IF(COUNTIFS(KPI_Element_Map!$A$2:$A$287,$A97,KPI_Element_Map!$G$2:$G$287,O$1)&gt;0,1,"")</f>
        <v/>
      </c>
      <c r="P97" s="21" t="str">
        <f>IF(COUNTIFS(KPI_Element_Map!$A$2:$A$287,$A97,KPI_Element_Map!$G$2:$G$287,P$1)&gt;0,1,"")</f>
        <v/>
      </c>
      <c r="Q97" s="21" t="str">
        <f>IF(COUNTIFS(KPI_Element_Map!$A$2:$A$287,$A97,KPI_Element_Map!$G$2:$G$287,Q$1)&gt;0,1,"")</f>
        <v/>
      </c>
      <c r="R97" s="21" t="str">
        <f>IF(COUNTIFS(KPI_Element_Map!$A$2:$A$287,$A97,KPI_Element_Map!$G$2:$G$287,R$1)&gt;0,1,"")</f>
        <v/>
      </c>
      <c r="S97" s="21" t="str">
        <f>IF(COUNTIFS(KPI_Element_Map!$A$2:$A$287,$A97,KPI_Element_Map!$G$2:$G$287,S$1)&gt;0,1,"")</f>
        <v/>
      </c>
      <c r="T97" s="21" t="str">
        <f>IF(COUNTIFS(KPI_Element_Map!$A$2:$A$287,$A97,KPI_Element_Map!$G$2:$G$287,T$1)&gt;0,1,"")</f>
        <v/>
      </c>
      <c r="U97" s="21" t="str">
        <f>IF(COUNTIFS(KPI_Element_Map!$A$2:$A$287,$A97,KPI_Element_Map!$G$2:$G$287,U$1)&gt;0,1,"")</f>
        <v/>
      </c>
      <c r="V97" s="21">
        <f>IF(COUNTIFS(KPI_Element_Map!$A$2:$A$287,$A97,KPI_Element_Map!$G$2:$G$287,V$1)&gt;0,1,"")</f>
        <v>1</v>
      </c>
      <c r="W97" s="21" t="str">
        <f>IF(COUNTIFS(KPI_Element_Map!$A$2:$A$287,$A97,KPI_Element_Map!$G$2:$G$287,W$1)&gt;0,1,"")</f>
        <v/>
      </c>
      <c r="X97" s="21" t="str">
        <f>IF(COUNTIFS(KPI_Element_Map!$A$2:$A$287,$A97,KPI_Element_Map!$G$2:$G$287,X$1)&gt;0,1,"")</f>
        <v/>
      </c>
      <c r="Y97" s="21" t="str">
        <f>IF(COUNTIFS(KPI_Element_Map!$A$2:$A$287,$A97,KPI_Element_Map!$G$2:$G$287,Y$1)&gt;0,1,"")</f>
        <v/>
      </c>
      <c r="Z97" s="21" t="str">
        <f>IF(COUNTIFS(KPI_Element_Map!$A$2:$A$287,$A97,KPI_Element_Map!$G$2:$G$287,Z$1)&gt;0,1,"")</f>
        <v/>
      </c>
      <c r="AA97" s="21" t="str">
        <f>IF(COUNTIFS(KPI_Element_Map!$A$2:$A$287,$A97,KPI_Element_Map!$G$2:$G$287,AA$1)&gt;0,1,"")</f>
        <v/>
      </c>
      <c r="AB97" s="21" t="str">
        <f>IF(COUNTIFS(KPI_Element_Map!$A$2:$A$287,$A97,KPI_Element_Map!$G$2:$G$287,AB$1)&gt;0,1,"")</f>
        <v/>
      </c>
      <c r="AC97" s="21" t="str">
        <f>IF(COUNTIFS(KPI_Element_Map!$A$2:$A$287,$A97,KPI_Element_Map!$G$2:$G$287,AC$1)&gt;0,1,"")</f>
        <v/>
      </c>
      <c r="AD97" s="21" t="str">
        <f>IF(COUNTIFS(KPI_Element_Map!$A$2:$A$287,$A97,KPI_Element_Map!$G$2:$G$287,AD$1)&gt;0,1,"")</f>
        <v/>
      </c>
      <c r="AE97" s="21" t="str">
        <f>IF(COUNTIFS(KPI_Element_Map!$A$2:$A$287,$A97,KPI_Element_Map!$G$2:$G$287,AE$1)&gt;0,1,"")</f>
        <v/>
      </c>
      <c r="AF97" s="21" t="str">
        <f>IF(COUNTIFS(KPI_Element_Map!$A$2:$A$287,$A97,KPI_Element_Map!$G$2:$G$287,AF$1)&gt;0,1,"")</f>
        <v/>
      </c>
      <c r="AG97" s="21" t="str">
        <f>IF(COUNTIFS(KPI_Element_Map!$A$2:$A$287,$A97,KPI_Element_Map!$G$2:$G$287,AG$1)&gt;0,1,"")</f>
        <v/>
      </c>
      <c r="AH97" s="21" t="str">
        <f>IF(COUNTIFS(KPI_Element_Map!$A$2:$A$287,$A97,KPI_Element_Map!$G$2:$G$287,AH$1)&gt;0,1,"")</f>
        <v/>
      </c>
      <c r="AI97" s="21" t="str">
        <f>IF(COUNTIFS(KPI_Element_Map!$A$2:$A$287,$A97,KPI_Element_Map!$G$2:$G$287,AI$1)&gt;0,1,"")</f>
        <v/>
      </c>
      <c r="AJ97" s="21" t="str">
        <f>IF(COUNTIFS(KPI_Element_Map!$A$2:$A$287,$A97,KPI_Element_Map!$G$2:$G$287,AJ$1)&gt;0,1,"")</f>
        <v/>
      </c>
      <c r="AK97" s="21" t="str">
        <f>IF(COUNTIFS(KPI_Element_Map!$A$2:$A$287,$A97,KPI_Element_Map!$G$2:$G$287,AK$1)&gt;0,1,"")</f>
        <v/>
      </c>
    </row>
    <row r="98" spans="1:37">
      <c r="A98" s="21">
        <v>97</v>
      </c>
      <c r="B98" s="23" t="str">
        <f>INDEX(KPI_Master!$B:$B,MATCH($A98,KPI_Master!$A:$A,0))</f>
        <v>NURC-20</v>
      </c>
      <c r="C98" s="23" t="str">
        <f>INDEX(KPI_Master!$D:$D,MATCH($A98,KPI_Master!$A:$A,0))</f>
        <v>PRN Psychotropic Medication Use Rate</v>
      </c>
      <c r="D98" s="23" t="str">
        <f>INDEX(KPI_Master!$K:$K,MATCH($A98,KPI_Master!$A:$A,0))</f>
        <v>2 - Standard</v>
      </c>
      <c r="E98" s="23" t="str">
        <f t="array" ref="E98">_xlfn.TEXTJOIN(", ",TRUE(),IF(KPI_Element_Map!$A$2:$A$287=$A98,KPI_Element_Map!$E$2:$E$287,""))</f>
        <v>E38, E03</v>
      </c>
      <c r="F98" s="21">
        <f t="shared" ref="F98:F129" si="3">SUM(G98:AK98)</f>
        <v>2</v>
      </c>
      <c r="G98" s="21">
        <f>IF(COUNTIFS(KPI_Element_Map!$A$2:$A$287,$A98,KPI_Element_Map!$G$2:$G$287,G$1)&gt;0,1,"")</f>
        <v>1</v>
      </c>
      <c r="H98" s="21" t="str">
        <f>IF(COUNTIFS(KPI_Element_Map!$A$2:$A$287,$A98,KPI_Element_Map!$G$2:$G$287,H$1)&gt;0,1,"")</f>
        <v/>
      </c>
      <c r="I98" s="21" t="str">
        <f>IF(COUNTIFS(KPI_Element_Map!$A$2:$A$287,$A98,KPI_Element_Map!$G$2:$G$287,I$1)&gt;0,1,"")</f>
        <v/>
      </c>
      <c r="J98" s="21" t="str">
        <f>IF(COUNTIFS(KPI_Element_Map!$A$2:$A$287,$A98,KPI_Element_Map!$G$2:$G$287,J$1)&gt;0,1,"")</f>
        <v/>
      </c>
      <c r="K98" s="21" t="str">
        <f>IF(COUNTIFS(KPI_Element_Map!$A$2:$A$287,$A98,KPI_Element_Map!$G$2:$G$287,K$1)&gt;0,1,"")</f>
        <v/>
      </c>
      <c r="L98" s="21" t="str">
        <f>IF(COUNTIFS(KPI_Element_Map!$A$2:$A$287,$A98,KPI_Element_Map!$G$2:$G$287,L$1)&gt;0,1,"")</f>
        <v/>
      </c>
      <c r="M98" s="21" t="str">
        <f>IF(COUNTIFS(KPI_Element_Map!$A$2:$A$287,$A98,KPI_Element_Map!$G$2:$G$287,M$1)&gt;0,1,"")</f>
        <v/>
      </c>
      <c r="N98" s="21" t="str">
        <f>IF(COUNTIFS(KPI_Element_Map!$A$2:$A$287,$A98,KPI_Element_Map!$G$2:$G$287,N$1)&gt;0,1,"")</f>
        <v/>
      </c>
      <c r="O98" s="21" t="str">
        <f>IF(COUNTIFS(KPI_Element_Map!$A$2:$A$287,$A98,KPI_Element_Map!$G$2:$G$287,O$1)&gt;0,1,"")</f>
        <v/>
      </c>
      <c r="P98" s="21" t="str">
        <f>IF(COUNTIFS(KPI_Element_Map!$A$2:$A$287,$A98,KPI_Element_Map!$G$2:$G$287,P$1)&gt;0,1,"")</f>
        <v/>
      </c>
      <c r="Q98" s="21" t="str">
        <f>IF(COUNTIFS(KPI_Element_Map!$A$2:$A$287,$A98,KPI_Element_Map!$G$2:$G$287,Q$1)&gt;0,1,"")</f>
        <v/>
      </c>
      <c r="R98" s="21" t="str">
        <f>IF(COUNTIFS(KPI_Element_Map!$A$2:$A$287,$A98,KPI_Element_Map!$G$2:$G$287,R$1)&gt;0,1,"")</f>
        <v/>
      </c>
      <c r="S98" s="21" t="str">
        <f>IF(COUNTIFS(KPI_Element_Map!$A$2:$A$287,$A98,KPI_Element_Map!$G$2:$G$287,S$1)&gt;0,1,"")</f>
        <v/>
      </c>
      <c r="T98" s="21">
        <f>IF(COUNTIFS(KPI_Element_Map!$A$2:$A$287,$A98,KPI_Element_Map!$G$2:$G$287,T$1)&gt;0,1,"")</f>
        <v>1</v>
      </c>
      <c r="U98" s="21" t="str">
        <f>IF(COUNTIFS(KPI_Element_Map!$A$2:$A$287,$A98,KPI_Element_Map!$G$2:$G$287,U$1)&gt;0,1,"")</f>
        <v/>
      </c>
      <c r="V98" s="21" t="str">
        <f>IF(COUNTIFS(KPI_Element_Map!$A$2:$A$287,$A98,KPI_Element_Map!$G$2:$G$287,V$1)&gt;0,1,"")</f>
        <v/>
      </c>
      <c r="W98" s="21" t="str">
        <f>IF(COUNTIFS(KPI_Element_Map!$A$2:$A$287,$A98,KPI_Element_Map!$G$2:$G$287,W$1)&gt;0,1,"")</f>
        <v/>
      </c>
      <c r="X98" s="21" t="str">
        <f>IF(COUNTIFS(KPI_Element_Map!$A$2:$A$287,$A98,KPI_Element_Map!$G$2:$G$287,X$1)&gt;0,1,"")</f>
        <v/>
      </c>
      <c r="Y98" s="21" t="str">
        <f>IF(COUNTIFS(KPI_Element_Map!$A$2:$A$287,$A98,KPI_Element_Map!$G$2:$G$287,Y$1)&gt;0,1,"")</f>
        <v/>
      </c>
      <c r="Z98" s="21" t="str">
        <f>IF(COUNTIFS(KPI_Element_Map!$A$2:$A$287,$A98,KPI_Element_Map!$G$2:$G$287,Z$1)&gt;0,1,"")</f>
        <v/>
      </c>
      <c r="AA98" s="21" t="str">
        <f>IF(COUNTIFS(KPI_Element_Map!$A$2:$A$287,$A98,KPI_Element_Map!$G$2:$G$287,AA$1)&gt;0,1,"")</f>
        <v/>
      </c>
      <c r="AB98" s="21" t="str">
        <f>IF(COUNTIFS(KPI_Element_Map!$A$2:$A$287,$A98,KPI_Element_Map!$G$2:$G$287,AB$1)&gt;0,1,"")</f>
        <v/>
      </c>
      <c r="AC98" s="21" t="str">
        <f>IF(COUNTIFS(KPI_Element_Map!$A$2:$A$287,$A98,KPI_Element_Map!$G$2:$G$287,AC$1)&gt;0,1,"")</f>
        <v/>
      </c>
      <c r="AD98" s="21" t="str">
        <f>IF(COUNTIFS(KPI_Element_Map!$A$2:$A$287,$A98,KPI_Element_Map!$G$2:$G$287,AD$1)&gt;0,1,"")</f>
        <v/>
      </c>
      <c r="AE98" s="21" t="str">
        <f>IF(COUNTIFS(KPI_Element_Map!$A$2:$A$287,$A98,KPI_Element_Map!$G$2:$G$287,AE$1)&gt;0,1,"")</f>
        <v/>
      </c>
      <c r="AF98" s="21" t="str">
        <f>IF(COUNTIFS(KPI_Element_Map!$A$2:$A$287,$A98,KPI_Element_Map!$G$2:$G$287,AF$1)&gt;0,1,"")</f>
        <v/>
      </c>
      <c r="AG98" s="21" t="str">
        <f>IF(COUNTIFS(KPI_Element_Map!$A$2:$A$287,$A98,KPI_Element_Map!$G$2:$G$287,AG$1)&gt;0,1,"")</f>
        <v/>
      </c>
      <c r="AH98" s="21" t="str">
        <f>IF(COUNTIFS(KPI_Element_Map!$A$2:$A$287,$A98,KPI_Element_Map!$G$2:$G$287,AH$1)&gt;0,1,"")</f>
        <v/>
      </c>
      <c r="AI98" s="21" t="str">
        <f>IF(COUNTIFS(KPI_Element_Map!$A$2:$A$287,$A98,KPI_Element_Map!$G$2:$G$287,AI$1)&gt;0,1,"")</f>
        <v/>
      </c>
      <c r="AJ98" s="21" t="str">
        <f>IF(COUNTIFS(KPI_Element_Map!$A$2:$A$287,$A98,KPI_Element_Map!$G$2:$G$287,AJ$1)&gt;0,1,"")</f>
        <v/>
      </c>
      <c r="AK98" s="21" t="str">
        <f>IF(COUNTIFS(KPI_Element_Map!$A$2:$A$287,$A98,KPI_Element_Map!$G$2:$G$287,AK$1)&gt;0,1,"")</f>
        <v/>
      </c>
    </row>
    <row r="99" spans="1:37">
      <c r="A99" s="21">
        <v>98</v>
      </c>
      <c r="B99" s="23" t="str">
        <f>INDEX(KPI_Master!$B:$B,MATCH($A99,KPI_Master!$A:$A,0))</f>
        <v>NURC-21</v>
      </c>
      <c r="C99" s="23" t="str">
        <f>INDEX(KPI_Master!$D:$D,MATCH($A99,KPI_Master!$A:$A,0))</f>
        <v>Weekend Staffing Ratio</v>
      </c>
      <c r="D99" s="23" t="str">
        <f>INDEX(KPI_Master!$K:$K,MATCH($A99,KPI_Master!$A:$A,0))</f>
        <v>2 - Standard</v>
      </c>
      <c r="E99" s="23" t="str">
        <f t="array" ref="E99">_xlfn.TEXTJOIN(", ",TRUE(),IF(KPI_Element_Map!$A$2:$A$287=$A99,KPI_Element_Map!$E$2:$E$287,""))</f>
        <v>E29, E01</v>
      </c>
      <c r="F99" s="21">
        <f t="shared" si="3"/>
        <v>2</v>
      </c>
      <c r="G99" s="21">
        <f>IF(COUNTIFS(KPI_Element_Map!$A$2:$A$287,$A99,KPI_Element_Map!$G$2:$G$287,G$1)&gt;0,1,"")</f>
        <v>1</v>
      </c>
      <c r="H99" s="21" t="str">
        <f>IF(COUNTIFS(KPI_Element_Map!$A$2:$A$287,$A99,KPI_Element_Map!$G$2:$G$287,H$1)&gt;0,1,"")</f>
        <v/>
      </c>
      <c r="I99" s="21" t="str">
        <f>IF(COUNTIFS(KPI_Element_Map!$A$2:$A$287,$A99,KPI_Element_Map!$G$2:$G$287,I$1)&gt;0,1,"")</f>
        <v/>
      </c>
      <c r="J99" s="21" t="str">
        <f>IF(COUNTIFS(KPI_Element_Map!$A$2:$A$287,$A99,KPI_Element_Map!$G$2:$G$287,J$1)&gt;0,1,"")</f>
        <v/>
      </c>
      <c r="K99" s="21" t="str">
        <f>IF(COUNTIFS(KPI_Element_Map!$A$2:$A$287,$A99,KPI_Element_Map!$G$2:$G$287,K$1)&gt;0,1,"")</f>
        <v/>
      </c>
      <c r="L99" s="21" t="str">
        <f>IF(COUNTIFS(KPI_Element_Map!$A$2:$A$287,$A99,KPI_Element_Map!$G$2:$G$287,L$1)&gt;0,1,"")</f>
        <v/>
      </c>
      <c r="M99" s="21">
        <f>IF(COUNTIFS(KPI_Element_Map!$A$2:$A$287,$A99,KPI_Element_Map!$G$2:$G$287,M$1)&gt;0,1,"")</f>
        <v>1</v>
      </c>
      <c r="N99" s="21" t="str">
        <f>IF(COUNTIFS(KPI_Element_Map!$A$2:$A$287,$A99,KPI_Element_Map!$G$2:$G$287,N$1)&gt;0,1,"")</f>
        <v/>
      </c>
      <c r="O99" s="21" t="str">
        <f>IF(COUNTIFS(KPI_Element_Map!$A$2:$A$287,$A99,KPI_Element_Map!$G$2:$G$287,O$1)&gt;0,1,"")</f>
        <v/>
      </c>
      <c r="P99" s="21" t="str">
        <f>IF(COUNTIFS(KPI_Element_Map!$A$2:$A$287,$A99,KPI_Element_Map!$G$2:$G$287,P$1)&gt;0,1,"")</f>
        <v/>
      </c>
      <c r="Q99" s="21" t="str">
        <f>IF(COUNTIFS(KPI_Element_Map!$A$2:$A$287,$A99,KPI_Element_Map!$G$2:$G$287,Q$1)&gt;0,1,"")</f>
        <v/>
      </c>
      <c r="R99" s="21" t="str">
        <f>IF(COUNTIFS(KPI_Element_Map!$A$2:$A$287,$A99,KPI_Element_Map!$G$2:$G$287,R$1)&gt;0,1,"")</f>
        <v/>
      </c>
      <c r="S99" s="21" t="str">
        <f>IF(COUNTIFS(KPI_Element_Map!$A$2:$A$287,$A99,KPI_Element_Map!$G$2:$G$287,S$1)&gt;0,1,"")</f>
        <v/>
      </c>
      <c r="T99" s="21" t="str">
        <f>IF(COUNTIFS(KPI_Element_Map!$A$2:$A$287,$A99,KPI_Element_Map!$G$2:$G$287,T$1)&gt;0,1,"")</f>
        <v/>
      </c>
      <c r="U99" s="21" t="str">
        <f>IF(COUNTIFS(KPI_Element_Map!$A$2:$A$287,$A99,KPI_Element_Map!$G$2:$G$287,U$1)&gt;0,1,"")</f>
        <v/>
      </c>
      <c r="V99" s="21" t="str">
        <f>IF(COUNTIFS(KPI_Element_Map!$A$2:$A$287,$A99,KPI_Element_Map!$G$2:$G$287,V$1)&gt;0,1,"")</f>
        <v/>
      </c>
      <c r="W99" s="21" t="str">
        <f>IF(COUNTIFS(KPI_Element_Map!$A$2:$A$287,$A99,KPI_Element_Map!$G$2:$G$287,W$1)&gt;0,1,"")</f>
        <v/>
      </c>
      <c r="X99" s="21" t="str">
        <f>IF(COUNTIFS(KPI_Element_Map!$A$2:$A$287,$A99,KPI_Element_Map!$G$2:$G$287,X$1)&gt;0,1,"")</f>
        <v/>
      </c>
      <c r="Y99" s="21" t="str">
        <f>IF(COUNTIFS(KPI_Element_Map!$A$2:$A$287,$A99,KPI_Element_Map!$G$2:$G$287,Y$1)&gt;0,1,"")</f>
        <v/>
      </c>
      <c r="Z99" s="21" t="str">
        <f>IF(COUNTIFS(KPI_Element_Map!$A$2:$A$287,$A99,KPI_Element_Map!$G$2:$G$287,Z$1)&gt;0,1,"")</f>
        <v/>
      </c>
      <c r="AA99" s="21" t="str">
        <f>IF(COUNTIFS(KPI_Element_Map!$A$2:$A$287,$A99,KPI_Element_Map!$G$2:$G$287,AA$1)&gt;0,1,"")</f>
        <v/>
      </c>
      <c r="AB99" s="21" t="str">
        <f>IF(COUNTIFS(KPI_Element_Map!$A$2:$A$287,$A99,KPI_Element_Map!$G$2:$G$287,AB$1)&gt;0,1,"")</f>
        <v/>
      </c>
      <c r="AC99" s="21" t="str">
        <f>IF(COUNTIFS(KPI_Element_Map!$A$2:$A$287,$A99,KPI_Element_Map!$G$2:$G$287,AC$1)&gt;0,1,"")</f>
        <v/>
      </c>
      <c r="AD99" s="21" t="str">
        <f>IF(COUNTIFS(KPI_Element_Map!$A$2:$A$287,$A99,KPI_Element_Map!$G$2:$G$287,AD$1)&gt;0,1,"")</f>
        <v/>
      </c>
      <c r="AE99" s="21" t="str">
        <f>IF(COUNTIFS(KPI_Element_Map!$A$2:$A$287,$A99,KPI_Element_Map!$G$2:$G$287,AE$1)&gt;0,1,"")</f>
        <v/>
      </c>
      <c r="AF99" s="21" t="str">
        <f>IF(COUNTIFS(KPI_Element_Map!$A$2:$A$287,$A99,KPI_Element_Map!$G$2:$G$287,AF$1)&gt;0,1,"")</f>
        <v/>
      </c>
      <c r="AG99" s="21" t="str">
        <f>IF(COUNTIFS(KPI_Element_Map!$A$2:$A$287,$A99,KPI_Element_Map!$G$2:$G$287,AG$1)&gt;0,1,"")</f>
        <v/>
      </c>
      <c r="AH99" s="21" t="str">
        <f>IF(COUNTIFS(KPI_Element_Map!$A$2:$A$287,$A99,KPI_Element_Map!$G$2:$G$287,AH$1)&gt;0,1,"")</f>
        <v/>
      </c>
      <c r="AI99" s="21" t="str">
        <f>IF(COUNTIFS(KPI_Element_Map!$A$2:$A$287,$A99,KPI_Element_Map!$G$2:$G$287,AI$1)&gt;0,1,"")</f>
        <v/>
      </c>
      <c r="AJ99" s="21" t="str">
        <f>IF(COUNTIFS(KPI_Element_Map!$A$2:$A$287,$A99,KPI_Element_Map!$G$2:$G$287,AJ$1)&gt;0,1,"")</f>
        <v/>
      </c>
      <c r="AK99" s="21" t="str">
        <f>IF(COUNTIFS(KPI_Element_Map!$A$2:$A$287,$A99,KPI_Element_Map!$G$2:$G$287,AK$1)&gt;0,1,"")</f>
        <v/>
      </c>
    </row>
    <row r="100" spans="1:37">
      <c r="A100" s="21">
        <v>99</v>
      </c>
      <c r="B100" s="23" t="str">
        <f>INDEX(KPI_Master!$B:$B,MATCH($A100,KPI_Master!$A:$A,0))</f>
        <v>NURC-22</v>
      </c>
      <c r="C100" s="23" t="str">
        <f>INDEX(KPI_Master!$D:$D,MATCH($A100,KPI_Master!$A:$A,0))</f>
        <v>Long-Stay Indwelling Catheter Rate (CMS QM)</v>
      </c>
      <c r="D100" s="23" t="str">
        <f>INDEX(KPI_Master!$K:$K,MATCH($A100,KPI_Master!$A:$A,0))</f>
        <v>2 - Standard</v>
      </c>
      <c r="E100" s="23" t="str">
        <f t="array" ref="E100">_xlfn.TEXTJOIN(", ",TRUE(),IF(KPI_Element_Map!$A$2:$A$287=$A100,KPI_Element_Map!$E$2:$E$287,""))</f>
        <v>E42</v>
      </c>
      <c r="F100" s="21">
        <f t="shared" si="3"/>
        <v>1</v>
      </c>
      <c r="G100" s="21" t="str">
        <f>IF(COUNTIFS(KPI_Element_Map!$A$2:$A$287,$A100,KPI_Element_Map!$G$2:$G$287,G$1)&gt;0,1,"")</f>
        <v/>
      </c>
      <c r="H100" s="21" t="str">
        <f>IF(COUNTIFS(KPI_Element_Map!$A$2:$A$287,$A100,KPI_Element_Map!$G$2:$G$287,H$1)&gt;0,1,"")</f>
        <v/>
      </c>
      <c r="I100" s="21" t="str">
        <f>IF(COUNTIFS(KPI_Element_Map!$A$2:$A$287,$A100,KPI_Element_Map!$G$2:$G$287,I$1)&gt;0,1,"")</f>
        <v/>
      </c>
      <c r="J100" s="21" t="str">
        <f>IF(COUNTIFS(KPI_Element_Map!$A$2:$A$287,$A100,KPI_Element_Map!$G$2:$G$287,J$1)&gt;0,1,"")</f>
        <v/>
      </c>
      <c r="K100" s="21" t="str">
        <f>IF(COUNTIFS(KPI_Element_Map!$A$2:$A$287,$A100,KPI_Element_Map!$G$2:$G$287,K$1)&gt;0,1,"")</f>
        <v/>
      </c>
      <c r="L100" s="21" t="str">
        <f>IF(COUNTIFS(KPI_Element_Map!$A$2:$A$287,$A100,KPI_Element_Map!$G$2:$G$287,L$1)&gt;0,1,"")</f>
        <v/>
      </c>
      <c r="M100" s="21" t="str">
        <f>IF(COUNTIFS(KPI_Element_Map!$A$2:$A$287,$A100,KPI_Element_Map!$G$2:$G$287,M$1)&gt;0,1,"")</f>
        <v/>
      </c>
      <c r="N100" s="21" t="str">
        <f>IF(COUNTIFS(KPI_Element_Map!$A$2:$A$287,$A100,KPI_Element_Map!$G$2:$G$287,N$1)&gt;0,1,"")</f>
        <v/>
      </c>
      <c r="O100" s="21" t="str">
        <f>IF(COUNTIFS(KPI_Element_Map!$A$2:$A$287,$A100,KPI_Element_Map!$G$2:$G$287,O$1)&gt;0,1,"")</f>
        <v/>
      </c>
      <c r="P100" s="21" t="str">
        <f>IF(COUNTIFS(KPI_Element_Map!$A$2:$A$287,$A100,KPI_Element_Map!$G$2:$G$287,P$1)&gt;0,1,"")</f>
        <v/>
      </c>
      <c r="Q100" s="21" t="str">
        <f>IF(COUNTIFS(KPI_Element_Map!$A$2:$A$287,$A100,KPI_Element_Map!$G$2:$G$287,Q$1)&gt;0,1,"")</f>
        <v/>
      </c>
      <c r="R100" s="21" t="str">
        <f>IF(COUNTIFS(KPI_Element_Map!$A$2:$A$287,$A100,KPI_Element_Map!$G$2:$G$287,R$1)&gt;0,1,"")</f>
        <v/>
      </c>
      <c r="S100" s="21" t="str">
        <f>IF(COUNTIFS(KPI_Element_Map!$A$2:$A$287,$A100,KPI_Element_Map!$G$2:$G$287,S$1)&gt;0,1,"")</f>
        <v/>
      </c>
      <c r="T100" s="21" t="str">
        <f>IF(COUNTIFS(KPI_Element_Map!$A$2:$A$287,$A100,KPI_Element_Map!$G$2:$G$287,T$1)&gt;0,1,"")</f>
        <v/>
      </c>
      <c r="U100" s="21" t="str">
        <f>IF(COUNTIFS(KPI_Element_Map!$A$2:$A$287,$A100,KPI_Element_Map!$G$2:$G$287,U$1)&gt;0,1,"")</f>
        <v/>
      </c>
      <c r="V100" s="21" t="str">
        <f>IF(COUNTIFS(KPI_Element_Map!$A$2:$A$287,$A100,KPI_Element_Map!$G$2:$G$287,V$1)&gt;0,1,"")</f>
        <v/>
      </c>
      <c r="W100" s="21">
        <f>IF(COUNTIFS(KPI_Element_Map!$A$2:$A$287,$A100,KPI_Element_Map!$G$2:$G$287,W$1)&gt;0,1,"")</f>
        <v>1</v>
      </c>
      <c r="X100" s="21" t="str">
        <f>IF(COUNTIFS(KPI_Element_Map!$A$2:$A$287,$A100,KPI_Element_Map!$G$2:$G$287,X$1)&gt;0,1,"")</f>
        <v/>
      </c>
      <c r="Y100" s="21" t="str">
        <f>IF(COUNTIFS(KPI_Element_Map!$A$2:$A$287,$A100,KPI_Element_Map!$G$2:$G$287,Y$1)&gt;0,1,"")</f>
        <v/>
      </c>
      <c r="Z100" s="21" t="str">
        <f>IF(COUNTIFS(KPI_Element_Map!$A$2:$A$287,$A100,KPI_Element_Map!$G$2:$G$287,Z$1)&gt;0,1,"")</f>
        <v/>
      </c>
      <c r="AA100" s="21" t="str">
        <f>IF(COUNTIFS(KPI_Element_Map!$A$2:$A$287,$A100,KPI_Element_Map!$G$2:$G$287,AA$1)&gt;0,1,"")</f>
        <v/>
      </c>
      <c r="AB100" s="21" t="str">
        <f>IF(COUNTIFS(KPI_Element_Map!$A$2:$A$287,$A100,KPI_Element_Map!$G$2:$G$287,AB$1)&gt;0,1,"")</f>
        <v/>
      </c>
      <c r="AC100" s="21" t="str">
        <f>IF(COUNTIFS(KPI_Element_Map!$A$2:$A$287,$A100,KPI_Element_Map!$G$2:$G$287,AC$1)&gt;0,1,"")</f>
        <v/>
      </c>
      <c r="AD100" s="21" t="str">
        <f>IF(COUNTIFS(KPI_Element_Map!$A$2:$A$287,$A100,KPI_Element_Map!$G$2:$G$287,AD$1)&gt;0,1,"")</f>
        <v/>
      </c>
      <c r="AE100" s="21" t="str">
        <f>IF(COUNTIFS(KPI_Element_Map!$A$2:$A$287,$A100,KPI_Element_Map!$G$2:$G$287,AE$1)&gt;0,1,"")</f>
        <v/>
      </c>
      <c r="AF100" s="21" t="str">
        <f>IF(COUNTIFS(KPI_Element_Map!$A$2:$A$287,$A100,KPI_Element_Map!$G$2:$G$287,AF$1)&gt;0,1,"")</f>
        <v/>
      </c>
      <c r="AG100" s="21" t="str">
        <f>IF(COUNTIFS(KPI_Element_Map!$A$2:$A$287,$A100,KPI_Element_Map!$G$2:$G$287,AG$1)&gt;0,1,"")</f>
        <v/>
      </c>
      <c r="AH100" s="21" t="str">
        <f>IF(COUNTIFS(KPI_Element_Map!$A$2:$A$287,$A100,KPI_Element_Map!$G$2:$G$287,AH$1)&gt;0,1,"")</f>
        <v/>
      </c>
      <c r="AI100" s="21" t="str">
        <f>IF(COUNTIFS(KPI_Element_Map!$A$2:$A$287,$A100,KPI_Element_Map!$G$2:$G$287,AI$1)&gt;0,1,"")</f>
        <v/>
      </c>
      <c r="AJ100" s="21" t="str">
        <f>IF(COUNTIFS(KPI_Element_Map!$A$2:$A$287,$A100,KPI_Element_Map!$G$2:$G$287,AJ$1)&gt;0,1,"")</f>
        <v/>
      </c>
      <c r="AK100" s="21" t="str">
        <f>IF(COUNTIFS(KPI_Element_Map!$A$2:$A$287,$A100,KPI_Element_Map!$G$2:$G$287,AK$1)&gt;0,1,"")</f>
        <v/>
      </c>
    </row>
    <row r="101" spans="1:37">
      <c r="A101" s="21">
        <v>100</v>
      </c>
      <c r="B101" s="23" t="str">
        <f>INDEX(KPI_Master!$B:$B,MATCH($A101,KPI_Master!$A:$A,0))</f>
        <v>NURC-23</v>
      </c>
      <c r="C101" s="23" t="str">
        <f>INDEX(KPI_Master!$D:$D,MATCH($A101,KPI_Master!$A:$A,0))</f>
        <v>Short-Stay Outpatient ED Visit Rate (CMS QM)</v>
      </c>
      <c r="D101" s="23" t="str">
        <f>INDEX(KPI_Master!$K:$K,MATCH($A101,KPI_Master!$A:$A,0))</f>
        <v>2 - Standard</v>
      </c>
      <c r="E101" s="23" t="str">
        <f t="array" ref="E101">_xlfn.TEXTJOIN(", ",TRUE(),IF(KPI_Element_Map!$A$2:$A$287=$A101,KPI_Element_Map!$E$2:$E$287,""))</f>
        <v>E42</v>
      </c>
      <c r="F101" s="21">
        <f t="shared" si="3"/>
        <v>1</v>
      </c>
      <c r="G101" s="21" t="str">
        <f>IF(COUNTIFS(KPI_Element_Map!$A$2:$A$287,$A101,KPI_Element_Map!$G$2:$G$287,G$1)&gt;0,1,"")</f>
        <v/>
      </c>
      <c r="H101" s="21" t="str">
        <f>IF(COUNTIFS(KPI_Element_Map!$A$2:$A$287,$A101,KPI_Element_Map!$G$2:$G$287,H$1)&gt;0,1,"")</f>
        <v/>
      </c>
      <c r="I101" s="21" t="str">
        <f>IF(COUNTIFS(KPI_Element_Map!$A$2:$A$287,$A101,KPI_Element_Map!$G$2:$G$287,I$1)&gt;0,1,"")</f>
        <v/>
      </c>
      <c r="J101" s="21" t="str">
        <f>IF(COUNTIFS(KPI_Element_Map!$A$2:$A$287,$A101,KPI_Element_Map!$G$2:$G$287,J$1)&gt;0,1,"")</f>
        <v/>
      </c>
      <c r="K101" s="21" t="str">
        <f>IF(COUNTIFS(KPI_Element_Map!$A$2:$A$287,$A101,KPI_Element_Map!$G$2:$G$287,K$1)&gt;0,1,"")</f>
        <v/>
      </c>
      <c r="L101" s="21" t="str">
        <f>IF(COUNTIFS(KPI_Element_Map!$A$2:$A$287,$A101,KPI_Element_Map!$G$2:$G$287,L$1)&gt;0,1,"")</f>
        <v/>
      </c>
      <c r="M101" s="21" t="str">
        <f>IF(COUNTIFS(KPI_Element_Map!$A$2:$A$287,$A101,KPI_Element_Map!$G$2:$G$287,M$1)&gt;0,1,"")</f>
        <v/>
      </c>
      <c r="N101" s="21" t="str">
        <f>IF(COUNTIFS(KPI_Element_Map!$A$2:$A$287,$A101,KPI_Element_Map!$G$2:$G$287,N$1)&gt;0,1,"")</f>
        <v/>
      </c>
      <c r="O101" s="21" t="str">
        <f>IF(COUNTIFS(KPI_Element_Map!$A$2:$A$287,$A101,KPI_Element_Map!$G$2:$G$287,O$1)&gt;0,1,"")</f>
        <v/>
      </c>
      <c r="P101" s="21" t="str">
        <f>IF(COUNTIFS(KPI_Element_Map!$A$2:$A$287,$A101,KPI_Element_Map!$G$2:$G$287,P$1)&gt;0,1,"")</f>
        <v/>
      </c>
      <c r="Q101" s="21" t="str">
        <f>IF(COUNTIFS(KPI_Element_Map!$A$2:$A$287,$A101,KPI_Element_Map!$G$2:$G$287,Q$1)&gt;0,1,"")</f>
        <v/>
      </c>
      <c r="R101" s="21" t="str">
        <f>IF(COUNTIFS(KPI_Element_Map!$A$2:$A$287,$A101,KPI_Element_Map!$G$2:$G$287,R$1)&gt;0,1,"")</f>
        <v/>
      </c>
      <c r="S101" s="21" t="str">
        <f>IF(COUNTIFS(KPI_Element_Map!$A$2:$A$287,$A101,KPI_Element_Map!$G$2:$G$287,S$1)&gt;0,1,"")</f>
        <v/>
      </c>
      <c r="T101" s="21" t="str">
        <f>IF(COUNTIFS(KPI_Element_Map!$A$2:$A$287,$A101,KPI_Element_Map!$G$2:$G$287,T$1)&gt;0,1,"")</f>
        <v/>
      </c>
      <c r="U101" s="21" t="str">
        <f>IF(COUNTIFS(KPI_Element_Map!$A$2:$A$287,$A101,KPI_Element_Map!$G$2:$G$287,U$1)&gt;0,1,"")</f>
        <v/>
      </c>
      <c r="V101" s="21" t="str">
        <f>IF(COUNTIFS(KPI_Element_Map!$A$2:$A$287,$A101,KPI_Element_Map!$G$2:$G$287,V$1)&gt;0,1,"")</f>
        <v/>
      </c>
      <c r="W101" s="21">
        <f>IF(COUNTIFS(KPI_Element_Map!$A$2:$A$287,$A101,KPI_Element_Map!$G$2:$G$287,W$1)&gt;0,1,"")</f>
        <v>1</v>
      </c>
      <c r="X101" s="21" t="str">
        <f>IF(COUNTIFS(KPI_Element_Map!$A$2:$A$287,$A101,KPI_Element_Map!$G$2:$G$287,X$1)&gt;0,1,"")</f>
        <v/>
      </c>
      <c r="Y101" s="21" t="str">
        <f>IF(COUNTIFS(KPI_Element_Map!$A$2:$A$287,$A101,KPI_Element_Map!$G$2:$G$287,Y$1)&gt;0,1,"")</f>
        <v/>
      </c>
      <c r="Z101" s="21" t="str">
        <f>IF(COUNTIFS(KPI_Element_Map!$A$2:$A$287,$A101,KPI_Element_Map!$G$2:$G$287,Z$1)&gt;0,1,"")</f>
        <v/>
      </c>
      <c r="AA101" s="21" t="str">
        <f>IF(COUNTIFS(KPI_Element_Map!$A$2:$A$287,$A101,KPI_Element_Map!$G$2:$G$287,AA$1)&gt;0,1,"")</f>
        <v/>
      </c>
      <c r="AB101" s="21" t="str">
        <f>IF(COUNTIFS(KPI_Element_Map!$A$2:$A$287,$A101,KPI_Element_Map!$G$2:$G$287,AB$1)&gt;0,1,"")</f>
        <v/>
      </c>
      <c r="AC101" s="21" t="str">
        <f>IF(COUNTIFS(KPI_Element_Map!$A$2:$A$287,$A101,KPI_Element_Map!$G$2:$G$287,AC$1)&gt;0,1,"")</f>
        <v/>
      </c>
      <c r="AD101" s="21" t="str">
        <f>IF(COUNTIFS(KPI_Element_Map!$A$2:$A$287,$A101,KPI_Element_Map!$G$2:$G$287,AD$1)&gt;0,1,"")</f>
        <v/>
      </c>
      <c r="AE101" s="21" t="str">
        <f>IF(COUNTIFS(KPI_Element_Map!$A$2:$A$287,$A101,KPI_Element_Map!$G$2:$G$287,AE$1)&gt;0,1,"")</f>
        <v/>
      </c>
      <c r="AF101" s="21" t="str">
        <f>IF(COUNTIFS(KPI_Element_Map!$A$2:$A$287,$A101,KPI_Element_Map!$G$2:$G$287,AF$1)&gt;0,1,"")</f>
        <v/>
      </c>
      <c r="AG101" s="21" t="str">
        <f>IF(COUNTIFS(KPI_Element_Map!$A$2:$A$287,$A101,KPI_Element_Map!$G$2:$G$287,AG$1)&gt;0,1,"")</f>
        <v/>
      </c>
      <c r="AH101" s="21" t="str">
        <f>IF(COUNTIFS(KPI_Element_Map!$A$2:$A$287,$A101,KPI_Element_Map!$G$2:$G$287,AH$1)&gt;0,1,"")</f>
        <v/>
      </c>
      <c r="AI101" s="21" t="str">
        <f>IF(COUNTIFS(KPI_Element_Map!$A$2:$A$287,$A101,KPI_Element_Map!$G$2:$G$287,AI$1)&gt;0,1,"")</f>
        <v/>
      </c>
      <c r="AJ101" s="21" t="str">
        <f>IF(COUNTIFS(KPI_Element_Map!$A$2:$A$287,$A101,KPI_Element_Map!$G$2:$G$287,AJ$1)&gt;0,1,"")</f>
        <v/>
      </c>
      <c r="AK101" s="21" t="str">
        <f>IF(COUNTIFS(KPI_Element_Map!$A$2:$A$287,$A101,KPI_Element_Map!$G$2:$G$287,AK$1)&gt;0,1,"")</f>
        <v/>
      </c>
    </row>
    <row r="102" spans="1:37" ht="28.5" customHeight="1">
      <c r="A102" s="21">
        <v>101</v>
      </c>
      <c r="B102" s="23" t="str">
        <f>INDEX(KPI_Master!$B:$B,MATCH($A102,KPI_Master!$A:$A,0))</f>
        <v>NURC-24</v>
      </c>
      <c r="C102" s="23" t="str">
        <f>INDEX(KPI_Master!$D:$D,MATCH($A102,KPI_Master!$A:$A,0))</f>
        <v>Short-Stay Moderate-to-Severe Pain Rate (CMS QM)</v>
      </c>
      <c r="D102" s="23" t="str">
        <f>INDEX(KPI_Master!$K:$K,MATCH($A102,KPI_Master!$A:$A,0))</f>
        <v>3 - Optional</v>
      </c>
      <c r="E102" s="23" t="str">
        <f t="array" ref="E102">_xlfn.TEXTJOIN(", ",TRUE(),IF(KPI_Element_Map!$A$2:$A$287=$A102,KPI_Element_Map!$E$2:$E$287,""))</f>
        <v>E42</v>
      </c>
      <c r="F102" s="21">
        <f t="shared" si="3"/>
        <v>1</v>
      </c>
      <c r="G102" s="21" t="str">
        <f>IF(COUNTIFS(KPI_Element_Map!$A$2:$A$287,$A102,KPI_Element_Map!$G$2:$G$287,G$1)&gt;0,1,"")</f>
        <v/>
      </c>
      <c r="H102" s="21" t="str">
        <f>IF(COUNTIFS(KPI_Element_Map!$A$2:$A$287,$A102,KPI_Element_Map!$G$2:$G$287,H$1)&gt;0,1,"")</f>
        <v/>
      </c>
      <c r="I102" s="21" t="str">
        <f>IF(COUNTIFS(KPI_Element_Map!$A$2:$A$287,$A102,KPI_Element_Map!$G$2:$G$287,I$1)&gt;0,1,"")</f>
        <v/>
      </c>
      <c r="J102" s="21" t="str">
        <f>IF(COUNTIFS(KPI_Element_Map!$A$2:$A$287,$A102,KPI_Element_Map!$G$2:$G$287,J$1)&gt;0,1,"")</f>
        <v/>
      </c>
      <c r="K102" s="21" t="str">
        <f>IF(COUNTIFS(KPI_Element_Map!$A$2:$A$287,$A102,KPI_Element_Map!$G$2:$G$287,K$1)&gt;0,1,"")</f>
        <v/>
      </c>
      <c r="L102" s="21" t="str">
        <f>IF(COUNTIFS(KPI_Element_Map!$A$2:$A$287,$A102,KPI_Element_Map!$G$2:$G$287,L$1)&gt;0,1,"")</f>
        <v/>
      </c>
      <c r="M102" s="21" t="str">
        <f>IF(COUNTIFS(KPI_Element_Map!$A$2:$A$287,$A102,KPI_Element_Map!$G$2:$G$287,M$1)&gt;0,1,"")</f>
        <v/>
      </c>
      <c r="N102" s="21" t="str">
        <f>IF(COUNTIFS(KPI_Element_Map!$A$2:$A$287,$A102,KPI_Element_Map!$G$2:$G$287,N$1)&gt;0,1,"")</f>
        <v/>
      </c>
      <c r="O102" s="21" t="str">
        <f>IF(COUNTIFS(KPI_Element_Map!$A$2:$A$287,$A102,KPI_Element_Map!$G$2:$G$287,O$1)&gt;0,1,"")</f>
        <v/>
      </c>
      <c r="P102" s="21" t="str">
        <f>IF(COUNTIFS(KPI_Element_Map!$A$2:$A$287,$A102,KPI_Element_Map!$G$2:$G$287,P$1)&gt;0,1,"")</f>
        <v/>
      </c>
      <c r="Q102" s="21" t="str">
        <f>IF(COUNTIFS(KPI_Element_Map!$A$2:$A$287,$A102,KPI_Element_Map!$G$2:$G$287,Q$1)&gt;0,1,"")</f>
        <v/>
      </c>
      <c r="R102" s="21" t="str">
        <f>IF(COUNTIFS(KPI_Element_Map!$A$2:$A$287,$A102,KPI_Element_Map!$G$2:$G$287,R$1)&gt;0,1,"")</f>
        <v/>
      </c>
      <c r="S102" s="21" t="str">
        <f>IF(COUNTIFS(KPI_Element_Map!$A$2:$A$287,$A102,KPI_Element_Map!$G$2:$G$287,S$1)&gt;0,1,"")</f>
        <v/>
      </c>
      <c r="T102" s="21" t="str">
        <f>IF(COUNTIFS(KPI_Element_Map!$A$2:$A$287,$A102,KPI_Element_Map!$G$2:$G$287,T$1)&gt;0,1,"")</f>
        <v/>
      </c>
      <c r="U102" s="21" t="str">
        <f>IF(COUNTIFS(KPI_Element_Map!$A$2:$A$287,$A102,KPI_Element_Map!$G$2:$G$287,U$1)&gt;0,1,"")</f>
        <v/>
      </c>
      <c r="V102" s="21" t="str">
        <f>IF(COUNTIFS(KPI_Element_Map!$A$2:$A$287,$A102,KPI_Element_Map!$G$2:$G$287,V$1)&gt;0,1,"")</f>
        <v/>
      </c>
      <c r="W102" s="21">
        <f>IF(COUNTIFS(KPI_Element_Map!$A$2:$A$287,$A102,KPI_Element_Map!$G$2:$G$287,W$1)&gt;0,1,"")</f>
        <v>1</v>
      </c>
      <c r="X102" s="21" t="str">
        <f>IF(COUNTIFS(KPI_Element_Map!$A$2:$A$287,$A102,KPI_Element_Map!$G$2:$G$287,X$1)&gt;0,1,"")</f>
        <v/>
      </c>
      <c r="Y102" s="21" t="str">
        <f>IF(COUNTIFS(KPI_Element_Map!$A$2:$A$287,$A102,KPI_Element_Map!$G$2:$G$287,Y$1)&gt;0,1,"")</f>
        <v/>
      </c>
      <c r="Z102" s="21" t="str">
        <f>IF(COUNTIFS(KPI_Element_Map!$A$2:$A$287,$A102,KPI_Element_Map!$G$2:$G$287,Z$1)&gt;0,1,"")</f>
        <v/>
      </c>
      <c r="AA102" s="21" t="str">
        <f>IF(COUNTIFS(KPI_Element_Map!$A$2:$A$287,$A102,KPI_Element_Map!$G$2:$G$287,AA$1)&gt;0,1,"")</f>
        <v/>
      </c>
      <c r="AB102" s="21" t="str">
        <f>IF(COUNTIFS(KPI_Element_Map!$A$2:$A$287,$A102,KPI_Element_Map!$G$2:$G$287,AB$1)&gt;0,1,"")</f>
        <v/>
      </c>
      <c r="AC102" s="21" t="str">
        <f>IF(COUNTIFS(KPI_Element_Map!$A$2:$A$287,$A102,KPI_Element_Map!$G$2:$G$287,AC$1)&gt;0,1,"")</f>
        <v/>
      </c>
      <c r="AD102" s="21" t="str">
        <f>IF(COUNTIFS(KPI_Element_Map!$A$2:$A$287,$A102,KPI_Element_Map!$G$2:$G$287,AD$1)&gt;0,1,"")</f>
        <v/>
      </c>
      <c r="AE102" s="21" t="str">
        <f>IF(COUNTIFS(KPI_Element_Map!$A$2:$A$287,$A102,KPI_Element_Map!$G$2:$G$287,AE$1)&gt;0,1,"")</f>
        <v/>
      </c>
      <c r="AF102" s="21" t="str">
        <f>IF(COUNTIFS(KPI_Element_Map!$A$2:$A$287,$A102,KPI_Element_Map!$G$2:$G$287,AF$1)&gt;0,1,"")</f>
        <v/>
      </c>
      <c r="AG102" s="21" t="str">
        <f>IF(COUNTIFS(KPI_Element_Map!$A$2:$A$287,$A102,KPI_Element_Map!$G$2:$G$287,AG$1)&gt;0,1,"")</f>
        <v/>
      </c>
      <c r="AH102" s="21" t="str">
        <f>IF(COUNTIFS(KPI_Element_Map!$A$2:$A$287,$A102,KPI_Element_Map!$G$2:$G$287,AH$1)&gt;0,1,"")</f>
        <v/>
      </c>
      <c r="AI102" s="21" t="str">
        <f>IF(COUNTIFS(KPI_Element_Map!$A$2:$A$287,$A102,KPI_Element_Map!$G$2:$G$287,AI$1)&gt;0,1,"")</f>
        <v/>
      </c>
      <c r="AJ102" s="21" t="str">
        <f>IF(COUNTIFS(KPI_Element_Map!$A$2:$A$287,$A102,KPI_Element_Map!$G$2:$G$287,AJ$1)&gt;0,1,"")</f>
        <v/>
      </c>
      <c r="AK102" s="21" t="str">
        <f>IF(COUNTIFS(KPI_Element_Map!$A$2:$A$287,$A102,KPI_Element_Map!$G$2:$G$287,AK$1)&gt;0,1,"")</f>
        <v/>
      </c>
    </row>
    <row r="103" spans="1:37">
      <c r="A103" s="21">
        <v>102</v>
      </c>
      <c r="B103" s="23" t="str">
        <f>INDEX(KPI_Master!$B:$B,MATCH($A103,KPI_Master!$A:$A,0))</f>
        <v>NURC-25</v>
      </c>
      <c r="C103" s="23" t="str">
        <f>INDEX(KPI_Master!$D:$D,MATCH($A103,KPI_Master!$A:$A,0))</f>
        <v>Short-Stay Discharge to Community Rate (CMS QM)</v>
      </c>
      <c r="D103" s="23" t="str">
        <f>INDEX(KPI_Master!$K:$K,MATCH($A103,KPI_Master!$A:$A,0))</f>
        <v>2 - Standard</v>
      </c>
      <c r="E103" s="23" t="str">
        <f t="array" ref="E103">_xlfn.TEXTJOIN(", ",TRUE(),IF(KPI_Element_Map!$A$2:$A$287=$A103,KPI_Element_Map!$E$2:$E$287,""))</f>
        <v>E42</v>
      </c>
      <c r="F103" s="21">
        <f t="shared" si="3"/>
        <v>1</v>
      </c>
      <c r="G103" s="21" t="str">
        <f>IF(COUNTIFS(KPI_Element_Map!$A$2:$A$287,$A103,KPI_Element_Map!$G$2:$G$287,G$1)&gt;0,1,"")</f>
        <v/>
      </c>
      <c r="H103" s="21" t="str">
        <f>IF(COUNTIFS(KPI_Element_Map!$A$2:$A$287,$A103,KPI_Element_Map!$G$2:$G$287,H$1)&gt;0,1,"")</f>
        <v/>
      </c>
      <c r="I103" s="21" t="str">
        <f>IF(COUNTIFS(KPI_Element_Map!$A$2:$A$287,$A103,KPI_Element_Map!$G$2:$G$287,I$1)&gt;0,1,"")</f>
        <v/>
      </c>
      <c r="J103" s="21" t="str">
        <f>IF(COUNTIFS(KPI_Element_Map!$A$2:$A$287,$A103,KPI_Element_Map!$G$2:$G$287,J$1)&gt;0,1,"")</f>
        <v/>
      </c>
      <c r="K103" s="21" t="str">
        <f>IF(COUNTIFS(KPI_Element_Map!$A$2:$A$287,$A103,KPI_Element_Map!$G$2:$G$287,K$1)&gt;0,1,"")</f>
        <v/>
      </c>
      <c r="L103" s="21" t="str">
        <f>IF(COUNTIFS(KPI_Element_Map!$A$2:$A$287,$A103,KPI_Element_Map!$G$2:$G$287,L$1)&gt;0,1,"")</f>
        <v/>
      </c>
      <c r="M103" s="21" t="str">
        <f>IF(COUNTIFS(KPI_Element_Map!$A$2:$A$287,$A103,KPI_Element_Map!$G$2:$G$287,M$1)&gt;0,1,"")</f>
        <v/>
      </c>
      <c r="N103" s="21" t="str">
        <f>IF(COUNTIFS(KPI_Element_Map!$A$2:$A$287,$A103,KPI_Element_Map!$G$2:$G$287,N$1)&gt;0,1,"")</f>
        <v/>
      </c>
      <c r="O103" s="21" t="str">
        <f>IF(COUNTIFS(KPI_Element_Map!$A$2:$A$287,$A103,KPI_Element_Map!$G$2:$G$287,O$1)&gt;0,1,"")</f>
        <v/>
      </c>
      <c r="P103" s="21" t="str">
        <f>IF(COUNTIFS(KPI_Element_Map!$A$2:$A$287,$A103,KPI_Element_Map!$G$2:$G$287,P$1)&gt;0,1,"")</f>
        <v/>
      </c>
      <c r="Q103" s="21" t="str">
        <f>IF(COUNTIFS(KPI_Element_Map!$A$2:$A$287,$A103,KPI_Element_Map!$G$2:$G$287,Q$1)&gt;0,1,"")</f>
        <v/>
      </c>
      <c r="R103" s="21" t="str">
        <f>IF(COUNTIFS(KPI_Element_Map!$A$2:$A$287,$A103,KPI_Element_Map!$G$2:$G$287,R$1)&gt;0,1,"")</f>
        <v/>
      </c>
      <c r="S103" s="21" t="str">
        <f>IF(COUNTIFS(KPI_Element_Map!$A$2:$A$287,$A103,KPI_Element_Map!$G$2:$G$287,S$1)&gt;0,1,"")</f>
        <v/>
      </c>
      <c r="T103" s="21" t="str">
        <f>IF(COUNTIFS(KPI_Element_Map!$A$2:$A$287,$A103,KPI_Element_Map!$G$2:$G$287,T$1)&gt;0,1,"")</f>
        <v/>
      </c>
      <c r="U103" s="21" t="str">
        <f>IF(COUNTIFS(KPI_Element_Map!$A$2:$A$287,$A103,KPI_Element_Map!$G$2:$G$287,U$1)&gt;0,1,"")</f>
        <v/>
      </c>
      <c r="V103" s="21" t="str">
        <f>IF(COUNTIFS(KPI_Element_Map!$A$2:$A$287,$A103,KPI_Element_Map!$G$2:$G$287,V$1)&gt;0,1,"")</f>
        <v/>
      </c>
      <c r="W103" s="21">
        <f>IF(COUNTIFS(KPI_Element_Map!$A$2:$A$287,$A103,KPI_Element_Map!$G$2:$G$287,W$1)&gt;0,1,"")</f>
        <v>1</v>
      </c>
      <c r="X103" s="21" t="str">
        <f>IF(COUNTIFS(KPI_Element_Map!$A$2:$A$287,$A103,KPI_Element_Map!$G$2:$G$287,X$1)&gt;0,1,"")</f>
        <v/>
      </c>
      <c r="Y103" s="21" t="str">
        <f>IF(COUNTIFS(KPI_Element_Map!$A$2:$A$287,$A103,KPI_Element_Map!$G$2:$G$287,Y$1)&gt;0,1,"")</f>
        <v/>
      </c>
      <c r="Z103" s="21" t="str">
        <f>IF(COUNTIFS(KPI_Element_Map!$A$2:$A$287,$A103,KPI_Element_Map!$G$2:$G$287,Z$1)&gt;0,1,"")</f>
        <v/>
      </c>
      <c r="AA103" s="21" t="str">
        <f>IF(COUNTIFS(KPI_Element_Map!$A$2:$A$287,$A103,KPI_Element_Map!$G$2:$G$287,AA$1)&gt;0,1,"")</f>
        <v/>
      </c>
      <c r="AB103" s="21" t="str">
        <f>IF(COUNTIFS(KPI_Element_Map!$A$2:$A$287,$A103,KPI_Element_Map!$G$2:$G$287,AB$1)&gt;0,1,"")</f>
        <v/>
      </c>
      <c r="AC103" s="21" t="str">
        <f>IF(COUNTIFS(KPI_Element_Map!$A$2:$A$287,$A103,KPI_Element_Map!$G$2:$G$287,AC$1)&gt;0,1,"")</f>
        <v/>
      </c>
      <c r="AD103" s="21" t="str">
        <f>IF(COUNTIFS(KPI_Element_Map!$A$2:$A$287,$A103,KPI_Element_Map!$G$2:$G$287,AD$1)&gt;0,1,"")</f>
        <v/>
      </c>
      <c r="AE103" s="21" t="str">
        <f>IF(COUNTIFS(KPI_Element_Map!$A$2:$A$287,$A103,KPI_Element_Map!$G$2:$G$287,AE$1)&gt;0,1,"")</f>
        <v/>
      </c>
      <c r="AF103" s="21" t="str">
        <f>IF(COUNTIFS(KPI_Element_Map!$A$2:$A$287,$A103,KPI_Element_Map!$G$2:$G$287,AF$1)&gt;0,1,"")</f>
        <v/>
      </c>
      <c r="AG103" s="21" t="str">
        <f>IF(COUNTIFS(KPI_Element_Map!$A$2:$A$287,$A103,KPI_Element_Map!$G$2:$G$287,AG$1)&gt;0,1,"")</f>
        <v/>
      </c>
      <c r="AH103" s="21" t="str">
        <f>IF(COUNTIFS(KPI_Element_Map!$A$2:$A$287,$A103,KPI_Element_Map!$G$2:$G$287,AH$1)&gt;0,1,"")</f>
        <v/>
      </c>
      <c r="AI103" s="21" t="str">
        <f>IF(COUNTIFS(KPI_Element_Map!$A$2:$A$287,$A103,KPI_Element_Map!$G$2:$G$287,AI$1)&gt;0,1,"")</f>
        <v/>
      </c>
      <c r="AJ103" s="21" t="str">
        <f>IF(COUNTIFS(KPI_Element_Map!$A$2:$A$287,$A103,KPI_Element_Map!$G$2:$G$287,AJ$1)&gt;0,1,"")</f>
        <v/>
      </c>
      <c r="AK103" s="21" t="str">
        <f>IF(COUNTIFS(KPI_Element_Map!$A$2:$A$287,$A103,KPI_Element_Map!$G$2:$G$287,AK$1)&gt;0,1,"")</f>
        <v/>
      </c>
    </row>
    <row r="104" spans="1:37">
      <c r="A104" s="21">
        <v>103</v>
      </c>
      <c r="B104" s="23" t="str">
        <f>INDEX(KPI_Master!$B:$B,MATCH($A104,KPI_Master!$A:$A,0))</f>
        <v>NURC-26</v>
      </c>
      <c r="C104" s="23" t="str">
        <f>INDEX(KPI_Master!$D:$D,MATCH($A104,KPI_Master!$A:$A,0))</f>
        <v>Hospital Length of Stay Before SNF Admission</v>
      </c>
      <c r="D104" s="23" t="str">
        <f>INDEX(KPI_Master!$K:$K,MATCH($A104,KPI_Master!$A:$A,0))</f>
        <v>3 - Optional</v>
      </c>
      <c r="E104" s="23" t="str">
        <f t="array" ref="E104">_xlfn.TEXTJOIN(", ",TRUE(),IF(KPI_Element_Map!$A$2:$A$287=$A104,KPI_Element_Map!$E$2:$E$287,""))</f>
        <v>E10, E07</v>
      </c>
      <c r="F104" s="21">
        <f t="shared" si="3"/>
        <v>1</v>
      </c>
      <c r="G104" s="21">
        <f>IF(COUNTIFS(KPI_Element_Map!$A$2:$A$287,$A104,KPI_Element_Map!$G$2:$G$287,G$1)&gt;0,1,"")</f>
        <v>1</v>
      </c>
      <c r="H104" s="21" t="str">
        <f>IF(COUNTIFS(KPI_Element_Map!$A$2:$A$287,$A104,KPI_Element_Map!$G$2:$G$287,H$1)&gt;0,1,"")</f>
        <v/>
      </c>
      <c r="I104" s="21" t="str">
        <f>IF(COUNTIFS(KPI_Element_Map!$A$2:$A$287,$A104,KPI_Element_Map!$G$2:$G$287,I$1)&gt;0,1,"")</f>
        <v/>
      </c>
      <c r="J104" s="21" t="str">
        <f>IF(COUNTIFS(KPI_Element_Map!$A$2:$A$287,$A104,KPI_Element_Map!$G$2:$G$287,J$1)&gt;0,1,"")</f>
        <v/>
      </c>
      <c r="K104" s="21" t="str">
        <f>IF(COUNTIFS(KPI_Element_Map!$A$2:$A$287,$A104,KPI_Element_Map!$G$2:$G$287,K$1)&gt;0,1,"")</f>
        <v/>
      </c>
      <c r="L104" s="21" t="str">
        <f>IF(COUNTIFS(KPI_Element_Map!$A$2:$A$287,$A104,KPI_Element_Map!$G$2:$G$287,L$1)&gt;0,1,"")</f>
        <v/>
      </c>
      <c r="M104" s="21" t="str">
        <f>IF(COUNTIFS(KPI_Element_Map!$A$2:$A$287,$A104,KPI_Element_Map!$G$2:$G$287,M$1)&gt;0,1,"")</f>
        <v/>
      </c>
      <c r="N104" s="21" t="str">
        <f>IF(COUNTIFS(KPI_Element_Map!$A$2:$A$287,$A104,KPI_Element_Map!$G$2:$G$287,N$1)&gt;0,1,"")</f>
        <v/>
      </c>
      <c r="O104" s="21" t="str">
        <f>IF(COUNTIFS(KPI_Element_Map!$A$2:$A$287,$A104,KPI_Element_Map!$G$2:$G$287,O$1)&gt;0,1,"")</f>
        <v/>
      </c>
      <c r="P104" s="21" t="str">
        <f>IF(COUNTIFS(KPI_Element_Map!$A$2:$A$287,$A104,KPI_Element_Map!$G$2:$G$287,P$1)&gt;0,1,"")</f>
        <v/>
      </c>
      <c r="Q104" s="21" t="str">
        <f>IF(COUNTIFS(KPI_Element_Map!$A$2:$A$287,$A104,KPI_Element_Map!$G$2:$G$287,Q$1)&gt;0,1,"")</f>
        <v/>
      </c>
      <c r="R104" s="21" t="str">
        <f>IF(COUNTIFS(KPI_Element_Map!$A$2:$A$287,$A104,KPI_Element_Map!$G$2:$G$287,R$1)&gt;0,1,"")</f>
        <v/>
      </c>
      <c r="S104" s="21" t="str">
        <f>IF(COUNTIFS(KPI_Element_Map!$A$2:$A$287,$A104,KPI_Element_Map!$G$2:$G$287,S$1)&gt;0,1,"")</f>
        <v/>
      </c>
      <c r="T104" s="21" t="str">
        <f>IF(COUNTIFS(KPI_Element_Map!$A$2:$A$287,$A104,KPI_Element_Map!$G$2:$G$287,T$1)&gt;0,1,"")</f>
        <v/>
      </c>
      <c r="U104" s="21" t="str">
        <f>IF(COUNTIFS(KPI_Element_Map!$A$2:$A$287,$A104,KPI_Element_Map!$G$2:$G$287,U$1)&gt;0,1,"")</f>
        <v/>
      </c>
      <c r="V104" s="21" t="str">
        <f>IF(COUNTIFS(KPI_Element_Map!$A$2:$A$287,$A104,KPI_Element_Map!$G$2:$G$287,V$1)&gt;0,1,"")</f>
        <v/>
      </c>
      <c r="W104" s="21" t="str">
        <f>IF(COUNTIFS(KPI_Element_Map!$A$2:$A$287,$A104,KPI_Element_Map!$G$2:$G$287,W$1)&gt;0,1,"")</f>
        <v/>
      </c>
      <c r="X104" s="21" t="str">
        <f>IF(COUNTIFS(KPI_Element_Map!$A$2:$A$287,$A104,KPI_Element_Map!$G$2:$G$287,X$1)&gt;0,1,"")</f>
        <v/>
      </c>
      <c r="Y104" s="21" t="str">
        <f>IF(COUNTIFS(KPI_Element_Map!$A$2:$A$287,$A104,KPI_Element_Map!$G$2:$G$287,Y$1)&gt;0,1,"")</f>
        <v/>
      </c>
      <c r="Z104" s="21" t="str">
        <f>IF(COUNTIFS(KPI_Element_Map!$A$2:$A$287,$A104,KPI_Element_Map!$G$2:$G$287,Z$1)&gt;0,1,"")</f>
        <v/>
      </c>
      <c r="AA104" s="21" t="str">
        <f>IF(COUNTIFS(KPI_Element_Map!$A$2:$A$287,$A104,KPI_Element_Map!$G$2:$G$287,AA$1)&gt;0,1,"")</f>
        <v/>
      </c>
      <c r="AB104" s="21" t="str">
        <f>IF(COUNTIFS(KPI_Element_Map!$A$2:$A$287,$A104,KPI_Element_Map!$G$2:$G$287,AB$1)&gt;0,1,"")</f>
        <v/>
      </c>
      <c r="AC104" s="21" t="str">
        <f>IF(COUNTIFS(KPI_Element_Map!$A$2:$A$287,$A104,KPI_Element_Map!$G$2:$G$287,AC$1)&gt;0,1,"")</f>
        <v/>
      </c>
      <c r="AD104" s="21" t="str">
        <f>IF(COUNTIFS(KPI_Element_Map!$A$2:$A$287,$A104,KPI_Element_Map!$G$2:$G$287,AD$1)&gt;0,1,"")</f>
        <v/>
      </c>
      <c r="AE104" s="21" t="str">
        <f>IF(COUNTIFS(KPI_Element_Map!$A$2:$A$287,$A104,KPI_Element_Map!$G$2:$G$287,AE$1)&gt;0,1,"")</f>
        <v/>
      </c>
      <c r="AF104" s="21" t="str">
        <f>IF(COUNTIFS(KPI_Element_Map!$A$2:$A$287,$A104,KPI_Element_Map!$G$2:$G$287,AF$1)&gt;0,1,"")</f>
        <v/>
      </c>
      <c r="AG104" s="21" t="str">
        <f>IF(COUNTIFS(KPI_Element_Map!$A$2:$A$287,$A104,KPI_Element_Map!$G$2:$G$287,AG$1)&gt;0,1,"")</f>
        <v/>
      </c>
      <c r="AH104" s="21" t="str">
        <f>IF(COUNTIFS(KPI_Element_Map!$A$2:$A$287,$A104,KPI_Element_Map!$G$2:$G$287,AH$1)&gt;0,1,"")</f>
        <v/>
      </c>
      <c r="AI104" s="21" t="str">
        <f>IF(COUNTIFS(KPI_Element_Map!$A$2:$A$287,$A104,KPI_Element_Map!$G$2:$G$287,AI$1)&gt;0,1,"")</f>
        <v/>
      </c>
      <c r="AJ104" s="21" t="str">
        <f>IF(COUNTIFS(KPI_Element_Map!$A$2:$A$287,$A104,KPI_Element_Map!$G$2:$G$287,AJ$1)&gt;0,1,"")</f>
        <v/>
      </c>
      <c r="AK104" s="21" t="str">
        <f>IF(COUNTIFS(KPI_Element_Map!$A$2:$A$287,$A104,KPI_Element_Map!$G$2:$G$287,AK$1)&gt;0,1,"")</f>
        <v/>
      </c>
    </row>
    <row r="105" spans="1:37">
      <c r="A105" s="21">
        <v>104</v>
      </c>
      <c r="B105" s="23" t="str">
        <f>INDEX(KPI_Master!$B:$B,MATCH($A105,KPI_Master!$A:$A,0))</f>
        <v>NURC-27</v>
      </c>
      <c r="C105" s="23" t="str">
        <f>INDEX(KPI_Master!$D:$D,MATCH($A105,KPI_Master!$A:$A,0))</f>
        <v>PDPM Case Mix Index by Component</v>
      </c>
      <c r="D105" s="23" t="str">
        <f>INDEX(KPI_Master!$K:$K,MATCH($A105,KPI_Master!$A:$A,0))</f>
        <v>2 - Standard</v>
      </c>
      <c r="E105" s="23" t="str">
        <f t="array" ref="E105">_xlfn.TEXTJOIN(", ",TRUE(),IF(KPI_Element_Map!$A$2:$A$287=$A105,KPI_Element_Map!$E$2:$E$287,""))</f>
        <v>E41, E05</v>
      </c>
      <c r="F105" s="21">
        <f t="shared" si="3"/>
        <v>2</v>
      </c>
      <c r="G105" s="21">
        <f>IF(COUNTIFS(KPI_Element_Map!$A$2:$A$287,$A105,KPI_Element_Map!$G$2:$G$287,G$1)&gt;0,1,"")</f>
        <v>1</v>
      </c>
      <c r="H105" s="21" t="str">
        <f>IF(COUNTIFS(KPI_Element_Map!$A$2:$A$287,$A105,KPI_Element_Map!$G$2:$G$287,H$1)&gt;0,1,"")</f>
        <v/>
      </c>
      <c r="I105" s="21" t="str">
        <f>IF(COUNTIFS(KPI_Element_Map!$A$2:$A$287,$A105,KPI_Element_Map!$G$2:$G$287,I$1)&gt;0,1,"")</f>
        <v/>
      </c>
      <c r="J105" s="21" t="str">
        <f>IF(COUNTIFS(KPI_Element_Map!$A$2:$A$287,$A105,KPI_Element_Map!$G$2:$G$287,J$1)&gt;0,1,"")</f>
        <v/>
      </c>
      <c r="K105" s="21" t="str">
        <f>IF(COUNTIFS(KPI_Element_Map!$A$2:$A$287,$A105,KPI_Element_Map!$G$2:$G$287,K$1)&gt;0,1,"")</f>
        <v/>
      </c>
      <c r="L105" s="21" t="str">
        <f>IF(COUNTIFS(KPI_Element_Map!$A$2:$A$287,$A105,KPI_Element_Map!$G$2:$G$287,L$1)&gt;0,1,"")</f>
        <v/>
      </c>
      <c r="M105" s="21" t="str">
        <f>IF(COUNTIFS(KPI_Element_Map!$A$2:$A$287,$A105,KPI_Element_Map!$G$2:$G$287,M$1)&gt;0,1,"")</f>
        <v/>
      </c>
      <c r="N105" s="21" t="str">
        <f>IF(COUNTIFS(KPI_Element_Map!$A$2:$A$287,$A105,KPI_Element_Map!$G$2:$G$287,N$1)&gt;0,1,"")</f>
        <v/>
      </c>
      <c r="O105" s="21" t="str">
        <f>IF(COUNTIFS(KPI_Element_Map!$A$2:$A$287,$A105,KPI_Element_Map!$G$2:$G$287,O$1)&gt;0,1,"")</f>
        <v/>
      </c>
      <c r="P105" s="21" t="str">
        <f>IF(COUNTIFS(KPI_Element_Map!$A$2:$A$287,$A105,KPI_Element_Map!$G$2:$G$287,P$1)&gt;0,1,"")</f>
        <v/>
      </c>
      <c r="Q105" s="21" t="str">
        <f>IF(COUNTIFS(KPI_Element_Map!$A$2:$A$287,$A105,KPI_Element_Map!$G$2:$G$287,Q$1)&gt;0,1,"")</f>
        <v/>
      </c>
      <c r="R105" s="21" t="str">
        <f>IF(COUNTIFS(KPI_Element_Map!$A$2:$A$287,$A105,KPI_Element_Map!$G$2:$G$287,R$1)&gt;0,1,"")</f>
        <v/>
      </c>
      <c r="S105" s="21" t="str">
        <f>IF(COUNTIFS(KPI_Element_Map!$A$2:$A$287,$A105,KPI_Element_Map!$G$2:$G$287,S$1)&gt;0,1,"")</f>
        <v/>
      </c>
      <c r="T105" s="21" t="str">
        <f>IF(COUNTIFS(KPI_Element_Map!$A$2:$A$287,$A105,KPI_Element_Map!$G$2:$G$287,T$1)&gt;0,1,"")</f>
        <v/>
      </c>
      <c r="U105" s="21" t="str">
        <f>IF(COUNTIFS(KPI_Element_Map!$A$2:$A$287,$A105,KPI_Element_Map!$G$2:$G$287,U$1)&gt;0,1,"")</f>
        <v/>
      </c>
      <c r="V105" s="21">
        <f>IF(COUNTIFS(KPI_Element_Map!$A$2:$A$287,$A105,KPI_Element_Map!$G$2:$G$287,V$1)&gt;0,1,"")</f>
        <v>1</v>
      </c>
      <c r="W105" s="21" t="str">
        <f>IF(COUNTIFS(KPI_Element_Map!$A$2:$A$287,$A105,KPI_Element_Map!$G$2:$G$287,W$1)&gt;0,1,"")</f>
        <v/>
      </c>
      <c r="X105" s="21" t="str">
        <f>IF(COUNTIFS(KPI_Element_Map!$A$2:$A$287,$A105,KPI_Element_Map!$G$2:$G$287,X$1)&gt;0,1,"")</f>
        <v/>
      </c>
      <c r="Y105" s="21" t="str">
        <f>IF(COUNTIFS(KPI_Element_Map!$A$2:$A$287,$A105,KPI_Element_Map!$G$2:$G$287,Y$1)&gt;0,1,"")</f>
        <v/>
      </c>
      <c r="Z105" s="21" t="str">
        <f>IF(COUNTIFS(KPI_Element_Map!$A$2:$A$287,$A105,KPI_Element_Map!$G$2:$G$287,Z$1)&gt;0,1,"")</f>
        <v/>
      </c>
      <c r="AA105" s="21" t="str">
        <f>IF(COUNTIFS(KPI_Element_Map!$A$2:$A$287,$A105,KPI_Element_Map!$G$2:$G$287,AA$1)&gt;0,1,"")</f>
        <v/>
      </c>
      <c r="AB105" s="21" t="str">
        <f>IF(COUNTIFS(KPI_Element_Map!$A$2:$A$287,$A105,KPI_Element_Map!$G$2:$G$287,AB$1)&gt;0,1,"")</f>
        <v/>
      </c>
      <c r="AC105" s="21" t="str">
        <f>IF(COUNTIFS(KPI_Element_Map!$A$2:$A$287,$A105,KPI_Element_Map!$G$2:$G$287,AC$1)&gt;0,1,"")</f>
        <v/>
      </c>
      <c r="AD105" s="21" t="str">
        <f>IF(COUNTIFS(KPI_Element_Map!$A$2:$A$287,$A105,KPI_Element_Map!$G$2:$G$287,AD$1)&gt;0,1,"")</f>
        <v/>
      </c>
      <c r="AE105" s="21" t="str">
        <f>IF(COUNTIFS(KPI_Element_Map!$A$2:$A$287,$A105,KPI_Element_Map!$G$2:$G$287,AE$1)&gt;0,1,"")</f>
        <v/>
      </c>
      <c r="AF105" s="21" t="str">
        <f>IF(COUNTIFS(KPI_Element_Map!$A$2:$A$287,$A105,KPI_Element_Map!$G$2:$G$287,AF$1)&gt;0,1,"")</f>
        <v/>
      </c>
      <c r="AG105" s="21" t="str">
        <f>IF(COUNTIFS(KPI_Element_Map!$A$2:$A$287,$A105,KPI_Element_Map!$G$2:$G$287,AG$1)&gt;0,1,"")</f>
        <v/>
      </c>
      <c r="AH105" s="21" t="str">
        <f>IF(COUNTIFS(KPI_Element_Map!$A$2:$A$287,$A105,KPI_Element_Map!$G$2:$G$287,AH$1)&gt;0,1,"")</f>
        <v/>
      </c>
      <c r="AI105" s="21" t="str">
        <f>IF(COUNTIFS(KPI_Element_Map!$A$2:$A$287,$A105,KPI_Element_Map!$G$2:$G$287,AI$1)&gt;0,1,"")</f>
        <v/>
      </c>
      <c r="AJ105" s="21" t="str">
        <f>IF(COUNTIFS(KPI_Element_Map!$A$2:$A$287,$A105,KPI_Element_Map!$G$2:$G$287,AJ$1)&gt;0,1,"")</f>
        <v/>
      </c>
      <c r="AK105" s="21" t="str">
        <f>IF(COUNTIFS(KPI_Element_Map!$A$2:$A$287,$A105,KPI_Element_Map!$G$2:$G$287,AK$1)&gt;0,1,"")</f>
        <v/>
      </c>
    </row>
    <row r="106" spans="1:37" ht="28.5" customHeight="1">
      <c r="A106" s="21">
        <v>105</v>
      </c>
      <c r="B106" s="23" t="str">
        <f>INDEX(KPI_Master!$B:$B,MATCH($A106,KPI_Master!$A:$A,0))</f>
        <v>NURC-28</v>
      </c>
      <c r="C106" s="23" t="str">
        <f>INDEX(KPI_Master!$D:$D,MATCH($A106,KPI_Master!$A:$A,0))</f>
        <v>Case-Mix Adjusted RN Hours per Resident Day (CMS)</v>
      </c>
      <c r="D106" s="23" t="str">
        <f>INDEX(KPI_Master!$K:$K,MATCH($A106,KPI_Master!$A:$A,0))</f>
        <v>2 - Standard</v>
      </c>
      <c r="E106" s="23" t="str">
        <f t="array" ref="E106">_xlfn.TEXTJOIN(", ",TRUE(),IF(KPI_Element_Map!$A$2:$A$287=$A106,KPI_Element_Map!$E$2:$E$287,""))</f>
        <v>E42</v>
      </c>
      <c r="F106" s="21">
        <f t="shared" si="3"/>
        <v>1</v>
      </c>
      <c r="G106" s="21" t="str">
        <f>IF(COUNTIFS(KPI_Element_Map!$A$2:$A$287,$A106,KPI_Element_Map!$G$2:$G$287,G$1)&gt;0,1,"")</f>
        <v/>
      </c>
      <c r="H106" s="21" t="str">
        <f>IF(COUNTIFS(KPI_Element_Map!$A$2:$A$287,$A106,KPI_Element_Map!$G$2:$G$287,H$1)&gt;0,1,"")</f>
        <v/>
      </c>
      <c r="I106" s="21" t="str">
        <f>IF(COUNTIFS(KPI_Element_Map!$A$2:$A$287,$A106,KPI_Element_Map!$G$2:$G$287,I$1)&gt;0,1,"")</f>
        <v/>
      </c>
      <c r="J106" s="21" t="str">
        <f>IF(COUNTIFS(KPI_Element_Map!$A$2:$A$287,$A106,KPI_Element_Map!$G$2:$G$287,J$1)&gt;0,1,"")</f>
        <v/>
      </c>
      <c r="K106" s="21" t="str">
        <f>IF(COUNTIFS(KPI_Element_Map!$A$2:$A$287,$A106,KPI_Element_Map!$G$2:$G$287,K$1)&gt;0,1,"")</f>
        <v/>
      </c>
      <c r="L106" s="21" t="str">
        <f>IF(COUNTIFS(KPI_Element_Map!$A$2:$A$287,$A106,KPI_Element_Map!$G$2:$G$287,L$1)&gt;0,1,"")</f>
        <v/>
      </c>
      <c r="M106" s="21" t="str">
        <f>IF(COUNTIFS(KPI_Element_Map!$A$2:$A$287,$A106,KPI_Element_Map!$G$2:$G$287,M$1)&gt;0,1,"")</f>
        <v/>
      </c>
      <c r="N106" s="21" t="str">
        <f>IF(COUNTIFS(KPI_Element_Map!$A$2:$A$287,$A106,KPI_Element_Map!$G$2:$G$287,N$1)&gt;0,1,"")</f>
        <v/>
      </c>
      <c r="O106" s="21" t="str">
        <f>IF(COUNTIFS(KPI_Element_Map!$A$2:$A$287,$A106,KPI_Element_Map!$G$2:$G$287,O$1)&gt;0,1,"")</f>
        <v/>
      </c>
      <c r="P106" s="21" t="str">
        <f>IF(COUNTIFS(KPI_Element_Map!$A$2:$A$287,$A106,KPI_Element_Map!$G$2:$G$287,P$1)&gt;0,1,"")</f>
        <v/>
      </c>
      <c r="Q106" s="21" t="str">
        <f>IF(COUNTIFS(KPI_Element_Map!$A$2:$A$287,$A106,KPI_Element_Map!$G$2:$G$287,Q$1)&gt;0,1,"")</f>
        <v/>
      </c>
      <c r="R106" s="21" t="str">
        <f>IF(COUNTIFS(KPI_Element_Map!$A$2:$A$287,$A106,KPI_Element_Map!$G$2:$G$287,R$1)&gt;0,1,"")</f>
        <v/>
      </c>
      <c r="S106" s="21" t="str">
        <f>IF(COUNTIFS(KPI_Element_Map!$A$2:$A$287,$A106,KPI_Element_Map!$G$2:$G$287,S$1)&gt;0,1,"")</f>
        <v/>
      </c>
      <c r="T106" s="21" t="str">
        <f>IF(COUNTIFS(KPI_Element_Map!$A$2:$A$287,$A106,KPI_Element_Map!$G$2:$G$287,T$1)&gt;0,1,"")</f>
        <v/>
      </c>
      <c r="U106" s="21" t="str">
        <f>IF(COUNTIFS(KPI_Element_Map!$A$2:$A$287,$A106,KPI_Element_Map!$G$2:$G$287,U$1)&gt;0,1,"")</f>
        <v/>
      </c>
      <c r="V106" s="21" t="str">
        <f>IF(COUNTIFS(KPI_Element_Map!$A$2:$A$287,$A106,KPI_Element_Map!$G$2:$G$287,V$1)&gt;0,1,"")</f>
        <v/>
      </c>
      <c r="W106" s="21">
        <f>IF(COUNTIFS(KPI_Element_Map!$A$2:$A$287,$A106,KPI_Element_Map!$G$2:$G$287,W$1)&gt;0,1,"")</f>
        <v>1</v>
      </c>
      <c r="X106" s="21" t="str">
        <f>IF(COUNTIFS(KPI_Element_Map!$A$2:$A$287,$A106,KPI_Element_Map!$G$2:$G$287,X$1)&gt;0,1,"")</f>
        <v/>
      </c>
      <c r="Y106" s="21" t="str">
        <f>IF(COUNTIFS(KPI_Element_Map!$A$2:$A$287,$A106,KPI_Element_Map!$G$2:$G$287,Y$1)&gt;0,1,"")</f>
        <v/>
      </c>
      <c r="Z106" s="21" t="str">
        <f>IF(COUNTIFS(KPI_Element_Map!$A$2:$A$287,$A106,KPI_Element_Map!$G$2:$G$287,Z$1)&gt;0,1,"")</f>
        <v/>
      </c>
      <c r="AA106" s="21" t="str">
        <f>IF(COUNTIFS(KPI_Element_Map!$A$2:$A$287,$A106,KPI_Element_Map!$G$2:$G$287,AA$1)&gt;0,1,"")</f>
        <v/>
      </c>
      <c r="AB106" s="21" t="str">
        <f>IF(COUNTIFS(KPI_Element_Map!$A$2:$A$287,$A106,KPI_Element_Map!$G$2:$G$287,AB$1)&gt;0,1,"")</f>
        <v/>
      </c>
      <c r="AC106" s="21" t="str">
        <f>IF(COUNTIFS(KPI_Element_Map!$A$2:$A$287,$A106,KPI_Element_Map!$G$2:$G$287,AC$1)&gt;0,1,"")</f>
        <v/>
      </c>
      <c r="AD106" s="21" t="str">
        <f>IF(COUNTIFS(KPI_Element_Map!$A$2:$A$287,$A106,KPI_Element_Map!$G$2:$G$287,AD$1)&gt;0,1,"")</f>
        <v/>
      </c>
      <c r="AE106" s="21" t="str">
        <f>IF(COUNTIFS(KPI_Element_Map!$A$2:$A$287,$A106,KPI_Element_Map!$G$2:$G$287,AE$1)&gt;0,1,"")</f>
        <v/>
      </c>
      <c r="AF106" s="21" t="str">
        <f>IF(COUNTIFS(KPI_Element_Map!$A$2:$A$287,$A106,KPI_Element_Map!$G$2:$G$287,AF$1)&gt;0,1,"")</f>
        <v/>
      </c>
      <c r="AG106" s="21" t="str">
        <f>IF(COUNTIFS(KPI_Element_Map!$A$2:$A$287,$A106,KPI_Element_Map!$G$2:$G$287,AG$1)&gt;0,1,"")</f>
        <v/>
      </c>
      <c r="AH106" s="21" t="str">
        <f>IF(COUNTIFS(KPI_Element_Map!$A$2:$A$287,$A106,KPI_Element_Map!$G$2:$G$287,AH$1)&gt;0,1,"")</f>
        <v/>
      </c>
      <c r="AI106" s="21" t="str">
        <f>IF(COUNTIFS(KPI_Element_Map!$A$2:$A$287,$A106,KPI_Element_Map!$G$2:$G$287,AI$1)&gt;0,1,"")</f>
        <v/>
      </c>
      <c r="AJ106" s="21" t="str">
        <f>IF(COUNTIFS(KPI_Element_Map!$A$2:$A$287,$A106,KPI_Element_Map!$G$2:$G$287,AJ$1)&gt;0,1,"")</f>
        <v/>
      </c>
      <c r="AK106" s="21" t="str">
        <f>IF(COUNTIFS(KPI_Element_Map!$A$2:$A$287,$A106,KPI_Element_Map!$G$2:$G$287,AK$1)&gt;0,1,"")</f>
        <v/>
      </c>
    </row>
    <row r="107" spans="1:37" ht="28.5" customHeight="1">
      <c r="A107" s="21">
        <v>106</v>
      </c>
      <c r="B107" s="23" t="str">
        <f>INDEX(KPI_Master!$B:$B,MATCH($A107,KPI_Master!$A:$A,0))</f>
        <v>NURC-29</v>
      </c>
      <c r="C107" s="23" t="str">
        <f>INDEX(KPI_Master!$D:$D,MATCH($A107,KPI_Master!$A:$A,0))</f>
        <v>Long-Stay: Need for Help with Daily Activities Increased (CMS QM)</v>
      </c>
      <c r="D107" s="23" t="str">
        <f>INDEX(KPI_Master!$K:$K,MATCH($A107,KPI_Master!$A:$A,0))</f>
        <v>2 - Standard</v>
      </c>
      <c r="E107" s="23" t="str">
        <f t="array" ref="E107">_xlfn.TEXTJOIN(", ",TRUE(),IF(KPI_Element_Map!$A$2:$A$287=$A107,KPI_Element_Map!$E$2:$E$287,""))</f>
        <v>E42</v>
      </c>
      <c r="F107" s="21">
        <f t="shared" si="3"/>
        <v>1</v>
      </c>
      <c r="G107" s="21" t="str">
        <f>IF(COUNTIFS(KPI_Element_Map!$A$2:$A$287,$A107,KPI_Element_Map!$G$2:$G$287,G$1)&gt;0,1,"")</f>
        <v/>
      </c>
      <c r="H107" s="21" t="str">
        <f>IF(COUNTIFS(KPI_Element_Map!$A$2:$A$287,$A107,KPI_Element_Map!$G$2:$G$287,H$1)&gt;0,1,"")</f>
        <v/>
      </c>
      <c r="I107" s="21" t="str">
        <f>IF(COUNTIFS(KPI_Element_Map!$A$2:$A$287,$A107,KPI_Element_Map!$G$2:$G$287,I$1)&gt;0,1,"")</f>
        <v/>
      </c>
      <c r="J107" s="21" t="str">
        <f>IF(COUNTIFS(KPI_Element_Map!$A$2:$A$287,$A107,KPI_Element_Map!$G$2:$G$287,J$1)&gt;0,1,"")</f>
        <v/>
      </c>
      <c r="K107" s="21" t="str">
        <f>IF(COUNTIFS(KPI_Element_Map!$A$2:$A$287,$A107,KPI_Element_Map!$G$2:$G$287,K$1)&gt;0,1,"")</f>
        <v/>
      </c>
      <c r="L107" s="21" t="str">
        <f>IF(COUNTIFS(KPI_Element_Map!$A$2:$A$287,$A107,KPI_Element_Map!$G$2:$G$287,L$1)&gt;0,1,"")</f>
        <v/>
      </c>
      <c r="M107" s="21" t="str">
        <f>IF(COUNTIFS(KPI_Element_Map!$A$2:$A$287,$A107,KPI_Element_Map!$G$2:$G$287,M$1)&gt;0,1,"")</f>
        <v/>
      </c>
      <c r="N107" s="21" t="str">
        <f>IF(COUNTIFS(KPI_Element_Map!$A$2:$A$287,$A107,KPI_Element_Map!$G$2:$G$287,N$1)&gt;0,1,"")</f>
        <v/>
      </c>
      <c r="O107" s="21" t="str">
        <f>IF(COUNTIFS(KPI_Element_Map!$A$2:$A$287,$A107,KPI_Element_Map!$G$2:$G$287,O$1)&gt;0,1,"")</f>
        <v/>
      </c>
      <c r="P107" s="21" t="str">
        <f>IF(COUNTIFS(KPI_Element_Map!$A$2:$A$287,$A107,KPI_Element_Map!$G$2:$G$287,P$1)&gt;0,1,"")</f>
        <v/>
      </c>
      <c r="Q107" s="21" t="str">
        <f>IF(COUNTIFS(KPI_Element_Map!$A$2:$A$287,$A107,KPI_Element_Map!$G$2:$G$287,Q$1)&gt;0,1,"")</f>
        <v/>
      </c>
      <c r="R107" s="21" t="str">
        <f>IF(COUNTIFS(KPI_Element_Map!$A$2:$A$287,$A107,KPI_Element_Map!$G$2:$G$287,R$1)&gt;0,1,"")</f>
        <v/>
      </c>
      <c r="S107" s="21" t="str">
        <f>IF(COUNTIFS(KPI_Element_Map!$A$2:$A$287,$A107,KPI_Element_Map!$G$2:$G$287,S$1)&gt;0,1,"")</f>
        <v/>
      </c>
      <c r="T107" s="21" t="str">
        <f>IF(COUNTIFS(KPI_Element_Map!$A$2:$A$287,$A107,KPI_Element_Map!$G$2:$G$287,T$1)&gt;0,1,"")</f>
        <v/>
      </c>
      <c r="U107" s="21" t="str">
        <f>IF(COUNTIFS(KPI_Element_Map!$A$2:$A$287,$A107,KPI_Element_Map!$G$2:$G$287,U$1)&gt;0,1,"")</f>
        <v/>
      </c>
      <c r="V107" s="21" t="str">
        <f>IF(COUNTIFS(KPI_Element_Map!$A$2:$A$287,$A107,KPI_Element_Map!$G$2:$G$287,V$1)&gt;0,1,"")</f>
        <v/>
      </c>
      <c r="W107" s="21">
        <f>IF(COUNTIFS(KPI_Element_Map!$A$2:$A$287,$A107,KPI_Element_Map!$G$2:$G$287,W$1)&gt;0,1,"")</f>
        <v>1</v>
      </c>
      <c r="X107" s="21" t="str">
        <f>IF(COUNTIFS(KPI_Element_Map!$A$2:$A$287,$A107,KPI_Element_Map!$G$2:$G$287,X$1)&gt;0,1,"")</f>
        <v/>
      </c>
      <c r="Y107" s="21" t="str">
        <f>IF(COUNTIFS(KPI_Element_Map!$A$2:$A$287,$A107,KPI_Element_Map!$G$2:$G$287,Y$1)&gt;0,1,"")</f>
        <v/>
      </c>
      <c r="Z107" s="21" t="str">
        <f>IF(COUNTIFS(KPI_Element_Map!$A$2:$A$287,$A107,KPI_Element_Map!$G$2:$G$287,Z$1)&gt;0,1,"")</f>
        <v/>
      </c>
      <c r="AA107" s="21" t="str">
        <f>IF(COUNTIFS(KPI_Element_Map!$A$2:$A$287,$A107,KPI_Element_Map!$G$2:$G$287,AA$1)&gt;0,1,"")</f>
        <v/>
      </c>
      <c r="AB107" s="21" t="str">
        <f>IF(COUNTIFS(KPI_Element_Map!$A$2:$A$287,$A107,KPI_Element_Map!$G$2:$G$287,AB$1)&gt;0,1,"")</f>
        <v/>
      </c>
      <c r="AC107" s="21" t="str">
        <f>IF(COUNTIFS(KPI_Element_Map!$A$2:$A$287,$A107,KPI_Element_Map!$G$2:$G$287,AC$1)&gt;0,1,"")</f>
        <v/>
      </c>
      <c r="AD107" s="21" t="str">
        <f>IF(COUNTIFS(KPI_Element_Map!$A$2:$A$287,$A107,KPI_Element_Map!$G$2:$G$287,AD$1)&gt;0,1,"")</f>
        <v/>
      </c>
      <c r="AE107" s="21" t="str">
        <f>IF(COUNTIFS(KPI_Element_Map!$A$2:$A$287,$A107,KPI_Element_Map!$G$2:$G$287,AE$1)&gt;0,1,"")</f>
        <v/>
      </c>
      <c r="AF107" s="21" t="str">
        <f>IF(COUNTIFS(KPI_Element_Map!$A$2:$A$287,$A107,KPI_Element_Map!$G$2:$G$287,AF$1)&gt;0,1,"")</f>
        <v/>
      </c>
      <c r="AG107" s="21" t="str">
        <f>IF(COUNTIFS(KPI_Element_Map!$A$2:$A$287,$A107,KPI_Element_Map!$G$2:$G$287,AG$1)&gt;0,1,"")</f>
        <v/>
      </c>
      <c r="AH107" s="21" t="str">
        <f>IF(COUNTIFS(KPI_Element_Map!$A$2:$A$287,$A107,KPI_Element_Map!$G$2:$G$287,AH$1)&gt;0,1,"")</f>
        <v/>
      </c>
      <c r="AI107" s="21" t="str">
        <f>IF(COUNTIFS(KPI_Element_Map!$A$2:$A$287,$A107,KPI_Element_Map!$G$2:$G$287,AI$1)&gt;0,1,"")</f>
        <v/>
      </c>
      <c r="AJ107" s="21" t="str">
        <f>IF(COUNTIFS(KPI_Element_Map!$A$2:$A$287,$A107,KPI_Element_Map!$G$2:$G$287,AJ$1)&gt;0,1,"")</f>
        <v/>
      </c>
      <c r="AK107" s="21" t="str">
        <f>IF(COUNTIFS(KPI_Element_Map!$A$2:$A$287,$A107,KPI_Element_Map!$G$2:$G$287,AK$1)&gt;0,1,"")</f>
        <v/>
      </c>
    </row>
    <row r="108" spans="1:37" ht="28.5" customHeight="1">
      <c r="A108" s="21">
        <v>107</v>
      </c>
      <c r="B108" s="23" t="str">
        <f>INDEX(KPI_Master!$B:$B,MATCH($A108,KPI_Master!$A:$A,0))</f>
        <v>NURC-30</v>
      </c>
      <c r="C108" s="23" t="str">
        <f>INDEX(KPI_Master!$D:$D,MATCH($A108,KPI_Master!$A:$A,0))</f>
        <v>Long-Stay: Ability to Walk Independently Worsened (CMS QM)</v>
      </c>
      <c r="D108" s="23" t="str">
        <f>INDEX(KPI_Master!$K:$K,MATCH($A108,KPI_Master!$A:$A,0))</f>
        <v>2 - Standard</v>
      </c>
      <c r="E108" s="23" t="str">
        <f t="array" ref="E108">_xlfn.TEXTJOIN(", ",TRUE(),IF(KPI_Element_Map!$A$2:$A$287=$A108,KPI_Element_Map!$E$2:$E$287,""))</f>
        <v>E42</v>
      </c>
      <c r="F108" s="21">
        <f t="shared" si="3"/>
        <v>1</v>
      </c>
      <c r="G108" s="21" t="str">
        <f>IF(COUNTIFS(KPI_Element_Map!$A$2:$A$287,$A108,KPI_Element_Map!$G$2:$G$287,G$1)&gt;0,1,"")</f>
        <v/>
      </c>
      <c r="H108" s="21" t="str">
        <f>IF(COUNTIFS(KPI_Element_Map!$A$2:$A$287,$A108,KPI_Element_Map!$G$2:$G$287,H$1)&gt;0,1,"")</f>
        <v/>
      </c>
      <c r="I108" s="21" t="str">
        <f>IF(COUNTIFS(KPI_Element_Map!$A$2:$A$287,$A108,KPI_Element_Map!$G$2:$G$287,I$1)&gt;0,1,"")</f>
        <v/>
      </c>
      <c r="J108" s="21" t="str">
        <f>IF(COUNTIFS(KPI_Element_Map!$A$2:$A$287,$A108,KPI_Element_Map!$G$2:$G$287,J$1)&gt;0,1,"")</f>
        <v/>
      </c>
      <c r="K108" s="21" t="str">
        <f>IF(COUNTIFS(KPI_Element_Map!$A$2:$A$287,$A108,KPI_Element_Map!$G$2:$G$287,K$1)&gt;0,1,"")</f>
        <v/>
      </c>
      <c r="L108" s="21" t="str">
        <f>IF(COUNTIFS(KPI_Element_Map!$A$2:$A$287,$A108,KPI_Element_Map!$G$2:$G$287,L$1)&gt;0,1,"")</f>
        <v/>
      </c>
      <c r="M108" s="21" t="str">
        <f>IF(COUNTIFS(KPI_Element_Map!$A$2:$A$287,$A108,KPI_Element_Map!$G$2:$G$287,M$1)&gt;0,1,"")</f>
        <v/>
      </c>
      <c r="N108" s="21" t="str">
        <f>IF(COUNTIFS(KPI_Element_Map!$A$2:$A$287,$A108,KPI_Element_Map!$G$2:$G$287,N$1)&gt;0,1,"")</f>
        <v/>
      </c>
      <c r="O108" s="21" t="str">
        <f>IF(COUNTIFS(KPI_Element_Map!$A$2:$A$287,$A108,KPI_Element_Map!$G$2:$G$287,O$1)&gt;0,1,"")</f>
        <v/>
      </c>
      <c r="P108" s="21" t="str">
        <f>IF(COUNTIFS(KPI_Element_Map!$A$2:$A$287,$A108,KPI_Element_Map!$G$2:$G$287,P$1)&gt;0,1,"")</f>
        <v/>
      </c>
      <c r="Q108" s="21" t="str">
        <f>IF(COUNTIFS(KPI_Element_Map!$A$2:$A$287,$A108,KPI_Element_Map!$G$2:$G$287,Q$1)&gt;0,1,"")</f>
        <v/>
      </c>
      <c r="R108" s="21" t="str">
        <f>IF(COUNTIFS(KPI_Element_Map!$A$2:$A$287,$A108,KPI_Element_Map!$G$2:$G$287,R$1)&gt;0,1,"")</f>
        <v/>
      </c>
      <c r="S108" s="21" t="str">
        <f>IF(COUNTIFS(KPI_Element_Map!$A$2:$A$287,$A108,KPI_Element_Map!$G$2:$G$287,S$1)&gt;0,1,"")</f>
        <v/>
      </c>
      <c r="T108" s="21" t="str">
        <f>IF(COUNTIFS(KPI_Element_Map!$A$2:$A$287,$A108,KPI_Element_Map!$G$2:$G$287,T$1)&gt;0,1,"")</f>
        <v/>
      </c>
      <c r="U108" s="21" t="str">
        <f>IF(COUNTIFS(KPI_Element_Map!$A$2:$A$287,$A108,KPI_Element_Map!$G$2:$G$287,U$1)&gt;0,1,"")</f>
        <v/>
      </c>
      <c r="V108" s="21" t="str">
        <f>IF(COUNTIFS(KPI_Element_Map!$A$2:$A$287,$A108,KPI_Element_Map!$G$2:$G$287,V$1)&gt;0,1,"")</f>
        <v/>
      </c>
      <c r="W108" s="21">
        <f>IF(COUNTIFS(KPI_Element_Map!$A$2:$A$287,$A108,KPI_Element_Map!$G$2:$G$287,W$1)&gt;0,1,"")</f>
        <v>1</v>
      </c>
      <c r="X108" s="21" t="str">
        <f>IF(COUNTIFS(KPI_Element_Map!$A$2:$A$287,$A108,KPI_Element_Map!$G$2:$G$287,X$1)&gt;0,1,"")</f>
        <v/>
      </c>
      <c r="Y108" s="21" t="str">
        <f>IF(COUNTIFS(KPI_Element_Map!$A$2:$A$287,$A108,KPI_Element_Map!$G$2:$G$287,Y$1)&gt;0,1,"")</f>
        <v/>
      </c>
      <c r="Z108" s="21" t="str">
        <f>IF(COUNTIFS(KPI_Element_Map!$A$2:$A$287,$A108,KPI_Element_Map!$G$2:$G$287,Z$1)&gt;0,1,"")</f>
        <v/>
      </c>
      <c r="AA108" s="21" t="str">
        <f>IF(COUNTIFS(KPI_Element_Map!$A$2:$A$287,$A108,KPI_Element_Map!$G$2:$G$287,AA$1)&gt;0,1,"")</f>
        <v/>
      </c>
      <c r="AB108" s="21" t="str">
        <f>IF(COUNTIFS(KPI_Element_Map!$A$2:$A$287,$A108,KPI_Element_Map!$G$2:$G$287,AB$1)&gt;0,1,"")</f>
        <v/>
      </c>
      <c r="AC108" s="21" t="str">
        <f>IF(COUNTIFS(KPI_Element_Map!$A$2:$A$287,$A108,KPI_Element_Map!$G$2:$G$287,AC$1)&gt;0,1,"")</f>
        <v/>
      </c>
      <c r="AD108" s="21" t="str">
        <f>IF(COUNTIFS(KPI_Element_Map!$A$2:$A$287,$A108,KPI_Element_Map!$G$2:$G$287,AD$1)&gt;0,1,"")</f>
        <v/>
      </c>
      <c r="AE108" s="21" t="str">
        <f>IF(COUNTIFS(KPI_Element_Map!$A$2:$A$287,$A108,KPI_Element_Map!$G$2:$G$287,AE$1)&gt;0,1,"")</f>
        <v/>
      </c>
      <c r="AF108" s="21" t="str">
        <f>IF(COUNTIFS(KPI_Element_Map!$A$2:$A$287,$A108,KPI_Element_Map!$G$2:$G$287,AF$1)&gt;0,1,"")</f>
        <v/>
      </c>
      <c r="AG108" s="21" t="str">
        <f>IF(COUNTIFS(KPI_Element_Map!$A$2:$A$287,$A108,KPI_Element_Map!$G$2:$G$287,AG$1)&gt;0,1,"")</f>
        <v/>
      </c>
      <c r="AH108" s="21" t="str">
        <f>IF(COUNTIFS(KPI_Element_Map!$A$2:$A$287,$A108,KPI_Element_Map!$G$2:$G$287,AH$1)&gt;0,1,"")</f>
        <v/>
      </c>
      <c r="AI108" s="21" t="str">
        <f>IF(COUNTIFS(KPI_Element_Map!$A$2:$A$287,$A108,KPI_Element_Map!$G$2:$G$287,AI$1)&gt;0,1,"")</f>
        <v/>
      </c>
      <c r="AJ108" s="21" t="str">
        <f>IF(COUNTIFS(KPI_Element_Map!$A$2:$A$287,$A108,KPI_Element_Map!$G$2:$G$287,AJ$1)&gt;0,1,"")</f>
        <v/>
      </c>
      <c r="AK108" s="21" t="str">
        <f>IF(COUNTIFS(KPI_Element_Map!$A$2:$A$287,$A108,KPI_Element_Map!$G$2:$G$287,AK$1)&gt;0,1,"")</f>
        <v/>
      </c>
    </row>
    <row r="109" spans="1:37" ht="28.5" customHeight="1">
      <c r="A109" s="21">
        <v>108</v>
      </c>
      <c r="B109" s="23" t="str">
        <f>INDEX(KPI_Master!$B:$B,MATCH($A109,KPI_Master!$A:$A,0))</f>
        <v>NURC-31</v>
      </c>
      <c r="C109" s="23" t="str">
        <f>INDEX(KPI_Master!$D:$D,MATCH($A109,KPI_Master!$A:$A,0))</f>
        <v>Long-Stay: Outpatient ED Visits per 1,000 Resident Days (CMS QM)</v>
      </c>
      <c r="D109" s="23" t="str">
        <f>INDEX(KPI_Master!$K:$K,MATCH($A109,KPI_Master!$A:$A,0))</f>
        <v>2 - Standard</v>
      </c>
      <c r="E109" s="23" t="str">
        <f t="array" ref="E109">_xlfn.TEXTJOIN(", ",TRUE(),IF(KPI_Element_Map!$A$2:$A$287=$A109,KPI_Element_Map!$E$2:$E$287,""))</f>
        <v>E42</v>
      </c>
      <c r="F109" s="21">
        <f t="shared" si="3"/>
        <v>1</v>
      </c>
      <c r="G109" s="21" t="str">
        <f>IF(COUNTIFS(KPI_Element_Map!$A$2:$A$287,$A109,KPI_Element_Map!$G$2:$G$287,G$1)&gt;0,1,"")</f>
        <v/>
      </c>
      <c r="H109" s="21" t="str">
        <f>IF(COUNTIFS(KPI_Element_Map!$A$2:$A$287,$A109,KPI_Element_Map!$G$2:$G$287,H$1)&gt;0,1,"")</f>
        <v/>
      </c>
      <c r="I109" s="21" t="str">
        <f>IF(COUNTIFS(KPI_Element_Map!$A$2:$A$287,$A109,KPI_Element_Map!$G$2:$G$287,I$1)&gt;0,1,"")</f>
        <v/>
      </c>
      <c r="J109" s="21" t="str">
        <f>IF(COUNTIFS(KPI_Element_Map!$A$2:$A$287,$A109,KPI_Element_Map!$G$2:$G$287,J$1)&gt;0,1,"")</f>
        <v/>
      </c>
      <c r="K109" s="21" t="str">
        <f>IF(COUNTIFS(KPI_Element_Map!$A$2:$A$287,$A109,KPI_Element_Map!$G$2:$G$287,K$1)&gt;0,1,"")</f>
        <v/>
      </c>
      <c r="L109" s="21" t="str">
        <f>IF(COUNTIFS(KPI_Element_Map!$A$2:$A$287,$A109,KPI_Element_Map!$G$2:$G$287,L$1)&gt;0,1,"")</f>
        <v/>
      </c>
      <c r="M109" s="21" t="str">
        <f>IF(COUNTIFS(KPI_Element_Map!$A$2:$A$287,$A109,KPI_Element_Map!$G$2:$G$287,M$1)&gt;0,1,"")</f>
        <v/>
      </c>
      <c r="N109" s="21" t="str">
        <f>IF(COUNTIFS(KPI_Element_Map!$A$2:$A$287,$A109,KPI_Element_Map!$G$2:$G$287,N$1)&gt;0,1,"")</f>
        <v/>
      </c>
      <c r="O109" s="21" t="str">
        <f>IF(COUNTIFS(KPI_Element_Map!$A$2:$A$287,$A109,KPI_Element_Map!$G$2:$G$287,O$1)&gt;0,1,"")</f>
        <v/>
      </c>
      <c r="P109" s="21" t="str">
        <f>IF(COUNTIFS(KPI_Element_Map!$A$2:$A$287,$A109,KPI_Element_Map!$G$2:$G$287,P$1)&gt;0,1,"")</f>
        <v/>
      </c>
      <c r="Q109" s="21" t="str">
        <f>IF(COUNTIFS(KPI_Element_Map!$A$2:$A$287,$A109,KPI_Element_Map!$G$2:$G$287,Q$1)&gt;0,1,"")</f>
        <v/>
      </c>
      <c r="R109" s="21" t="str">
        <f>IF(COUNTIFS(KPI_Element_Map!$A$2:$A$287,$A109,KPI_Element_Map!$G$2:$G$287,R$1)&gt;0,1,"")</f>
        <v/>
      </c>
      <c r="S109" s="21" t="str">
        <f>IF(COUNTIFS(KPI_Element_Map!$A$2:$A$287,$A109,KPI_Element_Map!$G$2:$G$287,S$1)&gt;0,1,"")</f>
        <v/>
      </c>
      <c r="T109" s="21" t="str">
        <f>IF(COUNTIFS(KPI_Element_Map!$A$2:$A$287,$A109,KPI_Element_Map!$G$2:$G$287,T$1)&gt;0,1,"")</f>
        <v/>
      </c>
      <c r="U109" s="21" t="str">
        <f>IF(COUNTIFS(KPI_Element_Map!$A$2:$A$287,$A109,KPI_Element_Map!$G$2:$G$287,U$1)&gt;0,1,"")</f>
        <v/>
      </c>
      <c r="V109" s="21" t="str">
        <f>IF(COUNTIFS(KPI_Element_Map!$A$2:$A$287,$A109,KPI_Element_Map!$G$2:$G$287,V$1)&gt;0,1,"")</f>
        <v/>
      </c>
      <c r="W109" s="21">
        <f>IF(COUNTIFS(KPI_Element_Map!$A$2:$A$287,$A109,KPI_Element_Map!$G$2:$G$287,W$1)&gt;0,1,"")</f>
        <v>1</v>
      </c>
      <c r="X109" s="21" t="str">
        <f>IF(COUNTIFS(KPI_Element_Map!$A$2:$A$287,$A109,KPI_Element_Map!$G$2:$G$287,X$1)&gt;0,1,"")</f>
        <v/>
      </c>
      <c r="Y109" s="21" t="str">
        <f>IF(COUNTIFS(KPI_Element_Map!$A$2:$A$287,$A109,KPI_Element_Map!$G$2:$G$287,Y$1)&gt;0,1,"")</f>
        <v/>
      </c>
      <c r="Z109" s="21" t="str">
        <f>IF(COUNTIFS(KPI_Element_Map!$A$2:$A$287,$A109,KPI_Element_Map!$G$2:$G$287,Z$1)&gt;0,1,"")</f>
        <v/>
      </c>
      <c r="AA109" s="21" t="str">
        <f>IF(COUNTIFS(KPI_Element_Map!$A$2:$A$287,$A109,KPI_Element_Map!$G$2:$G$287,AA$1)&gt;0,1,"")</f>
        <v/>
      </c>
      <c r="AB109" s="21" t="str">
        <f>IF(COUNTIFS(KPI_Element_Map!$A$2:$A$287,$A109,KPI_Element_Map!$G$2:$G$287,AB$1)&gt;0,1,"")</f>
        <v/>
      </c>
      <c r="AC109" s="21" t="str">
        <f>IF(COUNTIFS(KPI_Element_Map!$A$2:$A$287,$A109,KPI_Element_Map!$G$2:$G$287,AC$1)&gt;0,1,"")</f>
        <v/>
      </c>
      <c r="AD109" s="21" t="str">
        <f>IF(COUNTIFS(KPI_Element_Map!$A$2:$A$287,$A109,KPI_Element_Map!$G$2:$G$287,AD$1)&gt;0,1,"")</f>
        <v/>
      </c>
      <c r="AE109" s="21" t="str">
        <f>IF(COUNTIFS(KPI_Element_Map!$A$2:$A$287,$A109,KPI_Element_Map!$G$2:$G$287,AE$1)&gt;0,1,"")</f>
        <v/>
      </c>
      <c r="AF109" s="21" t="str">
        <f>IF(COUNTIFS(KPI_Element_Map!$A$2:$A$287,$A109,KPI_Element_Map!$G$2:$G$287,AF$1)&gt;0,1,"")</f>
        <v/>
      </c>
      <c r="AG109" s="21" t="str">
        <f>IF(COUNTIFS(KPI_Element_Map!$A$2:$A$287,$A109,KPI_Element_Map!$G$2:$G$287,AG$1)&gt;0,1,"")</f>
        <v/>
      </c>
      <c r="AH109" s="21" t="str">
        <f>IF(COUNTIFS(KPI_Element_Map!$A$2:$A$287,$A109,KPI_Element_Map!$G$2:$G$287,AH$1)&gt;0,1,"")</f>
        <v/>
      </c>
      <c r="AI109" s="21" t="str">
        <f>IF(COUNTIFS(KPI_Element_Map!$A$2:$A$287,$A109,KPI_Element_Map!$G$2:$G$287,AI$1)&gt;0,1,"")</f>
        <v/>
      </c>
      <c r="AJ109" s="21" t="str">
        <f>IF(COUNTIFS(KPI_Element_Map!$A$2:$A$287,$A109,KPI_Element_Map!$G$2:$G$287,AJ$1)&gt;0,1,"")</f>
        <v/>
      </c>
      <c r="AK109" s="21" t="str">
        <f>IF(COUNTIFS(KPI_Element_Map!$A$2:$A$287,$A109,KPI_Element_Map!$G$2:$G$287,AK$1)&gt;0,1,"")</f>
        <v/>
      </c>
    </row>
    <row r="110" spans="1:37" ht="28.5" customHeight="1">
      <c r="A110" s="21">
        <v>109</v>
      </c>
      <c r="B110" s="23" t="str">
        <f>INDEX(KPI_Master!$B:$B,MATCH($A110,KPI_Master!$A:$A,0))</f>
        <v>NURC-32</v>
      </c>
      <c r="C110" s="23" t="str">
        <f>INDEX(KPI_Master!$D:$D,MATCH($A110,KPI_Master!$A:$A,0))</f>
        <v>Short-Stay: First-Time Antipsychotic Medication (CMS QM)</v>
      </c>
      <c r="D110" s="23" t="str">
        <f>INDEX(KPI_Master!$K:$K,MATCH($A110,KPI_Master!$A:$A,0))</f>
        <v>2 - Standard</v>
      </c>
      <c r="E110" s="23" t="str">
        <f t="array" ref="E110">_xlfn.TEXTJOIN(", ",TRUE(),IF(KPI_Element_Map!$A$2:$A$287=$A110,KPI_Element_Map!$E$2:$E$287,""))</f>
        <v>E42</v>
      </c>
      <c r="F110" s="21">
        <f t="shared" si="3"/>
        <v>1</v>
      </c>
      <c r="G110" s="21" t="str">
        <f>IF(COUNTIFS(KPI_Element_Map!$A$2:$A$287,$A110,KPI_Element_Map!$G$2:$G$287,G$1)&gt;0,1,"")</f>
        <v/>
      </c>
      <c r="H110" s="21" t="str">
        <f>IF(COUNTIFS(KPI_Element_Map!$A$2:$A$287,$A110,KPI_Element_Map!$G$2:$G$287,H$1)&gt;0,1,"")</f>
        <v/>
      </c>
      <c r="I110" s="21" t="str">
        <f>IF(COUNTIFS(KPI_Element_Map!$A$2:$A$287,$A110,KPI_Element_Map!$G$2:$G$287,I$1)&gt;0,1,"")</f>
        <v/>
      </c>
      <c r="J110" s="21" t="str">
        <f>IF(COUNTIFS(KPI_Element_Map!$A$2:$A$287,$A110,KPI_Element_Map!$G$2:$G$287,J$1)&gt;0,1,"")</f>
        <v/>
      </c>
      <c r="K110" s="21" t="str">
        <f>IF(COUNTIFS(KPI_Element_Map!$A$2:$A$287,$A110,KPI_Element_Map!$G$2:$G$287,K$1)&gt;0,1,"")</f>
        <v/>
      </c>
      <c r="L110" s="21" t="str">
        <f>IF(COUNTIFS(KPI_Element_Map!$A$2:$A$287,$A110,KPI_Element_Map!$G$2:$G$287,L$1)&gt;0,1,"")</f>
        <v/>
      </c>
      <c r="M110" s="21" t="str">
        <f>IF(COUNTIFS(KPI_Element_Map!$A$2:$A$287,$A110,KPI_Element_Map!$G$2:$G$287,M$1)&gt;0,1,"")</f>
        <v/>
      </c>
      <c r="N110" s="21" t="str">
        <f>IF(COUNTIFS(KPI_Element_Map!$A$2:$A$287,$A110,KPI_Element_Map!$G$2:$G$287,N$1)&gt;0,1,"")</f>
        <v/>
      </c>
      <c r="O110" s="21" t="str">
        <f>IF(COUNTIFS(KPI_Element_Map!$A$2:$A$287,$A110,KPI_Element_Map!$G$2:$G$287,O$1)&gt;0,1,"")</f>
        <v/>
      </c>
      <c r="P110" s="21" t="str">
        <f>IF(COUNTIFS(KPI_Element_Map!$A$2:$A$287,$A110,KPI_Element_Map!$G$2:$G$287,P$1)&gt;0,1,"")</f>
        <v/>
      </c>
      <c r="Q110" s="21" t="str">
        <f>IF(COUNTIFS(KPI_Element_Map!$A$2:$A$287,$A110,KPI_Element_Map!$G$2:$G$287,Q$1)&gt;0,1,"")</f>
        <v/>
      </c>
      <c r="R110" s="21" t="str">
        <f>IF(COUNTIFS(KPI_Element_Map!$A$2:$A$287,$A110,KPI_Element_Map!$G$2:$G$287,R$1)&gt;0,1,"")</f>
        <v/>
      </c>
      <c r="S110" s="21" t="str">
        <f>IF(COUNTIFS(KPI_Element_Map!$A$2:$A$287,$A110,KPI_Element_Map!$G$2:$G$287,S$1)&gt;0,1,"")</f>
        <v/>
      </c>
      <c r="T110" s="21" t="str">
        <f>IF(COUNTIFS(KPI_Element_Map!$A$2:$A$287,$A110,KPI_Element_Map!$G$2:$G$287,T$1)&gt;0,1,"")</f>
        <v/>
      </c>
      <c r="U110" s="21" t="str">
        <f>IF(COUNTIFS(KPI_Element_Map!$A$2:$A$287,$A110,KPI_Element_Map!$G$2:$G$287,U$1)&gt;0,1,"")</f>
        <v/>
      </c>
      <c r="V110" s="21" t="str">
        <f>IF(COUNTIFS(KPI_Element_Map!$A$2:$A$287,$A110,KPI_Element_Map!$G$2:$G$287,V$1)&gt;0,1,"")</f>
        <v/>
      </c>
      <c r="W110" s="21">
        <f>IF(COUNTIFS(KPI_Element_Map!$A$2:$A$287,$A110,KPI_Element_Map!$G$2:$G$287,W$1)&gt;0,1,"")</f>
        <v>1</v>
      </c>
      <c r="X110" s="21" t="str">
        <f>IF(COUNTIFS(KPI_Element_Map!$A$2:$A$287,$A110,KPI_Element_Map!$G$2:$G$287,X$1)&gt;0,1,"")</f>
        <v/>
      </c>
      <c r="Y110" s="21" t="str">
        <f>IF(COUNTIFS(KPI_Element_Map!$A$2:$A$287,$A110,KPI_Element_Map!$G$2:$G$287,Y$1)&gt;0,1,"")</f>
        <v/>
      </c>
      <c r="Z110" s="21" t="str">
        <f>IF(COUNTIFS(KPI_Element_Map!$A$2:$A$287,$A110,KPI_Element_Map!$G$2:$G$287,Z$1)&gt;0,1,"")</f>
        <v/>
      </c>
      <c r="AA110" s="21" t="str">
        <f>IF(COUNTIFS(KPI_Element_Map!$A$2:$A$287,$A110,KPI_Element_Map!$G$2:$G$287,AA$1)&gt;0,1,"")</f>
        <v/>
      </c>
      <c r="AB110" s="21" t="str">
        <f>IF(COUNTIFS(KPI_Element_Map!$A$2:$A$287,$A110,KPI_Element_Map!$G$2:$G$287,AB$1)&gt;0,1,"")</f>
        <v/>
      </c>
      <c r="AC110" s="21" t="str">
        <f>IF(COUNTIFS(KPI_Element_Map!$A$2:$A$287,$A110,KPI_Element_Map!$G$2:$G$287,AC$1)&gt;0,1,"")</f>
        <v/>
      </c>
      <c r="AD110" s="21" t="str">
        <f>IF(COUNTIFS(KPI_Element_Map!$A$2:$A$287,$A110,KPI_Element_Map!$G$2:$G$287,AD$1)&gt;0,1,"")</f>
        <v/>
      </c>
      <c r="AE110" s="21" t="str">
        <f>IF(COUNTIFS(KPI_Element_Map!$A$2:$A$287,$A110,KPI_Element_Map!$G$2:$G$287,AE$1)&gt;0,1,"")</f>
        <v/>
      </c>
      <c r="AF110" s="21" t="str">
        <f>IF(COUNTIFS(KPI_Element_Map!$A$2:$A$287,$A110,KPI_Element_Map!$G$2:$G$287,AF$1)&gt;0,1,"")</f>
        <v/>
      </c>
      <c r="AG110" s="21" t="str">
        <f>IF(COUNTIFS(KPI_Element_Map!$A$2:$A$287,$A110,KPI_Element_Map!$G$2:$G$287,AG$1)&gt;0,1,"")</f>
        <v/>
      </c>
      <c r="AH110" s="21" t="str">
        <f>IF(COUNTIFS(KPI_Element_Map!$A$2:$A$287,$A110,KPI_Element_Map!$G$2:$G$287,AH$1)&gt;0,1,"")</f>
        <v/>
      </c>
      <c r="AI110" s="21" t="str">
        <f>IF(COUNTIFS(KPI_Element_Map!$A$2:$A$287,$A110,KPI_Element_Map!$G$2:$G$287,AI$1)&gt;0,1,"")</f>
        <v/>
      </c>
      <c r="AJ110" s="21" t="str">
        <f>IF(COUNTIFS(KPI_Element_Map!$A$2:$A$287,$A110,KPI_Element_Map!$G$2:$G$287,AJ$1)&gt;0,1,"")</f>
        <v/>
      </c>
      <c r="AK110" s="21" t="str">
        <f>IF(COUNTIFS(KPI_Element_Map!$A$2:$A$287,$A110,KPI_Element_Map!$G$2:$G$287,AK$1)&gt;0,1,"")</f>
        <v/>
      </c>
    </row>
    <row r="111" spans="1:37">
      <c r="A111" s="21">
        <v>110</v>
      </c>
      <c r="B111" s="23" t="str">
        <f>INDEX(KPI_Master!$B:$B,MATCH($A111,KPI_Master!$A:$A,0))</f>
        <v>NURC-33</v>
      </c>
      <c r="C111" s="23" t="str">
        <f>INDEX(KPI_Master!$D:$D,MATCH($A111,KPI_Master!$A:$A,0))</f>
        <v>Residents per Direct Care Staff Member by Shift</v>
      </c>
      <c r="D111" s="23" t="str">
        <f>INDEX(KPI_Master!$K:$K,MATCH($A111,KPI_Master!$A:$A,0))</f>
        <v>2 - Standard</v>
      </c>
      <c r="E111" s="23" t="str">
        <f t="array" ref="E111">_xlfn.TEXTJOIN(", ",TRUE(),IF(KPI_Element_Map!$A$2:$A$287=$A111,KPI_Element_Map!$E$2:$E$287,""))</f>
        <v>E29, E03</v>
      </c>
      <c r="F111" s="21">
        <f t="shared" si="3"/>
        <v>2</v>
      </c>
      <c r="G111" s="21">
        <f>IF(COUNTIFS(KPI_Element_Map!$A$2:$A$287,$A111,KPI_Element_Map!$G$2:$G$287,G$1)&gt;0,1,"")</f>
        <v>1</v>
      </c>
      <c r="H111" s="21" t="str">
        <f>IF(COUNTIFS(KPI_Element_Map!$A$2:$A$287,$A111,KPI_Element_Map!$G$2:$G$287,H$1)&gt;0,1,"")</f>
        <v/>
      </c>
      <c r="I111" s="21" t="str">
        <f>IF(COUNTIFS(KPI_Element_Map!$A$2:$A$287,$A111,KPI_Element_Map!$G$2:$G$287,I$1)&gt;0,1,"")</f>
        <v/>
      </c>
      <c r="J111" s="21" t="str">
        <f>IF(COUNTIFS(KPI_Element_Map!$A$2:$A$287,$A111,KPI_Element_Map!$G$2:$G$287,J$1)&gt;0,1,"")</f>
        <v/>
      </c>
      <c r="K111" s="21" t="str">
        <f>IF(COUNTIFS(KPI_Element_Map!$A$2:$A$287,$A111,KPI_Element_Map!$G$2:$G$287,K$1)&gt;0,1,"")</f>
        <v/>
      </c>
      <c r="L111" s="21" t="str">
        <f>IF(COUNTIFS(KPI_Element_Map!$A$2:$A$287,$A111,KPI_Element_Map!$G$2:$G$287,L$1)&gt;0,1,"")</f>
        <v/>
      </c>
      <c r="M111" s="21">
        <f>IF(COUNTIFS(KPI_Element_Map!$A$2:$A$287,$A111,KPI_Element_Map!$G$2:$G$287,M$1)&gt;0,1,"")</f>
        <v>1</v>
      </c>
      <c r="N111" s="21" t="str">
        <f>IF(COUNTIFS(KPI_Element_Map!$A$2:$A$287,$A111,KPI_Element_Map!$G$2:$G$287,N$1)&gt;0,1,"")</f>
        <v/>
      </c>
      <c r="O111" s="21" t="str">
        <f>IF(COUNTIFS(KPI_Element_Map!$A$2:$A$287,$A111,KPI_Element_Map!$G$2:$G$287,O$1)&gt;0,1,"")</f>
        <v/>
      </c>
      <c r="P111" s="21" t="str">
        <f>IF(COUNTIFS(KPI_Element_Map!$A$2:$A$287,$A111,KPI_Element_Map!$G$2:$G$287,P$1)&gt;0,1,"")</f>
        <v/>
      </c>
      <c r="Q111" s="21" t="str">
        <f>IF(COUNTIFS(KPI_Element_Map!$A$2:$A$287,$A111,KPI_Element_Map!$G$2:$G$287,Q$1)&gt;0,1,"")</f>
        <v/>
      </c>
      <c r="R111" s="21" t="str">
        <f>IF(COUNTIFS(KPI_Element_Map!$A$2:$A$287,$A111,KPI_Element_Map!$G$2:$G$287,R$1)&gt;0,1,"")</f>
        <v/>
      </c>
      <c r="S111" s="21" t="str">
        <f>IF(COUNTIFS(KPI_Element_Map!$A$2:$A$287,$A111,KPI_Element_Map!$G$2:$G$287,S$1)&gt;0,1,"")</f>
        <v/>
      </c>
      <c r="T111" s="21" t="str">
        <f>IF(COUNTIFS(KPI_Element_Map!$A$2:$A$287,$A111,KPI_Element_Map!$G$2:$G$287,T$1)&gt;0,1,"")</f>
        <v/>
      </c>
      <c r="U111" s="21" t="str">
        <f>IF(COUNTIFS(KPI_Element_Map!$A$2:$A$287,$A111,KPI_Element_Map!$G$2:$G$287,U$1)&gt;0,1,"")</f>
        <v/>
      </c>
      <c r="V111" s="21" t="str">
        <f>IF(COUNTIFS(KPI_Element_Map!$A$2:$A$287,$A111,KPI_Element_Map!$G$2:$G$287,V$1)&gt;0,1,"")</f>
        <v/>
      </c>
      <c r="W111" s="21" t="str">
        <f>IF(COUNTIFS(KPI_Element_Map!$A$2:$A$287,$A111,KPI_Element_Map!$G$2:$G$287,W$1)&gt;0,1,"")</f>
        <v/>
      </c>
      <c r="X111" s="21" t="str">
        <f>IF(COUNTIFS(KPI_Element_Map!$A$2:$A$287,$A111,KPI_Element_Map!$G$2:$G$287,X$1)&gt;0,1,"")</f>
        <v/>
      </c>
      <c r="Y111" s="21" t="str">
        <f>IF(COUNTIFS(KPI_Element_Map!$A$2:$A$287,$A111,KPI_Element_Map!$G$2:$G$287,Y$1)&gt;0,1,"")</f>
        <v/>
      </c>
      <c r="Z111" s="21" t="str">
        <f>IF(COUNTIFS(KPI_Element_Map!$A$2:$A$287,$A111,KPI_Element_Map!$G$2:$G$287,Z$1)&gt;0,1,"")</f>
        <v/>
      </c>
      <c r="AA111" s="21" t="str">
        <f>IF(COUNTIFS(KPI_Element_Map!$A$2:$A$287,$A111,KPI_Element_Map!$G$2:$G$287,AA$1)&gt;0,1,"")</f>
        <v/>
      </c>
      <c r="AB111" s="21" t="str">
        <f>IF(COUNTIFS(KPI_Element_Map!$A$2:$A$287,$A111,KPI_Element_Map!$G$2:$G$287,AB$1)&gt;0,1,"")</f>
        <v/>
      </c>
      <c r="AC111" s="21" t="str">
        <f>IF(COUNTIFS(KPI_Element_Map!$A$2:$A$287,$A111,KPI_Element_Map!$G$2:$G$287,AC$1)&gt;0,1,"")</f>
        <v/>
      </c>
      <c r="AD111" s="21" t="str">
        <f>IF(COUNTIFS(KPI_Element_Map!$A$2:$A$287,$A111,KPI_Element_Map!$G$2:$G$287,AD$1)&gt;0,1,"")</f>
        <v/>
      </c>
      <c r="AE111" s="21" t="str">
        <f>IF(COUNTIFS(KPI_Element_Map!$A$2:$A$287,$A111,KPI_Element_Map!$G$2:$G$287,AE$1)&gt;0,1,"")</f>
        <v/>
      </c>
      <c r="AF111" s="21" t="str">
        <f>IF(COUNTIFS(KPI_Element_Map!$A$2:$A$287,$A111,KPI_Element_Map!$G$2:$G$287,AF$1)&gt;0,1,"")</f>
        <v/>
      </c>
      <c r="AG111" s="21" t="str">
        <f>IF(COUNTIFS(KPI_Element_Map!$A$2:$A$287,$A111,KPI_Element_Map!$G$2:$G$287,AG$1)&gt;0,1,"")</f>
        <v/>
      </c>
      <c r="AH111" s="21" t="str">
        <f>IF(COUNTIFS(KPI_Element_Map!$A$2:$A$287,$A111,KPI_Element_Map!$G$2:$G$287,AH$1)&gt;0,1,"")</f>
        <v/>
      </c>
      <c r="AI111" s="21" t="str">
        <f>IF(COUNTIFS(KPI_Element_Map!$A$2:$A$287,$A111,KPI_Element_Map!$G$2:$G$287,AI$1)&gt;0,1,"")</f>
        <v/>
      </c>
      <c r="AJ111" s="21" t="str">
        <f>IF(COUNTIFS(KPI_Element_Map!$A$2:$A$287,$A111,KPI_Element_Map!$G$2:$G$287,AJ$1)&gt;0,1,"")</f>
        <v/>
      </c>
      <c r="AK111" s="21" t="str">
        <f>IF(COUNTIFS(KPI_Element_Map!$A$2:$A$287,$A111,KPI_Element_Map!$G$2:$G$287,AK$1)&gt;0,1,"")</f>
        <v/>
      </c>
    </row>
    <row r="112" spans="1:37">
      <c r="A112" s="21">
        <v>111</v>
      </c>
      <c r="B112" s="23" t="str">
        <f>INDEX(KPI_Master!$B:$B,MATCH($A112,KPI_Master!$A:$A,0))</f>
        <v>PLAO-01</v>
      </c>
      <c r="C112" s="23" t="str">
        <f>INDEX(KPI_Master!$D:$D,MATCH($A112,KPI_Master!$A:$A,0))</f>
        <v>Preventive Maintenance (PM) Completion Rate</v>
      </c>
      <c r="D112" s="23" t="str">
        <f>INDEX(KPI_Master!$K:$K,MATCH($A112,KPI_Master!$A:$A,0))</f>
        <v>1 - Core</v>
      </c>
      <c r="E112" s="23" t="str">
        <f t="array" ref="E112">_xlfn.TEXTJOIN(", ",TRUE(),IF(KPI_Element_Map!$A$2:$A$287=$A112,KPI_Element_Map!$E$2:$E$287,""))</f>
        <v>E55</v>
      </c>
      <c r="F112" s="21">
        <f t="shared" si="3"/>
        <v>1</v>
      </c>
      <c r="G112" s="21" t="str">
        <f>IF(COUNTIFS(KPI_Element_Map!$A$2:$A$287,$A112,KPI_Element_Map!$G$2:$G$287,G$1)&gt;0,1,"")</f>
        <v/>
      </c>
      <c r="H112" s="21" t="str">
        <f>IF(COUNTIFS(KPI_Element_Map!$A$2:$A$287,$A112,KPI_Element_Map!$G$2:$G$287,H$1)&gt;0,1,"")</f>
        <v/>
      </c>
      <c r="I112" s="21" t="str">
        <f>IF(COUNTIFS(KPI_Element_Map!$A$2:$A$287,$A112,KPI_Element_Map!$G$2:$G$287,I$1)&gt;0,1,"")</f>
        <v/>
      </c>
      <c r="J112" s="21" t="str">
        <f>IF(COUNTIFS(KPI_Element_Map!$A$2:$A$287,$A112,KPI_Element_Map!$G$2:$G$287,J$1)&gt;0,1,"")</f>
        <v/>
      </c>
      <c r="K112" s="21" t="str">
        <f>IF(COUNTIFS(KPI_Element_Map!$A$2:$A$287,$A112,KPI_Element_Map!$G$2:$G$287,K$1)&gt;0,1,"")</f>
        <v/>
      </c>
      <c r="L112" s="21" t="str">
        <f>IF(COUNTIFS(KPI_Element_Map!$A$2:$A$287,$A112,KPI_Element_Map!$G$2:$G$287,L$1)&gt;0,1,"")</f>
        <v/>
      </c>
      <c r="M112" s="21" t="str">
        <f>IF(COUNTIFS(KPI_Element_Map!$A$2:$A$287,$A112,KPI_Element_Map!$G$2:$G$287,M$1)&gt;0,1,"")</f>
        <v/>
      </c>
      <c r="N112" s="21" t="str">
        <f>IF(COUNTIFS(KPI_Element_Map!$A$2:$A$287,$A112,KPI_Element_Map!$G$2:$G$287,N$1)&gt;0,1,"")</f>
        <v/>
      </c>
      <c r="O112" s="21" t="str">
        <f>IF(COUNTIFS(KPI_Element_Map!$A$2:$A$287,$A112,KPI_Element_Map!$G$2:$G$287,O$1)&gt;0,1,"")</f>
        <v/>
      </c>
      <c r="P112" s="21" t="str">
        <f>IF(COUNTIFS(KPI_Element_Map!$A$2:$A$287,$A112,KPI_Element_Map!$G$2:$G$287,P$1)&gt;0,1,"")</f>
        <v/>
      </c>
      <c r="Q112" s="21" t="str">
        <f>IF(COUNTIFS(KPI_Element_Map!$A$2:$A$287,$A112,KPI_Element_Map!$G$2:$G$287,Q$1)&gt;0,1,"")</f>
        <v/>
      </c>
      <c r="R112" s="21" t="str">
        <f>IF(COUNTIFS(KPI_Element_Map!$A$2:$A$287,$A112,KPI_Element_Map!$G$2:$G$287,R$1)&gt;0,1,"")</f>
        <v/>
      </c>
      <c r="S112" s="21" t="str">
        <f>IF(COUNTIFS(KPI_Element_Map!$A$2:$A$287,$A112,KPI_Element_Map!$G$2:$G$287,S$1)&gt;0,1,"")</f>
        <v/>
      </c>
      <c r="T112" s="21" t="str">
        <f>IF(COUNTIFS(KPI_Element_Map!$A$2:$A$287,$A112,KPI_Element_Map!$G$2:$G$287,T$1)&gt;0,1,"")</f>
        <v/>
      </c>
      <c r="U112" s="21" t="str">
        <f>IF(COUNTIFS(KPI_Element_Map!$A$2:$A$287,$A112,KPI_Element_Map!$G$2:$G$287,U$1)&gt;0,1,"")</f>
        <v/>
      </c>
      <c r="V112" s="21" t="str">
        <f>IF(COUNTIFS(KPI_Element_Map!$A$2:$A$287,$A112,KPI_Element_Map!$G$2:$G$287,V$1)&gt;0,1,"")</f>
        <v/>
      </c>
      <c r="W112" s="21" t="str">
        <f>IF(COUNTIFS(KPI_Element_Map!$A$2:$A$287,$A112,KPI_Element_Map!$G$2:$G$287,W$1)&gt;0,1,"")</f>
        <v/>
      </c>
      <c r="X112" s="21" t="str">
        <f>IF(COUNTIFS(KPI_Element_Map!$A$2:$A$287,$A112,KPI_Element_Map!$G$2:$G$287,X$1)&gt;0,1,"")</f>
        <v/>
      </c>
      <c r="Y112" s="21" t="str">
        <f>IF(COUNTIFS(KPI_Element_Map!$A$2:$A$287,$A112,KPI_Element_Map!$G$2:$G$287,Y$1)&gt;0,1,"")</f>
        <v/>
      </c>
      <c r="Z112" s="21" t="str">
        <f>IF(COUNTIFS(KPI_Element_Map!$A$2:$A$287,$A112,KPI_Element_Map!$G$2:$G$287,Z$1)&gt;0,1,"")</f>
        <v/>
      </c>
      <c r="AA112" s="21" t="str">
        <f>IF(COUNTIFS(KPI_Element_Map!$A$2:$A$287,$A112,KPI_Element_Map!$G$2:$G$287,AA$1)&gt;0,1,"")</f>
        <v/>
      </c>
      <c r="AB112" s="21" t="str">
        <f>IF(COUNTIFS(KPI_Element_Map!$A$2:$A$287,$A112,KPI_Element_Map!$G$2:$G$287,AB$1)&gt;0,1,"")</f>
        <v/>
      </c>
      <c r="AC112" s="21" t="str">
        <f>IF(COUNTIFS(KPI_Element_Map!$A$2:$A$287,$A112,KPI_Element_Map!$G$2:$G$287,AC$1)&gt;0,1,"")</f>
        <v/>
      </c>
      <c r="AD112" s="21" t="str">
        <f>IF(COUNTIFS(KPI_Element_Map!$A$2:$A$287,$A112,KPI_Element_Map!$G$2:$G$287,AD$1)&gt;0,1,"")</f>
        <v/>
      </c>
      <c r="AE112" s="21" t="str">
        <f>IF(COUNTIFS(KPI_Element_Map!$A$2:$A$287,$A112,KPI_Element_Map!$G$2:$G$287,AE$1)&gt;0,1,"")</f>
        <v/>
      </c>
      <c r="AF112" s="21" t="str">
        <f>IF(COUNTIFS(KPI_Element_Map!$A$2:$A$287,$A112,KPI_Element_Map!$G$2:$G$287,AF$1)&gt;0,1,"")</f>
        <v/>
      </c>
      <c r="AG112" s="21" t="str">
        <f>IF(COUNTIFS(KPI_Element_Map!$A$2:$A$287,$A112,KPI_Element_Map!$G$2:$G$287,AG$1)&gt;0,1,"")</f>
        <v/>
      </c>
      <c r="AH112" s="21" t="str">
        <f>IF(COUNTIFS(KPI_Element_Map!$A$2:$A$287,$A112,KPI_Element_Map!$G$2:$G$287,AH$1)&gt;0,1,"")</f>
        <v/>
      </c>
      <c r="AI112" s="21">
        <f>IF(COUNTIFS(KPI_Element_Map!$A$2:$A$287,$A112,KPI_Element_Map!$G$2:$G$287,AI$1)&gt;0,1,"")</f>
        <v>1</v>
      </c>
      <c r="AJ112" s="21" t="str">
        <f>IF(COUNTIFS(KPI_Element_Map!$A$2:$A$287,$A112,KPI_Element_Map!$G$2:$G$287,AJ$1)&gt;0,1,"")</f>
        <v/>
      </c>
      <c r="AK112" s="21" t="str">
        <f>IF(COUNTIFS(KPI_Element_Map!$A$2:$A$287,$A112,KPI_Element_Map!$G$2:$G$287,AK$1)&gt;0,1,"")</f>
        <v/>
      </c>
    </row>
    <row r="113" spans="1:37">
      <c r="A113" s="21">
        <v>112</v>
      </c>
      <c r="B113" s="23" t="str">
        <f>INDEX(KPI_Master!$B:$B,MATCH($A113,KPI_Master!$A:$A,0))</f>
        <v>PLAO-02</v>
      </c>
      <c r="C113" s="23" t="str">
        <f>INDEX(KPI_Master!$D:$D,MATCH($A113,KPI_Master!$A:$A,0))</f>
        <v>Work Order Backlog</v>
      </c>
      <c r="D113" s="23" t="str">
        <f>INDEX(KPI_Master!$K:$K,MATCH($A113,KPI_Master!$A:$A,0))</f>
        <v>1 - Core</v>
      </c>
      <c r="E113" s="23" t="str">
        <f t="array" ref="E113">_xlfn.TEXTJOIN(", ",TRUE(),IF(KPI_Element_Map!$A$2:$A$287=$A113,KPI_Element_Map!$E$2:$E$287,""))</f>
        <v>E55</v>
      </c>
      <c r="F113" s="21">
        <f t="shared" si="3"/>
        <v>1</v>
      </c>
      <c r="G113" s="21" t="str">
        <f>IF(COUNTIFS(KPI_Element_Map!$A$2:$A$287,$A113,KPI_Element_Map!$G$2:$G$287,G$1)&gt;0,1,"")</f>
        <v/>
      </c>
      <c r="H113" s="21" t="str">
        <f>IF(COUNTIFS(KPI_Element_Map!$A$2:$A$287,$A113,KPI_Element_Map!$G$2:$G$287,H$1)&gt;0,1,"")</f>
        <v/>
      </c>
      <c r="I113" s="21" t="str">
        <f>IF(COUNTIFS(KPI_Element_Map!$A$2:$A$287,$A113,KPI_Element_Map!$G$2:$G$287,I$1)&gt;0,1,"")</f>
        <v/>
      </c>
      <c r="J113" s="21" t="str">
        <f>IF(COUNTIFS(KPI_Element_Map!$A$2:$A$287,$A113,KPI_Element_Map!$G$2:$G$287,J$1)&gt;0,1,"")</f>
        <v/>
      </c>
      <c r="K113" s="21" t="str">
        <f>IF(COUNTIFS(KPI_Element_Map!$A$2:$A$287,$A113,KPI_Element_Map!$G$2:$G$287,K$1)&gt;0,1,"")</f>
        <v/>
      </c>
      <c r="L113" s="21" t="str">
        <f>IF(COUNTIFS(KPI_Element_Map!$A$2:$A$287,$A113,KPI_Element_Map!$G$2:$G$287,L$1)&gt;0,1,"")</f>
        <v/>
      </c>
      <c r="M113" s="21" t="str">
        <f>IF(COUNTIFS(KPI_Element_Map!$A$2:$A$287,$A113,KPI_Element_Map!$G$2:$G$287,M$1)&gt;0,1,"")</f>
        <v/>
      </c>
      <c r="N113" s="21" t="str">
        <f>IF(COUNTIFS(KPI_Element_Map!$A$2:$A$287,$A113,KPI_Element_Map!$G$2:$G$287,N$1)&gt;0,1,"")</f>
        <v/>
      </c>
      <c r="O113" s="21" t="str">
        <f>IF(COUNTIFS(KPI_Element_Map!$A$2:$A$287,$A113,KPI_Element_Map!$G$2:$G$287,O$1)&gt;0,1,"")</f>
        <v/>
      </c>
      <c r="P113" s="21" t="str">
        <f>IF(COUNTIFS(KPI_Element_Map!$A$2:$A$287,$A113,KPI_Element_Map!$G$2:$G$287,P$1)&gt;0,1,"")</f>
        <v/>
      </c>
      <c r="Q113" s="21" t="str">
        <f>IF(COUNTIFS(KPI_Element_Map!$A$2:$A$287,$A113,KPI_Element_Map!$G$2:$G$287,Q$1)&gt;0,1,"")</f>
        <v/>
      </c>
      <c r="R113" s="21" t="str">
        <f>IF(COUNTIFS(KPI_Element_Map!$A$2:$A$287,$A113,KPI_Element_Map!$G$2:$G$287,R$1)&gt;0,1,"")</f>
        <v/>
      </c>
      <c r="S113" s="21" t="str">
        <f>IF(COUNTIFS(KPI_Element_Map!$A$2:$A$287,$A113,KPI_Element_Map!$G$2:$G$287,S$1)&gt;0,1,"")</f>
        <v/>
      </c>
      <c r="T113" s="21" t="str">
        <f>IF(COUNTIFS(KPI_Element_Map!$A$2:$A$287,$A113,KPI_Element_Map!$G$2:$G$287,T$1)&gt;0,1,"")</f>
        <v/>
      </c>
      <c r="U113" s="21" t="str">
        <f>IF(COUNTIFS(KPI_Element_Map!$A$2:$A$287,$A113,KPI_Element_Map!$G$2:$G$287,U$1)&gt;0,1,"")</f>
        <v/>
      </c>
      <c r="V113" s="21" t="str">
        <f>IF(COUNTIFS(KPI_Element_Map!$A$2:$A$287,$A113,KPI_Element_Map!$G$2:$G$287,V$1)&gt;0,1,"")</f>
        <v/>
      </c>
      <c r="W113" s="21" t="str">
        <f>IF(COUNTIFS(KPI_Element_Map!$A$2:$A$287,$A113,KPI_Element_Map!$G$2:$G$287,W$1)&gt;0,1,"")</f>
        <v/>
      </c>
      <c r="X113" s="21" t="str">
        <f>IF(COUNTIFS(KPI_Element_Map!$A$2:$A$287,$A113,KPI_Element_Map!$G$2:$G$287,X$1)&gt;0,1,"")</f>
        <v/>
      </c>
      <c r="Y113" s="21" t="str">
        <f>IF(COUNTIFS(KPI_Element_Map!$A$2:$A$287,$A113,KPI_Element_Map!$G$2:$G$287,Y$1)&gt;0,1,"")</f>
        <v/>
      </c>
      <c r="Z113" s="21" t="str">
        <f>IF(COUNTIFS(KPI_Element_Map!$A$2:$A$287,$A113,KPI_Element_Map!$G$2:$G$287,Z$1)&gt;0,1,"")</f>
        <v/>
      </c>
      <c r="AA113" s="21" t="str">
        <f>IF(COUNTIFS(KPI_Element_Map!$A$2:$A$287,$A113,KPI_Element_Map!$G$2:$G$287,AA$1)&gt;0,1,"")</f>
        <v/>
      </c>
      <c r="AB113" s="21" t="str">
        <f>IF(COUNTIFS(KPI_Element_Map!$A$2:$A$287,$A113,KPI_Element_Map!$G$2:$G$287,AB$1)&gt;0,1,"")</f>
        <v/>
      </c>
      <c r="AC113" s="21" t="str">
        <f>IF(COUNTIFS(KPI_Element_Map!$A$2:$A$287,$A113,KPI_Element_Map!$G$2:$G$287,AC$1)&gt;0,1,"")</f>
        <v/>
      </c>
      <c r="AD113" s="21" t="str">
        <f>IF(COUNTIFS(KPI_Element_Map!$A$2:$A$287,$A113,KPI_Element_Map!$G$2:$G$287,AD$1)&gt;0,1,"")</f>
        <v/>
      </c>
      <c r="AE113" s="21" t="str">
        <f>IF(COUNTIFS(KPI_Element_Map!$A$2:$A$287,$A113,KPI_Element_Map!$G$2:$G$287,AE$1)&gt;0,1,"")</f>
        <v/>
      </c>
      <c r="AF113" s="21" t="str">
        <f>IF(COUNTIFS(KPI_Element_Map!$A$2:$A$287,$A113,KPI_Element_Map!$G$2:$G$287,AF$1)&gt;0,1,"")</f>
        <v/>
      </c>
      <c r="AG113" s="21" t="str">
        <f>IF(COUNTIFS(KPI_Element_Map!$A$2:$A$287,$A113,KPI_Element_Map!$G$2:$G$287,AG$1)&gt;0,1,"")</f>
        <v/>
      </c>
      <c r="AH113" s="21" t="str">
        <f>IF(COUNTIFS(KPI_Element_Map!$A$2:$A$287,$A113,KPI_Element_Map!$G$2:$G$287,AH$1)&gt;0,1,"")</f>
        <v/>
      </c>
      <c r="AI113" s="21">
        <f>IF(COUNTIFS(KPI_Element_Map!$A$2:$A$287,$A113,KPI_Element_Map!$G$2:$G$287,AI$1)&gt;0,1,"")</f>
        <v>1</v>
      </c>
      <c r="AJ113" s="21" t="str">
        <f>IF(COUNTIFS(KPI_Element_Map!$A$2:$A$287,$A113,KPI_Element_Map!$G$2:$G$287,AJ$1)&gt;0,1,"")</f>
        <v/>
      </c>
      <c r="AK113" s="21" t="str">
        <f>IF(COUNTIFS(KPI_Element_Map!$A$2:$A$287,$A113,KPI_Element_Map!$G$2:$G$287,AK$1)&gt;0,1,"")</f>
        <v/>
      </c>
    </row>
    <row r="114" spans="1:37">
      <c r="A114" s="21">
        <v>113</v>
      </c>
      <c r="B114" s="23" t="str">
        <f>INDEX(KPI_Master!$B:$B,MATCH($A114,KPI_Master!$A:$A,0))</f>
        <v>PLAO-07</v>
      </c>
      <c r="C114" s="23" t="str">
        <f>INDEX(KPI_Master!$D:$D,MATCH($A114,KPI_Master!$A:$A,0))</f>
        <v>Maintenance Cost per Occupied Unit</v>
      </c>
      <c r="D114" s="23" t="str">
        <f>INDEX(KPI_Master!$K:$K,MATCH($A114,KPI_Master!$A:$A,0))</f>
        <v>2 - Standard</v>
      </c>
      <c r="E114" s="23" t="str">
        <f t="array" ref="E114">_xlfn.TEXTJOIN(", ",TRUE(),IF(KPI_Element_Map!$A$2:$A$287=$A114,KPI_Element_Map!$E$2:$E$287,""))</f>
        <v>E57, E27, E02</v>
      </c>
      <c r="F114" s="21">
        <f t="shared" si="3"/>
        <v>3</v>
      </c>
      <c r="G114" s="21">
        <f>IF(COUNTIFS(KPI_Element_Map!$A$2:$A$287,$A114,KPI_Element_Map!$G$2:$G$287,G$1)&gt;0,1,"")</f>
        <v>1</v>
      </c>
      <c r="H114" s="21" t="str">
        <f>IF(COUNTIFS(KPI_Element_Map!$A$2:$A$287,$A114,KPI_Element_Map!$G$2:$G$287,H$1)&gt;0,1,"")</f>
        <v/>
      </c>
      <c r="I114" s="21" t="str">
        <f>IF(COUNTIFS(KPI_Element_Map!$A$2:$A$287,$A114,KPI_Element_Map!$G$2:$G$287,I$1)&gt;0,1,"")</f>
        <v/>
      </c>
      <c r="J114" s="21" t="str">
        <f>IF(COUNTIFS(KPI_Element_Map!$A$2:$A$287,$A114,KPI_Element_Map!$G$2:$G$287,J$1)&gt;0,1,"")</f>
        <v/>
      </c>
      <c r="K114" s="21" t="str">
        <f>IF(COUNTIFS(KPI_Element_Map!$A$2:$A$287,$A114,KPI_Element_Map!$G$2:$G$287,K$1)&gt;0,1,"")</f>
        <v/>
      </c>
      <c r="L114" s="21">
        <f>IF(COUNTIFS(KPI_Element_Map!$A$2:$A$287,$A114,KPI_Element_Map!$G$2:$G$287,L$1)&gt;0,1,"")</f>
        <v>1</v>
      </c>
      <c r="M114" s="21" t="str">
        <f>IF(COUNTIFS(KPI_Element_Map!$A$2:$A$287,$A114,KPI_Element_Map!$G$2:$G$287,M$1)&gt;0,1,"")</f>
        <v/>
      </c>
      <c r="N114" s="21" t="str">
        <f>IF(COUNTIFS(KPI_Element_Map!$A$2:$A$287,$A114,KPI_Element_Map!$G$2:$G$287,N$1)&gt;0,1,"")</f>
        <v/>
      </c>
      <c r="O114" s="21" t="str">
        <f>IF(COUNTIFS(KPI_Element_Map!$A$2:$A$287,$A114,KPI_Element_Map!$G$2:$G$287,O$1)&gt;0,1,"")</f>
        <v/>
      </c>
      <c r="P114" s="21" t="str">
        <f>IF(COUNTIFS(KPI_Element_Map!$A$2:$A$287,$A114,KPI_Element_Map!$G$2:$G$287,P$1)&gt;0,1,"")</f>
        <v/>
      </c>
      <c r="Q114" s="21" t="str">
        <f>IF(COUNTIFS(KPI_Element_Map!$A$2:$A$287,$A114,KPI_Element_Map!$G$2:$G$287,Q$1)&gt;0,1,"")</f>
        <v/>
      </c>
      <c r="R114" s="21" t="str">
        <f>IF(COUNTIFS(KPI_Element_Map!$A$2:$A$287,$A114,KPI_Element_Map!$G$2:$G$287,R$1)&gt;0,1,"")</f>
        <v/>
      </c>
      <c r="S114" s="21" t="str">
        <f>IF(COUNTIFS(KPI_Element_Map!$A$2:$A$287,$A114,KPI_Element_Map!$G$2:$G$287,S$1)&gt;0,1,"")</f>
        <v/>
      </c>
      <c r="T114" s="21" t="str">
        <f>IF(COUNTIFS(KPI_Element_Map!$A$2:$A$287,$A114,KPI_Element_Map!$G$2:$G$287,T$1)&gt;0,1,"")</f>
        <v/>
      </c>
      <c r="U114" s="21" t="str">
        <f>IF(COUNTIFS(KPI_Element_Map!$A$2:$A$287,$A114,KPI_Element_Map!$G$2:$G$287,U$1)&gt;0,1,"")</f>
        <v/>
      </c>
      <c r="V114" s="21" t="str">
        <f>IF(COUNTIFS(KPI_Element_Map!$A$2:$A$287,$A114,KPI_Element_Map!$G$2:$G$287,V$1)&gt;0,1,"")</f>
        <v/>
      </c>
      <c r="W114" s="21" t="str">
        <f>IF(COUNTIFS(KPI_Element_Map!$A$2:$A$287,$A114,KPI_Element_Map!$G$2:$G$287,W$1)&gt;0,1,"")</f>
        <v/>
      </c>
      <c r="X114" s="21" t="str">
        <f>IF(COUNTIFS(KPI_Element_Map!$A$2:$A$287,$A114,KPI_Element_Map!$G$2:$G$287,X$1)&gt;0,1,"")</f>
        <v/>
      </c>
      <c r="Y114" s="21" t="str">
        <f>IF(COUNTIFS(KPI_Element_Map!$A$2:$A$287,$A114,KPI_Element_Map!$G$2:$G$287,Y$1)&gt;0,1,"")</f>
        <v/>
      </c>
      <c r="Z114" s="21" t="str">
        <f>IF(COUNTIFS(KPI_Element_Map!$A$2:$A$287,$A114,KPI_Element_Map!$G$2:$G$287,Z$1)&gt;0,1,"")</f>
        <v/>
      </c>
      <c r="AA114" s="21" t="str">
        <f>IF(COUNTIFS(KPI_Element_Map!$A$2:$A$287,$A114,KPI_Element_Map!$G$2:$G$287,AA$1)&gt;0,1,"")</f>
        <v/>
      </c>
      <c r="AB114" s="21" t="str">
        <f>IF(COUNTIFS(KPI_Element_Map!$A$2:$A$287,$A114,KPI_Element_Map!$G$2:$G$287,AB$1)&gt;0,1,"")</f>
        <v/>
      </c>
      <c r="AC114" s="21" t="str">
        <f>IF(COUNTIFS(KPI_Element_Map!$A$2:$A$287,$A114,KPI_Element_Map!$G$2:$G$287,AC$1)&gt;0,1,"")</f>
        <v/>
      </c>
      <c r="AD114" s="21" t="str">
        <f>IF(COUNTIFS(KPI_Element_Map!$A$2:$A$287,$A114,KPI_Element_Map!$G$2:$G$287,AD$1)&gt;0,1,"")</f>
        <v/>
      </c>
      <c r="AE114" s="21" t="str">
        <f>IF(COUNTIFS(KPI_Element_Map!$A$2:$A$287,$A114,KPI_Element_Map!$G$2:$G$287,AE$1)&gt;0,1,"")</f>
        <v/>
      </c>
      <c r="AF114" s="21" t="str">
        <f>IF(COUNTIFS(KPI_Element_Map!$A$2:$A$287,$A114,KPI_Element_Map!$G$2:$G$287,AF$1)&gt;0,1,"")</f>
        <v/>
      </c>
      <c r="AG114" s="21" t="str">
        <f>IF(COUNTIFS(KPI_Element_Map!$A$2:$A$287,$A114,KPI_Element_Map!$G$2:$G$287,AG$1)&gt;0,1,"")</f>
        <v/>
      </c>
      <c r="AH114" s="21" t="str">
        <f>IF(COUNTIFS(KPI_Element_Map!$A$2:$A$287,$A114,KPI_Element_Map!$G$2:$G$287,AH$1)&gt;0,1,"")</f>
        <v/>
      </c>
      <c r="AI114" s="21" t="str">
        <f>IF(COUNTIFS(KPI_Element_Map!$A$2:$A$287,$A114,KPI_Element_Map!$G$2:$G$287,AI$1)&gt;0,1,"")</f>
        <v/>
      </c>
      <c r="AJ114" s="21" t="str">
        <f>IF(COUNTIFS(KPI_Element_Map!$A$2:$A$287,$A114,KPI_Element_Map!$G$2:$G$287,AJ$1)&gt;0,1,"")</f>
        <v/>
      </c>
      <c r="AK114" s="21">
        <f>IF(COUNTIFS(KPI_Element_Map!$A$2:$A$287,$A114,KPI_Element_Map!$G$2:$G$287,AK$1)&gt;0,1,"")</f>
        <v>1</v>
      </c>
    </row>
    <row r="115" spans="1:37">
      <c r="A115" s="21">
        <v>114</v>
      </c>
      <c r="B115" s="23" t="str">
        <f>INDEX(KPI_Master!$B:$B,MATCH($A115,KPI_Master!$A:$A,0))</f>
        <v>PLAO-08</v>
      </c>
      <c r="C115" s="23" t="str">
        <f>INDEX(KPI_Master!$D:$D,MATCH($A115,KPI_Master!$A:$A,0))</f>
        <v>Energy Cost per Square Foot</v>
      </c>
      <c r="D115" s="23" t="str">
        <f>INDEX(KPI_Master!$K:$K,MATCH($A115,KPI_Master!$A:$A,0))</f>
        <v>2 - Standard</v>
      </c>
      <c r="E115" s="23" t="str">
        <f t="array" ref="E115">_xlfn.TEXTJOIN(", ",TRUE(),IF(KPI_Element_Map!$A$2:$A$287=$A115,KPI_Element_Map!$E$2:$E$287,""))</f>
        <v>E17, E12</v>
      </c>
      <c r="F115" s="21">
        <f t="shared" si="3"/>
        <v>2</v>
      </c>
      <c r="G115" s="21" t="str">
        <f>IF(COUNTIFS(KPI_Element_Map!$A$2:$A$287,$A115,KPI_Element_Map!$G$2:$G$287,G$1)&gt;0,1,"")</f>
        <v/>
      </c>
      <c r="H115" s="21">
        <f>IF(COUNTIFS(KPI_Element_Map!$A$2:$A$287,$A115,KPI_Element_Map!$G$2:$G$287,H$1)&gt;0,1,"")</f>
        <v>1</v>
      </c>
      <c r="I115" s="21">
        <f>IF(COUNTIFS(KPI_Element_Map!$A$2:$A$287,$A115,KPI_Element_Map!$G$2:$G$287,I$1)&gt;0,1,"")</f>
        <v>1</v>
      </c>
      <c r="J115" s="21" t="str">
        <f>IF(COUNTIFS(KPI_Element_Map!$A$2:$A$287,$A115,KPI_Element_Map!$G$2:$G$287,J$1)&gt;0,1,"")</f>
        <v/>
      </c>
      <c r="K115" s="21" t="str">
        <f>IF(COUNTIFS(KPI_Element_Map!$A$2:$A$287,$A115,KPI_Element_Map!$G$2:$G$287,K$1)&gt;0,1,"")</f>
        <v/>
      </c>
      <c r="L115" s="21" t="str">
        <f>IF(COUNTIFS(KPI_Element_Map!$A$2:$A$287,$A115,KPI_Element_Map!$G$2:$G$287,L$1)&gt;0,1,"")</f>
        <v/>
      </c>
      <c r="M115" s="21" t="str">
        <f>IF(COUNTIFS(KPI_Element_Map!$A$2:$A$287,$A115,KPI_Element_Map!$G$2:$G$287,M$1)&gt;0,1,"")</f>
        <v/>
      </c>
      <c r="N115" s="21" t="str">
        <f>IF(COUNTIFS(KPI_Element_Map!$A$2:$A$287,$A115,KPI_Element_Map!$G$2:$G$287,N$1)&gt;0,1,"")</f>
        <v/>
      </c>
      <c r="O115" s="21" t="str">
        <f>IF(COUNTIFS(KPI_Element_Map!$A$2:$A$287,$A115,KPI_Element_Map!$G$2:$G$287,O$1)&gt;0,1,"")</f>
        <v/>
      </c>
      <c r="P115" s="21" t="str">
        <f>IF(COUNTIFS(KPI_Element_Map!$A$2:$A$287,$A115,KPI_Element_Map!$G$2:$G$287,P$1)&gt;0,1,"")</f>
        <v/>
      </c>
      <c r="Q115" s="21" t="str">
        <f>IF(COUNTIFS(KPI_Element_Map!$A$2:$A$287,$A115,KPI_Element_Map!$G$2:$G$287,Q$1)&gt;0,1,"")</f>
        <v/>
      </c>
      <c r="R115" s="21" t="str">
        <f>IF(COUNTIFS(KPI_Element_Map!$A$2:$A$287,$A115,KPI_Element_Map!$G$2:$G$287,R$1)&gt;0,1,"")</f>
        <v/>
      </c>
      <c r="S115" s="21" t="str">
        <f>IF(COUNTIFS(KPI_Element_Map!$A$2:$A$287,$A115,KPI_Element_Map!$G$2:$G$287,S$1)&gt;0,1,"")</f>
        <v/>
      </c>
      <c r="T115" s="21" t="str">
        <f>IF(COUNTIFS(KPI_Element_Map!$A$2:$A$287,$A115,KPI_Element_Map!$G$2:$G$287,T$1)&gt;0,1,"")</f>
        <v/>
      </c>
      <c r="U115" s="21" t="str">
        <f>IF(COUNTIFS(KPI_Element_Map!$A$2:$A$287,$A115,KPI_Element_Map!$G$2:$G$287,U$1)&gt;0,1,"")</f>
        <v/>
      </c>
      <c r="V115" s="21" t="str">
        <f>IF(COUNTIFS(KPI_Element_Map!$A$2:$A$287,$A115,KPI_Element_Map!$G$2:$G$287,V$1)&gt;0,1,"")</f>
        <v/>
      </c>
      <c r="W115" s="21" t="str">
        <f>IF(COUNTIFS(KPI_Element_Map!$A$2:$A$287,$A115,KPI_Element_Map!$G$2:$G$287,W$1)&gt;0,1,"")</f>
        <v/>
      </c>
      <c r="X115" s="21" t="str">
        <f>IF(COUNTIFS(KPI_Element_Map!$A$2:$A$287,$A115,KPI_Element_Map!$G$2:$G$287,X$1)&gt;0,1,"")</f>
        <v/>
      </c>
      <c r="Y115" s="21" t="str">
        <f>IF(COUNTIFS(KPI_Element_Map!$A$2:$A$287,$A115,KPI_Element_Map!$G$2:$G$287,Y$1)&gt;0,1,"")</f>
        <v/>
      </c>
      <c r="Z115" s="21" t="str">
        <f>IF(COUNTIFS(KPI_Element_Map!$A$2:$A$287,$A115,KPI_Element_Map!$G$2:$G$287,Z$1)&gt;0,1,"")</f>
        <v/>
      </c>
      <c r="AA115" s="21" t="str">
        <f>IF(COUNTIFS(KPI_Element_Map!$A$2:$A$287,$A115,KPI_Element_Map!$G$2:$G$287,AA$1)&gt;0,1,"")</f>
        <v/>
      </c>
      <c r="AB115" s="21" t="str">
        <f>IF(COUNTIFS(KPI_Element_Map!$A$2:$A$287,$A115,KPI_Element_Map!$G$2:$G$287,AB$1)&gt;0,1,"")</f>
        <v/>
      </c>
      <c r="AC115" s="21" t="str">
        <f>IF(COUNTIFS(KPI_Element_Map!$A$2:$A$287,$A115,KPI_Element_Map!$G$2:$G$287,AC$1)&gt;0,1,"")</f>
        <v/>
      </c>
      <c r="AD115" s="21" t="str">
        <f>IF(COUNTIFS(KPI_Element_Map!$A$2:$A$287,$A115,KPI_Element_Map!$G$2:$G$287,AD$1)&gt;0,1,"")</f>
        <v/>
      </c>
      <c r="AE115" s="21" t="str">
        <f>IF(COUNTIFS(KPI_Element_Map!$A$2:$A$287,$A115,KPI_Element_Map!$G$2:$G$287,AE$1)&gt;0,1,"")</f>
        <v/>
      </c>
      <c r="AF115" s="21" t="str">
        <f>IF(COUNTIFS(KPI_Element_Map!$A$2:$A$287,$A115,KPI_Element_Map!$G$2:$G$287,AF$1)&gt;0,1,"")</f>
        <v/>
      </c>
      <c r="AG115" s="21" t="str">
        <f>IF(COUNTIFS(KPI_Element_Map!$A$2:$A$287,$A115,KPI_Element_Map!$G$2:$G$287,AG$1)&gt;0,1,"")</f>
        <v/>
      </c>
      <c r="AH115" s="21" t="str">
        <f>IF(COUNTIFS(KPI_Element_Map!$A$2:$A$287,$A115,KPI_Element_Map!$G$2:$G$287,AH$1)&gt;0,1,"")</f>
        <v/>
      </c>
      <c r="AI115" s="21" t="str">
        <f>IF(COUNTIFS(KPI_Element_Map!$A$2:$A$287,$A115,KPI_Element_Map!$G$2:$G$287,AI$1)&gt;0,1,"")</f>
        <v/>
      </c>
      <c r="AJ115" s="21" t="str">
        <f>IF(COUNTIFS(KPI_Element_Map!$A$2:$A$287,$A115,KPI_Element_Map!$G$2:$G$287,AJ$1)&gt;0,1,"")</f>
        <v/>
      </c>
      <c r="AK115" s="21" t="str">
        <f>IF(COUNTIFS(KPI_Element_Map!$A$2:$A$287,$A115,KPI_Element_Map!$G$2:$G$287,AK$1)&gt;0,1,"")</f>
        <v/>
      </c>
    </row>
    <row r="116" spans="1:37">
      <c r="A116" s="21">
        <v>115</v>
      </c>
      <c r="B116" s="23" t="str">
        <f>INDEX(KPI_Master!$B:$B,MATCH($A116,KPI_Master!$A:$A,0))</f>
        <v>PLAO-09</v>
      </c>
      <c r="C116" s="23" t="str">
        <f>INDEX(KPI_Master!$D:$D,MATCH($A116,KPI_Master!$A:$A,0))</f>
        <v>Utility Consumption per Resident Day</v>
      </c>
      <c r="D116" s="23" t="str">
        <f>INDEX(KPI_Master!$K:$K,MATCH($A116,KPI_Master!$A:$A,0))</f>
        <v>3 - Optional</v>
      </c>
      <c r="E116" s="23" t="str">
        <f t="array" ref="E116">_xlfn.TEXTJOIN(", ",TRUE(),IF(KPI_Element_Map!$A$2:$A$287=$A116,KPI_Element_Map!$E$2:$E$287,""))</f>
        <v>E56, E01</v>
      </c>
      <c r="F116" s="21">
        <f t="shared" si="3"/>
        <v>2</v>
      </c>
      <c r="G116" s="21">
        <f>IF(COUNTIFS(KPI_Element_Map!$A$2:$A$287,$A116,KPI_Element_Map!$G$2:$G$287,G$1)&gt;0,1,"")</f>
        <v>1</v>
      </c>
      <c r="H116" s="21" t="str">
        <f>IF(COUNTIFS(KPI_Element_Map!$A$2:$A$287,$A116,KPI_Element_Map!$G$2:$G$287,H$1)&gt;0,1,"")</f>
        <v/>
      </c>
      <c r="I116" s="21" t="str">
        <f>IF(COUNTIFS(KPI_Element_Map!$A$2:$A$287,$A116,KPI_Element_Map!$G$2:$G$287,I$1)&gt;0,1,"")</f>
        <v/>
      </c>
      <c r="J116" s="21" t="str">
        <f>IF(COUNTIFS(KPI_Element_Map!$A$2:$A$287,$A116,KPI_Element_Map!$G$2:$G$287,J$1)&gt;0,1,"")</f>
        <v/>
      </c>
      <c r="K116" s="21" t="str">
        <f>IF(COUNTIFS(KPI_Element_Map!$A$2:$A$287,$A116,KPI_Element_Map!$G$2:$G$287,K$1)&gt;0,1,"")</f>
        <v/>
      </c>
      <c r="L116" s="21" t="str">
        <f>IF(COUNTIFS(KPI_Element_Map!$A$2:$A$287,$A116,KPI_Element_Map!$G$2:$G$287,L$1)&gt;0,1,"")</f>
        <v/>
      </c>
      <c r="M116" s="21" t="str">
        <f>IF(COUNTIFS(KPI_Element_Map!$A$2:$A$287,$A116,KPI_Element_Map!$G$2:$G$287,M$1)&gt;0,1,"")</f>
        <v/>
      </c>
      <c r="N116" s="21" t="str">
        <f>IF(COUNTIFS(KPI_Element_Map!$A$2:$A$287,$A116,KPI_Element_Map!$G$2:$G$287,N$1)&gt;0,1,"")</f>
        <v/>
      </c>
      <c r="O116" s="21" t="str">
        <f>IF(COUNTIFS(KPI_Element_Map!$A$2:$A$287,$A116,KPI_Element_Map!$G$2:$G$287,O$1)&gt;0,1,"")</f>
        <v/>
      </c>
      <c r="P116" s="21" t="str">
        <f>IF(COUNTIFS(KPI_Element_Map!$A$2:$A$287,$A116,KPI_Element_Map!$G$2:$G$287,P$1)&gt;0,1,"")</f>
        <v/>
      </c>
      <c r="Q116" s="21" t="str">
        <f>IF(COUNTIFS(KPI_Element_Map!$A$2:$A$287,$A116,KPI_Element_Map!$G$2:$G$287,Q$1)&gt;0,1,"")</f>
        <v/>
      </c>
      <c r="R116" s="21" t="str">
        <f>IF(COUNTIFS(KPI_Element_Map!$A$2:$A$287,$A116,KPI_Element_Map!$G$2:$G$287,R$1)&gt;0,1,"")</f>
        <v/>
      </c>
      <c r="S116" s="21" t="str">
        <f>IF(COUNTIFS(KPI_Element_Map!$A$2:$A$287,$A116,KPI_Element_Map!$G$2:$G$287,S$1)&gt;0,1,"")</f>
        <v/>
      </c>
      <c r="T116" s="21" t="str">
        <f>IF(COUNTIFS(KPI_Element_Map!$A$2:$A$287,$A116,KPI_Element_Map!$G$2:$G$287,T$1)&gt;0,1,"")</f>
        <v/>
      </c>
      <c r="U116" s="21" t="str">
        <f>IF(COUNTIFS(KPI_Element_Map!$A$2:$A$287,$A116,KPI_Element_Map!$G$2:$G$287,U$1)&gt;0,1,"")</f>
        <v/>
      </c>
      <c r="V116" s="21" t="str">
        <f>IF(COUNTIFS(KPI_Element_Map!$A$2:$A$287,$A116,KPI_Element_Map!$G$2:$G$287,V$1)&gt;0,1,"")</f>
        <v/>
      </c>
      <c r="W116" s="21" t="str">
        <f>IF(COUNTIFS(KPI_Element_Map!$A$2:$A$287,$A116,KPI_Element_Map!$G$2:$G$287,W$1)&gt;0,1,"")</f>
        <v/>
      </c>
      <c r="X116" s="21" t="str">
        <f>IF(COUNTIFS(KPI_Element_Map!$A$2:$A$287,$A116,KPI_Element_Map!$G$2:$G$287,X$1)&gt;0,1,"")</f>
        <v/>
      </c>
      <c r="Y116" s="21" t="str">
        <f>IF(COUNTIFS(KPI_Element_Map!$A$2:$A$287,$A116,KPI_Element_Map!$G$2:$G$287,Y$1)&gt;0,1,"")</f>
        <v/>
      </c>
      <c r="Z116" s="21" t="str">
        <f>IF(COUNTIFS(KPI_Element_Map!$A$2:$A$287,$A116,KPI_Element_Map!$G$2:$G$287,Z$1)&gt;0,1,"")</f>
        <v/>
      </c>
      <c r="AA116" s="21" t="str">
        <f>IF(COUNTIFS(KPI_Element_Map!$A$2:$A$287,$A116,KPI_Element_Map!$G$2:$G$287,AA$1)&gt;0,1,"")</f>
        <v/>
      </c>
      <c r="AB116" s="21" t="str">
        <f>IF(COUNTIFS(KPI_Element_Map!$A$2:$A$287,$A116,KPI_Element_Map!$G$2:$G$287,AB$1)&gt;0,1,"")</f>
        <v/>
      </c>
      <c r="AC116" s="21" t="str">
        <f>IF(COUNTIFS(KPI_Element_Map!$A$2:$A$287,$A116,KPI_Element_Map!$G$2:$G$287,AC$1)&gt;0,1,"")</f>
        <v/>
      </c>
      <c r="AD116" s="21" t="str">
        <f>IF(COUNTIFS(KPI_Element_Map!$A$2:$A$287,$A116,KPI_Element_Map!$G$2:$G$287,AD$1)&gt;0,1,"")</f>
        <v/>
      </c>
      <c r="AE116" s="21" t="str">
        <f>IF(COUNTIFS(KPI_Element_Map!$A$2:$A$287,$A116,KPI_Element_Map!$G$2:$G$287,AE$1)&gt;0,1,"")</f>
        <v/>
      </c>
      <c r="AF116" s="21" t="str">
        <f>IF(COUNTIFS(KPI_Element_Map!$A$2:$A$287,$A116,KPI_Element_Map!$G$2:$G$287,AF$1)&gt;0,1,"")</f>
        <v/>
      </c>
      <c r="AG116" s="21" t="str">
        <f>IF(COUNTIFS(KPI_Element_Map!$A$2:$A$287,$A116,KPI_Element_Map!$G$2:$G$287,AG$1)&gt;0,1,"")</f>
        <v/>
      </c>
      <c r="AH116" s="21" t="str">
        <f>IF(COUNTIFS(KPI_Element_Map!$A$2:$A$287,$A116,KPI_Element_Map!$G$2:$G$287,AH$1)&gt;0,1,"")</f>
        <v/>
      </c>
      <c r="AI116" s="21" t="str">
        <f>IF(COUNTIFS(KPI_Element_Map!$A$2:$A$287,$A116,KPI_Element_Map!$G$2:$G$287,AI$1)&gt;0,1,"")</f>
        <v/>
      </c>
      <c r="AJ116" s="21">
        <f>IF(COUNTIFS(KPI_Element_Map!$A$2:$A$287,$A116,KPI_Element_Map!$G$2:$G$287,AJ$1)&gt;0,1,"")</f>
        <v>1</v>
      </c>
      <c r="AK116" s="21" t="str">
        <f>IF(COUNTIFS(KPI_Element_Map!$A$2:$A$287,$A116,KPI_Element_Map!$G$2:$G$287,AK$1)&gt;0,1,"")</f>
        <v/>
      </c>
    </row>
    <row r="117" spans="1:37">
      <c r="A117" s="21">
        <v>116</v>
      </c>
      <c r="B117" s="23" t="str">
        <f>INDEX(KPI_Master!$B:$B,MATCH($A117,KPI_Master!$A:$A,0))</f>
        <v>PLAO-10</v>
      </c>
      <c r="C117" s="23" t="str">
        <f>INDEX(KPI_Master!$D:$D,MATCH($A117,KPI_Master!$A:$A,0))</f>
        <v>Life Safety Inspection Compliance</v>
      </c>
      <c r="D117" s="23" t="str">
        <f>INDEX(KPI_Master!$K:$K,MATCH($A117,KPI_Master!$A:$A,0))</f>
        <v>1 - Core</v>
      </c>
      <c r="E117" s="23" t="str">
        <f t="array" ref="E117">_xlfn.TEXTJOIN(", ",TRUE(),IF(KPI_Element_Map!$A$2:$A$287=$A117,KPI_Element_Map!$E$2:$E$287,""))</f>
        <v>E55</v>
      </c>
      <c r="F117" s="21">
        <f t="shared" si="3"/>
        <v>1</v>
      </c>
      <c r="G117" s="21" t="str">
        <f>IF(COUNTIFS(KPI_Element_Map!$A$2:$A$287,$A117,KPI_Element_Map!$G$2:$G$287,G$1)&gt;0,1,"")</f>
        <v/>
      </c>
      <c r="H117" s="21" t="str">
        <f>IF(COUNTIFS(KPI_Element_Map!$A$2:$A$287,$A117,KPI_Element_Map!$G$2:$G$287,H$1)&gt;0,1,"")</f>
        <v/>
      </c>
      <c r="I117" s="21" t="str">
        <f>IF(COUNTIFS(KPI_Element_Map!$A$2:$A$287,$A117,KPI_Element_Map!$G$2:$G$287,I$1)&gt;0,1,"")</f>
        <v/>
      </c>
      <c r="J117" s="21" t="str">
        <f>IF(COUNTIFS(KPI_Element_Map!$A$2:$A$287,$A117,KPI_Element_Map!$G$2:$G$287,J$1)&gt;0,1,"")</f>
        <v/>
      </c>
      <c r="K117" s="21" t="str">
        <f>IF(COUNTIFS(KPI_Element_Map!$A$2:$A$287,$A117,KPI_Element_Map!$G$2:$G$287,K$1)&gt;0,1,"")</f>
        <v/>
      </c>
      <c r="L117" s="21" t="str">
        <f>IF(COUNTIFS(KPI_Element_Map!$A$2:$A$287,$A117,KPI_Element_Map!$G$2:$G$287,L$1)&gt;0,1,"")</f>
        <v/>
      </c>
      <c r="M117" s="21" t="str">
        <f>IF(COUNTIFS(KPI_Element_Map!$A$2:$A$287,$A117,KPI_Element_Map!$G$2:$G$287,M$1)&gt;0,1,"")</f>
        <v/>
      </c>
      <c r="N117" s="21" t="str">
        <f>IF(COUNTIFS(KPI_Element_Map!$A$2:$A$287,$A117,KPI_Element_Map!$G$2:$G$287,N$1)&gt;0,1,"")</f>
        <v/>
      </c>
      <c r="O117" s="21" t="str">
        <f>IF(COUNTIFS(KPI_Element_Map!$A$2:$A$287,$A117,KPI_Element_Map!$G$2:$G$287,O$1)&gt;0,1,"")</f>
        <v/>
      </c>
      <c r="P117" s="21" t="str">
        <f>IF(COUNTIFS(KPI_Element_Map!$A$2:$A$287,$A117,KPI_Element_Map!$G$2:$G$287,P$1)&gt;0,1,"")</f>
        <v/>
      </c>
      <c r="Q117" s="21" t="str">
        <f>IF(COUNTIFS(KPI_Element_Map!$A$2:$A$287,$A117,KPI_Element_Map!$G$2:$G$287,Q$1)&gt;0,1,"")</f>
        <v/>
      </c>
      <c r="R117" s="21" t="str">
        <f>IF(COUNTIFS(KPI_Element_Map!$A$2:$A$287,$A117,KPI_Element_Map!$G$2:$G$287,R$1)&gt;0,1,"")</f>
        <v/>
      </c>
      <c r="S117" s="21" t="str">
        <f>IF(COUNTIFS(KPI_Element_Map!$A$2:$A$287,$A117,KPI_Element_Map!$G$2:$G$287,S$1)&gt;0,1,"")</f>
        <v/>
      </c>
      <c r="T117" s="21" t="str">
        <f>IF(COUNTIFS(KPI_Element_Map!$A$2:$A$287,$A117,KPI_Element_Map!$G$2:$G$287,T$1)&gt;0,1,"")</f>
        <v/>
      </c>
      <c r="U117" s="21" t="str">
        <f>IF(COUNTIFS(KPI_Element_Map!$A$2:$A$287,$A117,KPI_Element_Map!$G$2:$G$287,U$1)&gt;0,1,"")</f>
        <v/>
      </c>
      <c r="V117" s="21" t="str">
        <f>IF(COUNTIFS(KPI_Element_Map!$A$2:$A$287,$A117,KPI_Element_Map!$G$2:$G$287,V$1)&gt;0,1,"")</f>
        <v/>
      </c>
      <c r="W117" s="21" t="str">
        <f>IF(COUNTIFS(KPI_Element_Map!$A$2:$A$287,$A117,KPI_Element_Map!$G$2:$G$287,W$1)&gt;0,1,"")</f>
        <v/>
      </c>
      <c r="X117" s="21" t="str">
        <f>IF(COUNTIFS(KPI_Element_Map!$A$2:$A$287,$A117,KPI_Element_Map!$G$2:$G$287,X$1)&gt;0,1,"")</f>
        <v/>
      </c>
      <c r="Y117" s="21" t="str">
        <f>IF(COUNTIFS(KPI_Element_Map!$A$2:$A$287,$A117,KPI_Element_Map!$G$2:$G$287,Y$1)&gt;0,1,"")</f>
        <v/>
      </c>
      <c r="Z117" s="21" t="str">
        <f>IF(COUNTIFS(KPI_Element_Map!$A$2:$A$287,$A117,KPI_Element_Map!$G$2:$G$287,Z$1)&gt;0,1,"")</f>
        <v/>
      </c>
      <c r="AA117" s="21" t="str">
        <f>IF(COUNTIFS(KPI_Element_Map!$A$2:$A$287,$A117,KPI_Element_Map!$G$2:$G$287,AA$1)&gt;0,1,"")</f>
        <v/>
      </c>
      <c r="AB117" s="21" t="str">
        <f>IF(COUNTIFS(KPI_Element_Map!$A$2:$A$287,$A117,KPI_Element_Map!$G$2:$G$287,AB$1)&gt;0,1,"")</f>
        <v/>
      </c>
      <c r="AC117" s="21" t="str">
        <f>IF(COUNTIFS(KPI_Element_Map!$A$2:$A$287,$A117,KPI_Element_Map!$G$2:$G$287,AC$1)&gt;0,1,"")</f>
        <v/>
      </c>
      <c r="AD117" s="21" t="str">
        <f>IF(COUNTIFS(KPI_Element_Map!$A$2:$A$287,$A117,KPI_Element_Map!$G$2:$G$287,AD$1)&gt;0,1,"")</f>
        <v/>
      </c>
      <c r="AE117" s="21" t="str">
        <f>IF(COUNTIFS(KPI_Element_Map!$A$2:$A$287,$A117,KPI_Element_Map!$G$2:$G$287,AE$1)&gt;0,1,"")</f>
        <v/>
      </c>
      <c r="AF117" s="21" t="str">
        <f>IF(COUNTIFS(KPI_Element_Map!$A$2:$A$287,$A117,KPI_Element_Map!$G$2:$G$287,AF$1)&gt;0,1,"")</f>
        <v/>
      </c>
      <c r="AG117" s="21" t="str">
        <f>IF(COUNTIFS(KPI_Element_Map!$A$2:$A$287,$A117,KPI_Element_Map!$G$2:$G$287,AG$1)&gt;0,1,"")</f>
        <v/>
      </c>
      <c r="AH117" s="21" t="str">
        <f>IF(COUNTIFS(KPI_Element_Map!$A$2:$A$287,$A117,KPI_Element_Map!$G$2:$G$287,AH$1)&gt;0,1,"")</f>
        <v/>
      </c>
      <c r="AI117" s="21">
        <f>IF(COUNTIFS(KPI_Element_Map!$A$2:$A$287,$A117,KPI_Element_Map!$G$2:$G$287,AI$1)&gt;0,1,"")</f>
        <v>1</v>
      </c>
      <c r="AJ117" s="21" t="str">
        <f>IF(COUNTIFS(KPI_Element_Map!$A$2:$A$287,$A117,KPI_Element_Map!$G$2:$G$287,AJ$1)&gt;0,1,"")</f>
        <v/>
      </c>
      <c r="AK117" s="21" t="str">
        <f>IF(COUNTIFS(KPI_Element_Map!$A$2:$A$287,$A117,KPI_Element_Map!$G$2:$G$287,AK$1)&gt;0,1,"")</f>
        <v/>
      </c>
    </row>
    <row r="118" spans="1:37">
      <c r="A118" s="21">
        <v>117</v>
      </c>
      <c r="B118" s="23" t="str">
        <f>INDEX(KPI_Master!$B:$B,MATCH($A118,KPI_Master!$A:$A,0))</f>
        <v>PLAO-13</v>
      </c>
      <c r="C118" s="23" t="str">
        <f>INDEX(KPI_Master!$D:$D,MATCH($A118,KPI_Master!$A:$A,0))</f>
        <v>Average Age of Plant</v>
      </c>
      <c r="D118" s="23" t="str">
        <f>INDEX(KPI_Master!$K:$K,MATCH($A118,KPI_Master!$A:$A,0))</f>
        <v>2 - Standard</v>
      </c>
      <c r="E118" s="23" t="str">
        <f t="array" ref="E118">_xlfn.TEXTJOIN(", ",TRUE(),IF(KPI_Element_Map!$A$2:$A$287=$A118,KPI_Element_Map!$E$2:$E$287,""))</f>
        <v>E21, E18</v>
      </c>
      <c r="F118" s="21">
        <f t="shared" si="3"/>
        <v>1</v>
      </c>
      <c r="G118" s="21" t="str">
        <f>IF(COUNTIFS(KPI_Element_Map!$A$2:$A$287,$A118,KPI_Element_Map!$G$2:$G$287,G$1)&gt;0,1,"")</f>
        <v/>
      </c>
      <c r="H118" s="21" t="str">
        <f>IF(COUNTIFS(KPI_Element_Map!$A$2:$A$287,$A118,KPI_Element_Map!$G$2:$G$287,H$1)&gt;0,1,"")</f>
        <v/>
      </c>
      <c r="I118" s="21">
        <f>IF(COUNTIFS(KPI_Element_Map!$A$2:$A$287,$A118,KPI_Element_Map!$G$2:$G$287,I$1)&gt;0,1,"")</f>
        <v>1</v>
      </c>
      <c r="J118" s="21" t="str">
        <f>IF(COUNTIFS(KPI_Element_Map!$A$2:$A$287,$A118,KPI_Element_Map!$G$2:$G$287,J$1)&gt;0,1,"")</f>
        <v/>
      </c>
      <c r="K118" s="21" t="str">
        <f>IF(COUNTIFS(KPI_Element_Map!$A$2:$A$287,$A118,KPI_Element_Map!$G$2:$G$287,K$1)&gt;0,1,"")</f>
        <v/>
      </c>
      <c r="L118" s="21" t="str">
        <f>IF(COUNTIFS(KPI_Element_Map!$A$2:$A$287,$A118,KPI_Element_Map!$G$2:$G$287,L$1)&gt;0,1,"")</f>
        <v/>
      </c>
      <c r="M118" s="21" t="str">
        <f>IF(COUNTIFS(KPI_Element_Map!$A$2:$A$287,$A118,KPI_Element_Map!$G$2:$G$287,M$1)&gt;0,1,"")</f>
        <v/>
      </c>
      <c r="N118" s="21" t="str">
        <f>IF(COUNTIFS(KPI_Element_Map!$A$2:$A$287,$A118,KPI_Element_Map!$G$2:$G$287,N$1)&gt;0,1,"")</f>
        <v/>
      </c>
      <c r="O118" s="21" t="str">
        <f>IF(COUNTIFS(KPI_Element_Map!$A$2:$A$287,$A118,KPI_Element_Map!$G$2:$G$287,O$1)&gt;0,1,"")</f>
        <v/>
      </c>
      <c r="P118" s="21" t="str">
        <f>IF(COUNTIFS(KPI_Element_Map!$A$2:$A$287,$A118,KPI_Element_Map!$G$2:$G$287,P$1)&gt;0,1,"")</f>
        <v/>
      </c>
      <c r="Q118" s="21" t="str">
        <f>IF(COUNTIFS(KPI_Element_Map!$A$2:$A$287,$A118,KPI_Element_Map!$G$2:$G$287,Q$1)&gt;0,1,"")</f>
        <v/>
      </c>
      <c r="R118" s="21" t="str">
        <f>IF(COUNTIFS(KPI_Element_Map!$A$2:$A$287,$A118,KPI_Element_Map!$G$2:$G$287,R$1)&gt;0,1,"")</f>
        <v/>
      </c>
      <c r="S118" s="21" t="str">
        <f>IF(COUNTIFS(KPI_Element_Map!$A$2:$A$287,$A118,KPI_Element_Map!$G$2:$G$287,S$1)&gt;0,1,"")</f>
        <v/>
      </c>
      <c r="T118" s="21" t="str">
        <f>IF(COUNTIFS(KPI_Element_Map!$A$2:$A$287,$A118,KPI_Element_Map!$G$2:$G$287,T$1)&gt;0,1,"")</f>
        <v/>
      </c>
      <c r="U118" s="21" t="str">
        <f>IF(COUNTIFS(KPI_Element_Map!$A$2:$A$287,$A118,KPI_Element_Map!$G$2:$G$287,U$1)&gt;0,1,"")</f>
        <v/>
      </c>
      <c r="V118" s="21" t="str">
        <f>IF(COUNTIFS(KPI_Element_Map!$A$2:$A$287,$A118,KPI_Element_Map!$G$2:$G$287,V$1)&gt;0,1,"")</f>
        <v/>
      </c>
      <c r="W118" s="21" t="str">
        <f>IF(COUNTIFS(KPI_Element_Map!$A$2:$A$287,$A118,KPI_Element_Map!$G$2:$G$287,W$1)&gt;0,1,"")</f>
        <v/>
      </c>
      <c r="X118" s="21" t="str">
        <f>IF(COUNTIFS(KPI_Element_Map!$A$2:$A$287,$A118,KPI_Element_Map!$G$2:$G$287,X$1)&gt;0,1,"")</f>
        <v/>
      </c>
      <c r="Y118" s="21" t="str">
        <f>IF(COUNTIFS(KPI_Element_Map!$A$2:$A$287,$A118,KPI_Element_Map!$G$2:$G$287,Y$1)&gt;0,1,"")</f>
        <v/>
      </c>
      <c r="Z118" s="21" t="str">
        <f>IF(COUNTIFS(KPI_Element_Map!$A$2:$A$287,$A118,KPI_Element_Map!$G$2:$G$287,Z$1)&gt;0,1,"")</f>
        <v/>
      </c>
      <c r="AA118" s="21" t="str">
        <f>IF(COUNTIFS(KPI_Element_Map!$A$2:$A$287,$A118,KPI_Element_Map!$G$2:$G$287,AA$1)&gt;0,1,"")</f>
        <v/>
      </c>
      <c r="AB118" s="21" t="str">
        <f>IF(COUNTIFS(KPI_Element_Map!$A$2:$A$287,$A118,KPI_Element_Map!$G$2:$G$287,AB$1)&gt;0,1,"")</f>
        <v/>
      </c>
      <c r="AC118" s="21" t="str">
        <f>IF(COUNTIFS(KPI_Element_Map!$A$2:$A$287,$A118,KPI_Element_Map!$G$2:$G$287,AC$1)&gt;0,1,"")</f>
        <v/>
      </c>
      <c r="AD118" s="21" t="str">
        <f>IF(COUNTIFS(KPI_Element_Map!$A$2:$A$287,$A118,KPI_Element_Map!$G$2:$G$287,AD$1)&gt;0,1,"")</f>
        <v/>
      </c>
      <c r="AE118" s="21" t="str">
        <f>IF(COUNTIFS(KPI_Element_Map!$A$2:$A$287,$A118,KPI_Element_Map!$G$2:$G$287,AE$1)&gt;0,1,"")</f>
        <v/>
      </c>
      <c r="AF118" s="21" t="str">
        <f>IF(COUNTIFS(KPI_Element_Map!$A$2:$A$287,$A118,KPI_Element_Map!$G$2:$G$287,AF$1)&gt;0,1,"")</f>
        <v/>
      </c>
      <c r="AG118" s="21" t="str">
        <f>IF(COUNTIFS(KPI_Element_Map!$A$2:$A$287,$A118,KPI_Element_Map!$G$2:$G$287,AG$1)&gt;0,1,"")</f>
        <v/>
      </c>
      <c r="AH118" s="21" t="str">
        <f>IF(COUNTIFS(KPI_Element_Map!$A$2:$A$287,$A118,KPI_Element_Map!$G$2:$G$287,AH$1)&gt;0,1,"")</f>
        <v/>
      </c>
      <c r="AI118" s="21" t="str">
        <f>IF(COUNTIFS(KPI_Element_Map!$A$2:$A$287,$A118,KPI_Element_Map!$G$2:$G$287,AI$1)&gt;0,1,"")</f>
        <v/>
      </c>
      <c r="AJ118" s="21" t="str">
        <f>IF(COUNTIFS(KPI_Element_Map!$A$2:$A$287,$A118,KPI_Element_Map!$G$2:$G$287,AJ$1)&gt;0,1,"")</f>
        <v/>
      </c>
      <c r="AK118" s="21" t="str">
        <f>IF(COUNTIFS(KPI_Element_Map!$A$2:$A$287,$A118,KPI_Element_Map!$G$2:$G$287,AK$1)&gt;0,1,"")</f>
        <v/>
      </c>
    </row>
    <row r="119" spans="1:37">
      <c r="A119" s="21">
        <v>118</v>
      </c>
      <c r="B119" s="23" t="str">
        <f>INDEX(KPI_Master!$B:$B,MATCH($A119,KPI_Master!$A:$A,0))</f>
        <v>PLAO-14</v>
      </c>
      <c r="C119" s="23" t="str">
        <f>INDEX(KPI_Master!$D:$D,MATCH($A119,KPI_Master!$A:$A,0))</f>
        <v>Emergency / Unplanned Repair Rate</v>
      </c>
      <c r="D119" s="23" t="str">
        <f>INDEX(KPI_Master!$K:$K,MATCH($A119,KPI_Master!$A:$A,0))</f>
        <v>3 - Optional</v>
      </c>
      <c r="E119" s="23" t="str">
        <f t="array" ref="E119">_xlfn.TEXTJOIN(", ",TRUE(),IF(KPI_Element_Map!$A$2:$A$287=$A119,KPI_Element_Map!$E$2:$E$287,""))</f>
        <v>E55</v>
      </c>
      <c r="F119" s="21">
        <f t="shared" si="3"/>
        <v>1</v>
      </c>
      <c r="G119" s="21" t="str">
        <f>IF(COUNTIFS(KPI_Element_Map!$A$2:$A$287,$A119,KPI_Element_Map!$G$2:$G$287,G$1)&gt;0,1,"")</f>
        <v/>
      </c>
      <c r="H119" s="21" t="str">
        <f>IF(COUNTIFS(KPI_Element_Map!$A$2:$A$287,$A119,KPI_Element_Map!$G$2:$G$287,H$1)&gt;0,1,"")</f>
        <v/>
      </c>
      <c r="I119" s="21" t="str">
        <f>IF(COUNTIFS(KPI_Element_Map!$A$2:$A$287,$A119,KPI_Element_Map!$G$2:$G$287,I$1)&gt;0,1,"")</f>
        <v/>
      </c>
      <c r="J119" s="21" t="str">
        <f>IF(COUNTIFS(KPI_Element_Map!$A$2:$A$287,$A119,KPI_Element_Map!$G$2:$G$287,J$1)&gt;0,1,"")</f>
        <v/>
      </c>
      <c r="K119" s="21" t="str">
        <f>IF(COUNTIFS(KPI_Element_Map!$A$2:$A$287,$A119,KPI_Element_Map!$G$2:$G$287,K$1)&gt;0,1,"")</f>
        <v/>
      </c>
      <c r="L119" s="21" t="str">
        <f>IF(COUNTIFS(KPI_Element_Map!$A$2:$A$287,$A119,KPI_Element_Map!$G$2:$G$287,L$1)&gt;0,1,"")</f>
        <v/>
      </c>
      <c r="M119" s="21" t="str">
        <f>IF(COUNTIFS(KPI_Element_Map!$A$2:$A$287,$A119,KPI_Element_Map!$G$2:$G$287,M$1)&gt;0,1,"")</f>
        <v/>
      </c>
      <c r="N119" s="21" t="str">
        <f>IF(COUNTIFS(KPI_Element_Map!$A$2:$A$287,$A119,KPI_Element_Map!$G$2:$G$287,N$1)&gt;0,1,"")</f>
        <v/>
      </c>
      <c r="O119" s="21" t="str">
        <f>IF(COUNTIFS(KPI_Element_Map!$A$2:$A$287,$A119,KPI_Element_Map!$G$2:$G$287,O$1)&gt;0,1,"")</f>
        <v/>
      </c>
      <c r="P119" s="21" t="str">
        <f>IF(COUNTIFS(KPI_Element_Map!$A$2:$A$287,$A119,KPI_Element_Map!$G$2:$G$287,P$1)&gt;0,1,"")</f>
        <v/>
      </c>
      <c r="Q119" s="21" t="str">
        <f>IF(COUNTIFS(KPI_Element_Map!$A$2:$A$287,$A119,KPI_Element_Map!$G$2:$G$287,Q$1)&gt;0,1,"")</f>
        <v/>
      </c>
      <c r="R119" s="21" t="str">
        <f>IF(COUNTIFS(KPI_Element_Map!$A$2:$A$287,$A119,KPI_Element_Map!$G$2:$G$287,R$1)&gt;0,1,"")</f>
        <v/>
      </c>
      <c r="S119" s="21" t="str">
        <f>IF(COUNTIFS(KPI_Element_Map!$A$2:$A$287,$A119,KPI_Element_Map!$G$2:$G$287,S$1)&gt;0,1,"")</f>
        <v/>
      </c>
      <c r="T119" s="21" t="str">
        <f>IF(COUNTIFS(KPI_Element_Map!$A$2:$A$287,$A119,KPI_Element_Map!$G$2:$G$287,T$1)&gt;0,1,"")</f>
        <v/>
      </c>
      <c r="U119" s="21" t="str">
        <f>IF(COUNTIFS(KPI_Element_Map!$A$2:$A$287,$A119,KPI_Element_Map!$G$2:$G$287,U$1)&gt;0,1,"")</f>
        <v/>
      </c>
      <c r="V119" s="21" t="str">
        <f>IF(COUNTIFS(KPI_Element_Map!$A$2:$A$287,$A119,KPI_Element_Map!$G$2:$G$287,V$1)&gt;0,1,"")</f>
        <v/>
      </c>
      <c r="W119" s="21" t="str">
        <f>IF(COUNTIFS(KPI_Element_Map!$A$2:$A$287,$A119,KPI_Element_Map!$G$2:$G$287,W$1)&gt;0,1,"")</f>
        <v/>
      </c>
      <c r="X119" s="21" t="str">
        <f>IF(COUNTIFS(KPI_Element_Map!$A$2:$A$287,$A119,KPI_Element_Map!$G$2:$G$287,X$1)&gt;0,1,"")</f>
        <v/>
      </c>
      <c r="Y119" s="21" t="str">
        <f>IF(COUNTIFS(KPI_Element_Map!$A$2:$A$287,$A119,KPI_Element_Map!$G$2:$G$287,Y$1)&gt;0,1,"")</f>
        <v/>
      </c>
      <c r="Z119" s="21" t="str">
        <f>IF(COUNTIFS(KPI_Element_Map!$A$2:$A$287,$A119,KPI_Element_Map!$G$2:$G$287,Z$1)&gt;0,1,"")</f>
        <v/>
      </c>
      <c r="AA119" s="21" t="str">
        <f>IF(COUNTIFS(KPI_Element_Map!$A$2:$A$287,$A119,KPI_Element_Map!$G$2:$G$287,AA$1)&gt;0,1,"")</f>
        <v/>
      </c>
      <c r="AB119" s="21" t="str">
        <f>IF(COUNTIFS(KPI_Element_Map!$A$2:$A$287,$A119,KPI_Element_Map!$G$2:$G$287,AB$1)&gt;0,1,"")</f>
        <v/>
      </c>
      <c r="AC119" s="21" t="str">
        <f>IF(COUNTIFS(KPI_Element_Map!$A$2:$A$287,$A119,KPI_Element_Map!$G$2:$G$287,AC$1)&gt;0,1,"")</f>
        <v/>
      </c>
      <c r="AD119" s="21" t="str">
        <f>IF(COUNTIFS(KPI_Element_Map!$A$2:$A$287,$A119,KPI_Element_Map!$G$2:$G$287,AD$1)&gt;0,1,"")</f>
        <v/>
      </c>
      <c r="AE119" s="21" t="str">
        <f>IF(COUNTIFS(KPI_Element_Map!$A$2:$A$287,$A119,KPI_Element_Map!$G$2:$G$287,AE$1)&gt;0,1,"")</f>
        <v/>
      </c>
      <c r="AF119" s="21" t="str">
        <f>IF(COUNTIFS(KPI_Element_Map!$A$2:$A$287,$A119,KPI_Element_Map!$G$2:$G$287,AF$1)&gt;0,1,"")</f>
        <v/>
      </c>
      <c r="AG119" s="21" t="str">
        <f>IF(COUNTIFS(KPI_Element_Map!$A$2:$A$287,$A119,KPI_Element_Map!$G$2:$G$287,AG$1)&gt;0,1,"")</f>
        <v/>
      </c>
      <c r="AH119" s="21" t="str">
        <f>IF(COUNTIFS(KPI_Element_Map!$A$2:$A$287,$A119,KPI_Element_Map!$G$2:$G$287,AH$1)&gt;0,1,"")</f>
        <v/>
      </c>
      <c r="AI119" s="21">
        <f>IF(COUNTIFS(KPI_Element_Map!$A$2:$A$287,$A119,KPI_Element_Map!$G$2:$G$287,AI$1)&gt;0,1,"")</f>
        <v>1</v>
      </c>
      <c r="AJ119" s="21" t="str">
        <f>IF(COUNTIFS(KPI_Element_Map!$A$2:$A$287,$A119,KPI_Element_Map!$G$2:$G$287,AJ$1)&gt;0,1,"")</f>
        <v/>
      </c>
      <c r="AK119" s="21" t="str">
        <f>IF(COUNTIFS(KPI_Element_Map!$A$2:$A$287,$A119,KPI_Element_Map!$G$2:$G$287,AK$1)&gt;0,1,"")</f>
        <v/>
      </c>
    </row>
    <row r="120" spans="1:37">
      <c r="A120" s="21">
        <v>119</v>
      </c>
      <c r="B120" s="23" t="str">
        <f>INDEX(KPI_Master!$B:$B,MATCH($A120,KPI_Master!$A:$A,0))</f>
        <v>PLAO-15</v>
      </c>
      <c r="C120" s="23" t="str">
        <f>INDEX(KPI_Master!$D:$D,MATCH($A120,KPI_Master!$A:$A,0))</f>
        <v>Square Feet per Maintenance FTE</v>
      </c>
      <c r="D120" s="23" t="str">
        <f>INDEX(KPI_Master!$K:$K,MATCH($A120,KPI_Master!$A:$A,0))</f>
        <v>3 - Optional</v>
      </c>
      <c r="E120" s="23" t="str">
        <f t="array" ref="E120">_xlfn.TEXTJOIN(", ",TRUE(),IF(KPI_Element_Map!$A$2:$A$287=$A120,KPI_Element_Map!$E$2:$E$287,""))</f>
        <v>E12, E28</v>
      </c>
      <c r="F120" s="21">
        <f t="shared" si="3"/>
        <v>2</v>
      </c>
      <c r="G120" s="21" t="str">
        <f>IF(COUNTIFS(KPI_Element_Map!$A$2:$A$287,$A120,KPI_Element_Map!$G$2:$G$287,G$1)&gt;0,1,"")</f>
        <v/>
      </c>
      <c r="H120" s="21">
        <f>IF(COUNTIFS(KPI_Element_Map!$A$2:$A$287,$A120,KPI_Element_Map!$G$2:$G$287,H$1)&gt;0,1,"")</f>
        <v>1</v>
      </c>
      <c r="I120" s="21" t="str">
        <f>IF(COUNTIFS(KPI_Element_Map!$A$2:$A$287,$A120,KPI_Element_Map!$G$2:$G$287,I$1)&gt;0,1,"")</f>
        <v/>
      </c>
      <c r="J120" s="21" t="str">
        <f>IF(COUNTIFS(KPI_Element_Map!$A$2:$A$287,$A120,KPI_Element_Map!$G$2:$G$287,J$1)&gt;0,1,"")</f>
        <v/>
      </c>
      <c r="K120" s="21" t="str">
        <f>IF(COUNTIFS(KPI_Element_Map!$A$2:$A$287,$A120,KPI_Element_Map!$G$2:$G$287,K$1)&gt;0,1,"")</f>
        <v/>
      </c>
      <c r="L120" s="21">
        <f>IF(COUNTIFS(KPI_Element_Map!$A$2:$A$287,$A120,KPI_Element_Map!$G$2:$G$287,L$1)&gt;0,1,"")</f>
        <v>1</v>
      </c>
      <c r="M120" s="21" t="str">
        <f>IF(COUNTIFS(KPI_Element_Map!$A$2:$A$287,$A120,KPI_Element_Map!$G$2:$G$287,M$1)&gt;0,1,"")</f>
        <v/>
      </c>
      <c r="N120" s="21" t="str">
        <f>IF(COUNTIFS(KPI_Element_Map!$A$2:$A$287,$A120,KPI_Element_Map!$G$2:$G$287,N$1)&gt;0,1,"")</f>
        <v/>
      </c>
      <c r="O120" s="21" t="str">
        <f>IF(COUNTIFS(KPI_Element_Map!$A$2:$A$287,$A120,KPI_Element_Map!$G$2:$G$287,O$1)&gt;0,1,"")</f>
        <v/>
      </c>
      <c r="P120" s="21" t="str">
        <f>IF(COUNTIFS(KPI_Element_Map!$A$2:$A$287,$A120,KPI_Element_Map!$G$2:$G$287,P$1)&gt;0,1,"")</f>
        <v/>
      </c>
      <c r="Q120" s="21" t="str">
        <f>IF(COUNTIFS(KPI_Element_Map!$A$2:$A$287,$A120,KPI_Element_Map!$G$2:$G$287,Q$1)&gt;0,1,"")</f>
        <v/>
      </c>
      <c r="R120" s="21" t="str">
        <f>IF(COUNTIFS(KPI_Element_Map!$A$2:$A$287,$A120,KPI_Element_Map!$G$2:$G$287,R$1)&gt;0,1,"")</f>
        <v/>
      </c>
      <c r="S120" s="21" t="str">
        <f>IF(COUNTIFS(KPI_Element_Map!$A$2:$A$287,$A120,KPI_Element_Map!$G$2:$G$287,S$1)&gt;0,1,"")</f>
        <v/>
      </c>
      <c r="T120" s="21" t="str">
        <f>IF(COUNTIFS(KPI_Element_Map!$A$2:$A$287,$A120,KPI_Element_Map!$G$2:$G$287,T$1)&gt;0,1,"")</f>
        <v/>
      </c>
      <c r="U120" s="21" t="str">
        <f>IF(COUNTIFS(KPI_Element_Map!$A$2:$A$287,$A120,KPI_Element_Map!$G$2:$G$287,U$1)&gt;0,1,"")</f>
        <v/>
      </c>
      <c r="V120" s="21" t="str">
        <f>IF(COUNTIFS(KPI_Element_Map!$A$2:$A$287,$A120,KPI_Element_Map!$G$2:$G$287,V$1)&gt;0,1,"")</f>
        <v/>
      </c>
      <c r="W120" s="21" t="str">
        <f>IF(COUNTIFS(KPI_Element_Map!$A$2:$A$287,$A120,KPI_Element_Map!$G$2:$G$287,W$1)&gt;0,1,"")</f>
        <v/>
      </c>
      <c r="X120" s="21" t="str">
        <f>IF(COUNTIFS(KPI_Element_Map!$A$2:$A$287,$A120,KPI_Element_Map!$G$2:$G$287,X$1)&gt;0,1,"")</f>
        <v/>
      </c>
      <c r="Y120" s="21" t="str">
        <f>IF(COUNTIFS(KPI_Element_Map!$A$2:$A$287,$A120,KPI_Element_Map!$G$2:$G$287,Y$1)&gt;0,1,"")</f>
        <v/>
      </c>
      <c r="Z120" s="21" t="str">
        <f>IF(COUNTIFS(KPI_Element_Map!$A$2:$A$287,$A120,KPI_Element_Map!$G$2:$G$287,Z$1)&gt;0,1,"")</f>
        <v/>
      </c>
      <c r="AA120" s="21" t="str">
        <f>IF(COUNTIFS(KPI_Element_Map!$A$2:$A$287,$A120,KPI_Element_Map!$G$2:$G$287,AA$1)&gt;0,1,"")</f>
        <v/>
      </c>
      <c r="AB120" s="21" t="str">
        <f>IF(COUNTIFS(KPI_Element_Map!$A$2:$A$287,$A120,KPI_Element_Map!$G$2:$G$287,AB$1)&gt;0,1,"")</f>
        <v/>
      </c>
      <c r="AC120" s="21" t="str">
        <f>IF(COUNTIFS(KPI_Element_Map!$A$2:$A$287,$A120,KPI_Element_Map!$G$2:$G$287,AC$1)&gt;0,1,"")</f>
        <v/>
      </c>
      <c r="AD120" s="21" t="str">
        <f>IF(COUNTIFS(KPI_Element_Map!$A$2:$A$287,$A120,KPI_Element_Map!$G$2:$G$287,AD$1)&gt;0,1,"")</f>
        <v/>
      </c>
      <c r="AE120" s="21" t="str">
        <f>IF(COUNTIFS(KPI_Element_Map!$A$2:$A$287,$A120,KPI_Element_Map!$G$2:$G$287,AE$1)&gt;0,1,"")</f>
        <v/>
      </c>
      <c r="AF120" s="21" t="str">
        <f>IF(COUNTIFS(KPI_Element_Map!$A$2:$A$287,$A120,KPI_Element_Map!$G$2:$G$287,AF$1)&gt;0,1,"")</f>
        <v/>
      </c>
      <c r="AG120" s="21" t="str">
        <f>IF(COUNTIFS(KPI_Element_Map!$A$2:$A$287,$A120,KPI_Element_Map!$G$2:$G$287,AG$1)&gt;0,1,"")</f>
        <v/>
      </c>
      <c r="AH120" s="21" t="str">
        <f>IF(COUNTIFS(KPI_Element_Map!$A$2:$A$287,$A120,KPI_Element_Map!$G$2:$G$287,AH$1)&gt;0,1,"")</f>
        <v/>
      </c>
      <c r="AI120" s="21" t="str">
        <f>IF(COUNTIFS(KPI_Element_Map!$A$2:$A$287,$A120,KPI_Element_Map!$G$2:$G$287,AI$1)&gt;0,1,"")</f>
        <v/>
      </c>
      <c r="AJ120" s="21" t="str">
        <f>IF(COUNTIFS(KPI_Element_Map!$A$2:$A$287,$A120,KPI_Element_Map!$G$2:$G$287,AJ$1)&gt;0,1,"")</f>
        <v/>
      </c>
      <c r="AK120" s="21" t="str">
        <f>IF(COUNTIFS(KPI_Element_Map!$A$2:$A$287,$A120,KPI_Element_Map!$G$2:$G$287,AK$1)&gt;0,1,"")</f>
        <v/>
      </c>
    </row>
    <row r="121" spans="1:37">
      <c r="A121" s="21">
        <v>120</v>
      </c>
      <c r="B121" s="23" t="str">
        <f>INDEX(KPI_Master!$B:$B,MATCH($A121,KPI_Master!$A:$A,0))</f>
        <v>PLAO-16</v>
      </c>
      <c r="C121" s="23" t="str">
        <f>INDEX(KPI_Master!$D:$D,MATCH($A121,KPI_Master!$A:$A,0))</f>
        <v>Grounds Cost per Developed Acre</v>
      </c>
      <c r="D121" s="23" t="str">
        <f>INDEX(KPI_Master!$K:$K,MATCH($A121,KPI_Master!$A:$A,0))</f>
        <v>3 - Optional</v>
      </c>
      <c r="E121" s="23" t="str">
        <f t="array" ref="E121">_xlfn.TEXTJOIN(", ",TRUE(),IF(KPI_Element_Map!$A$2:$A$287=$A121,KPI_Element_Map!$E$2:$E$287,""))</f>
        <v>E57, E13</v>
      </c>
      <c r="F121" s="21">
        <f t="shared" si="3"/>
        <v>2</v>
      </c>
      <c r="G121" s="21" t="str">
        <f>IF(COUNTIFS(KPI_Element_Map!$A$2:$A$287,$A121,KPI_Element_Map!$G$2:$G$287,G$1)&gt;0,1,"")</f>
        <v/>
      </c>
      <c r="H121" s="21">
        <f>IF(COUNTIFS(KPI_Element_Map!$A$2:$A$287,$A121,KPI_Element_Map!$G$2:$G$287,H$1)&gt;0,1,"")</f>
        <v>1</v>
      </c>
      <c r="I121" s="21" t="str">
        <f>IF(COUNTIFS(KPI_Element_Map!$A$2:$A$287,$A121,KPI_Element_Map!$G$2:$G$287,I$1)&gt;0,1,"")</f>
        <v/>
      </c>
      <c r="J121" s="21" t="str">
        <f>IF(COUNTIFS(KPI_Element_Map!$A$2:$A$287,$A121,KPI_Element_Map!$G$2:$G$287,J$1)&gt;0,1,"")</f>
        <v/>
      </c>
      <c r="K121" s="21" t="str">
        <f>IF(COUNTIFS(KPI_Element_Map!$A$2:$A$287,$A121,KPI_Element_Map!$G$2:$G$287,K$1)&gt;0,1,"")</f>
        <v/>
      </c>
      <c r="L121" s="21" t="str">
        <f>IF(COUNTIFS(KPI_Element_Map!$A$2:$A$287,$A121,KPI_Element_Map!$G$2:$G$287,L$1)&gt;0,1,"")</f>
        <v/>
      </c>
      <c r="M121" s="21" t="str">
        <f>IF(COUNTIFS(KPI_Element_Map!$A$2:$A$287,$A121,KPI_Element_Map!$G$2:$G$287,M$1)&gt;0,1,"")</f>
        <v/>
      </c>
      <c r="N121" s="21" t="str">
        <f>IF(COUNTIFS(KPI_Element_Map!$A$2:$A$287,$A121,KPI_Element_Map!$G$2:$G$287,N$1)&gt;0,1,"")</f>
        <v/>
      </c>
      <c r="O121" s="21" t="str">
        <f>IF(COUNTIFS(KPI_Element_Map!$A$2:$A$287,$A121,KPI_Element_Map!$G$2:$G$287,O$1)&gt;0,1,"")</f>
        <v/>
      </c>
      <c r="P121" s="21" t="str">
        <f>IF(COUNTIFS(KPI_Element_Map!$A$2:$A$287,$A121,KPI_Element_Map!$G$2:$G$287,P$1)&gt;0,1,"")</f>
        <v/>
      </c>
      <c r="Q121" s="21" t="str">
        <f>IF(COUNTIFS(KPI_Element_Map!$A$2:$A$287,$A121,KPI_Element_Map!$G$2:$G$287,Q$1)&gt;0,1,"")</f>
        <v/>
      </c>
      <c r="R121" s="21" t="str">
        <f>IF(COUNTIFS(KPI_Element_Map!$A$2:$A$287,$A121,KPI_Element_Map!$G$2:$G$287,R$1)&gt;0,1,"")</f>
        <v/>
      </c>
      <c r="S121" s="21" t="str">
        <f>IF(COUNTIFS(KPI_Element_Map!$A$2:$A$287,$A121,KPI_Element_Map!$G$2:$G$287,S$1)&gt;0,1,"")</f>
        <v/>
      </c>
      <c r="T121" s="21" t="str">
        <f>IF(COUNTIFS(KPI_Element_Map!$A$2:$A$287,$A121,KPI_Element_Map!$G$2:$G$287,T$1)&gt;0,1,"")</f>
        <v/>
      </c>
      <c r="U121" s="21" t="str">
        <f>IF(COUNTIFS(KPI_Element_Map!$A$2:$A$287,$A121,KPI_Element_Map!$G$2:$G$287,U$1)&gt;0,1,"")</f>
        <v/>
      </c>
      <c r="V121" s="21" t="str">
        <f>IF(COUNTIFS(KPI_Element_Map!$A$2:$A$287,$A121,KPI_Element_Map!$G$2:$G$287,V$1)&gt;0,1,"")</f>
        <v/>
      </c>
      <c r="W121" s="21" t="str">
        <f>IF(COUNTIFS(KPI_Element_Map!$A$2:$A$287,$A121,KPI_Element_Map!$G$2:$G$287,W$1)&gt;0,1,"")</f>
        <v/>
      </c>
      <c r="X121" s="21" t="str">
        <f>IF(COUNTIFS(KPI_Element_Map!$A$2:$A$287,$A121,KPI_Element_Map!$G$2:$G$287,X$1)&gt;0,1,"")</f>
        <v/>
      </c>
      <c r="Y121" s="21" t="str">
        <f>IF(COUNTIFS(KPI_Element_Map!$A$2:$A$287,$A121,KPI_Element_Map!$G$2:$G$287,Y$1)&gt;0,1,"")</f>
        <v/>
      </c>
      <c r="Z121" s="21" t="str">
        <f>IF(COUNTIFS(KPI_Element_Map!$A$2:$A$287,$A121,KPI_Element_Map!$G$2:$G$287,Z$1)&gt;0,1,"")</f>
        <v/>
      </c>
      <c r="AA121" s="21" t="str">
        <f>IF(COUNTIFS(KPI_Element_Map!$A$2:$A$287,$A121,KPI_Element_Map!$G$2:$G$287,AA$1)&gt;0,1,"")</f>
        <v/>
      </c>
      <c r="AB121" s="21" t="str">
        <f>IF(COUNTIFS(KPI_Element_Map!$A$2:$A$287,$A121,KPI_Element_Map!$G$2:$G$287,AB$1)&gt;0,1,"")</f>
        <v/>
      </c>
      <c r="AC121" s="21" t="str">
        <f>IF(COUNTIFS(KPI_Element_Map!$A$2:$A$287,$A121,KPI_Element_Map!$G$2:$G$287,AC$1)&gt;0,1,"")</f>
        <v/>
      </c>
      <c r="AD121" s="21" t="str">
        <f>IF(COUNTIFS(KPI_Element_Map!$A$2:$A$287,$A121,KPI_Element_Map!$G$2:$G$287,AD$1)&gt;0,1,"")</f>
        <v/>
      </c>
      <c r="AE121" s="21" t="str">
        <f>IF(COUNTIFS(KPI_Element_Map!$A$2:$A$287,$A121,KPI_Element_Map!$G$2:$G$287,AE$1)&gt;0,1,"")</f>
        <v/>
      </c>
      <c r="AF121" s="21" t="str">
        <f>IF(COUNTIFS(KPI_Element_Map!$A$2:$A$287,$A121,KPI_Element_Map!$G$2:$G$287,AF$1)&gt;0,1,"")</f>
        <v/>
      </c>
      <c r="AG121" s="21" t="str">
        <f>IF(COUNTIFS(KPI_Element_Map!$A$2:$A$287,$A121,KPI_Element_Map!$G$2:$G$287,AG$1)&gt;0,1,"")</f>
        <v/>
      </c>
      <c r="AH121" s="21" t="str">
        <f>IF(COUNTIFS(KPI_Element_Map!$A$2:$A$287,$A121,KPI_Element_Map!$G$2:$G$287,AH$1)&gt;0,1,"")</f>
        <v/>
      </c>
      <c r="AI121" s="21" t="str">
        <f>IF(COUNTIFS(KPI_Element_Map!$A$2:$A$287,$A121,KPI_Element_Map!$G$2:$G$287,AI$1)&gt;0,1,"")</f>
        <v/>
      </c>
      <c r="AJ121" s="21" t="str">
        <f>IF(COUNTIFS(KPI_Element_Map!$A$2:$A$287,$A121,KPI_Element_Map!$G$2:$G$287,AJ$1)&gt;0,1,"")</f>
        <v/>
      </c>
      <c r="AK121" s="21">
        <f>IF(COUNTIFS(KPI_Element_Map!$A$2:$A$287,$A121,KPI_Element_Map!$G$2:$G$287,AK$1)&gt;0,1,"")</f>
        <v>1</v>
      </c>
    </row>
    <row r="122" spans="1:37">
      <c r="A122" s="21">
        <v>121</v>
      </c>
      <c r="B122" s="23" t="str">
        <f>INDEX(KPI_Master!$B:$B,MATCH($A122,KPI_Master!$A:$A,0))</f>
        <v>PLAO-17</v>
      </c>
      <c r="C122" s="23" t="str">
        <f>INDEX(KPI_Master!$D:$D,MATCH($A122,KPI_Master!$A:$A,0))</f>
        <v>Work Orders per Resident Unit</v>
      </c>
      <c r="D122" s="23" t="str">
        <f>INDEX(KPI_Master!$K:$K,MATCH($A122,KPI_Master!$A:$A,0))</f>
        <v>2 - Standard</v>
      </c>
      <c r="E122" s="23" t="str">
        <f t="array" ref="E122">_xlfn.TEXTJOIN(", ",TRUE(),IF(KPI_Element_Map!$A$2:$A$287=$A122,KPI_Element_Map!$E$2:$E$287,""))</f>
        <v>E55, E11</v>
      </c>
      <c r="F122" s="21">
        <f t="shared" si="3"/>
        <v>2</v>
      </c>
      <c r="G122" s="21" t="str">
        <f>IF(COUNTIFS(KPI_Element_Map!$A$2:$A$287,$A122,KPI_Element_Map!$G$2:$G$287,G$1)&gt;0,1,"")</f>
        <v/>
      </c>
      <c r="H122" s="21">
        <f>IF(COUNTIFS(KPI_Element_Map!$A$2:$A$287,$A122,KPI_Element_Map!$G$2:$G$287,H$1)&gt;0,1,"")</f>
        <v>1</v>
      </c>
      <c r="I122" s="21" t="str">
        <f>IF(COUNTIFS(KPI_Element_Map!$A$2:$A$287,$A122,KPI_Element_Map!$G$2:$G$287,I$1)&gt;0,1,"")</f>
        <v/>
      </c>
      <c r="J122" s="21" t="str">
        <f>IF(COUNTIFS(KPI_Element_Map!$A$2:$A$287,$A122,KPI_Element_Map!$G$2:$G$287,J$1)&gt;0,1,"")</f>
        <v/>
      </c>
      <c r="K122" s="21" t="str">
        <f>IF(COUNTIFS(KPI_Element_Map!$A$2:$A$287,$A122,KPI_Element_Map!$G$2:$G$287,K$1)&gt;0,1,"")</f>
        <v/>
      </c>
      <c r="L122" s="21" t="str">
        <f>IF(COUNTIFS(KPI_Element_Map!$A$2:$A$287,$A122,KPI_Element_Map!$G$2:$G$287,L$1)&gt;0,1,"")</f>
        <v/>
      </c>
      <c r="M122" s="21" t="str">
        <f>IF(COUNTIFS(KPI_Element_Map!$A$2:$A$287,$A122,KPI_Element_Map!$G$2:$G$287,M$1)&gt;0,1,"")</f>
        <v/>
      </c>
      <c r="N122" s="21" t="str">
        <f>IF(COUNTIFS(KPI_Element_Map!$A$2:$A$287,$A122,KPI_Element_Map!$G$2:$G$287,N$1)&gt;0,1,"")</f>
        <v/>
      </c>
      <c r="O122" s="21" t="str">
        <f>IF(COUNTIFS(KPI_Element_Map!$A$2:$A$287,$A122,KPI_Element_Map!$G$2:$G$287,O$1)&gt;0,1,"")</f>
        <v/>
      </c>
      <c r="P122" s="21" t="str">
        <f>IF(COUNTIFS(KPI_Element_Map!$A$2:$A$287,$A122,KPI_Element_Map!$G$2:$G$287,P$1)&gt;0,1,"")</f>
        <v/>
      </c>
      <c r="Q122" s="21" t="str">
        <f>IF(COUNTIFS(KPI_Element_Map!$A$2:$A$287,$A122,KPI_Element_Map!$G$2:$G$287,Q$1)&gt;0,1,"")</f>
        <v/>
      </c>
      <c r="R122" s="21" t="str">
        <f>IF(COUNTIFS(KPI_Element_Map!$A$2:$A$287,$A122,KPI_Element_Map!$G$2:$G$287,R$1)&gt;0,1,"")</f>
        <v/>
      </c>
      <c r="S122" s="21" t="str">
        <f>IF(COUNTIFS(KPI_Element_Map!$A$2:$A$287,$A122,KPI_Element_Map!$G$2:$G$287,S$1)&gt;0,1,"")</f>
        <v/>
      </c>
      <c r="T122" s="21" t="str">
        <f>IF(COUNTIFS(KPI_Element_Map!$A$2:$A$287,$A122,KPI_Element_Map!$G$2:$G$287,T$1)&gt;0,1,"")</f>
        <v/>
      </c>
      <c r="U122" s="21" t="str">
        <f>IF(COUNTIFS(KPI_Element_Map!$A$2:$A$287,$A122,KPI_Element_Map!$G$2:$G$287,U$1)&gt;0,1,"")</f>
        <v/>
      </c>
      <c r="V122" s="21" t="str">
        <f>IF(COUNTIFS(KPI_Element_Map!$A$2:$A$287,$A122,KPI_Element_Map!$G$2:$G$287,V$1)&gt;0,1,"")</f>
        <v/>
      </c>
      <c r="W122" s="21" t="str">
        <f>IF(COUNTIFS(KPI_Element_Map!$A$2:$A$287,$A122,KPI_Element_Map!$G$2:$G$287,W$1)&gt;0,1,"")</f>
        <v/>
      </c>
      <c r="X122" s="21" t="str">
        <f>IF(COUNTIFS(KPI_Element_Map!$A$2:$A$287,$A122,KPI_Element_Map!$G$2:$G$287,X$1)&gt;0,1,"")</f>
        <v/>
      </c>
      <c r="Y122" s="21" t="str">
        <f>IF(COUNTIFS(KPI_Element_Map!$A$2:$A$287,$A122,KPI_Element_Map!$G$2:$G$287,Y$1)&gt;0,1,"")</f>
        <v/>
      </c>
      <c r="Z122" s="21" t="str">
        <f>IF(COUNTIFS(KPI_Element_Map!$A$2:$A$287,$A122,KPI_Element_Map!$G$2:$G$287,Z$1)&gt;0,1,"")</f>
        <v/>
      </c>
      <c r="AA122" s="21" t="str">
        <f>IF(COUNTIFS(KPI_Element_Map!$A$2:$A$287,$A122,KPI_Element_Map!$G$2:$G$287,AA$1)&gt;0,1,"")</f>
        <v/>
      </c>
      <c r="AB122" s="21" t="str">
        <f>IF(COUNTIFS(KPI_Element_Map!$A$2:$A$287,$A122,KPI_Element_Map!$G$2:$G$287,AB$1)&gt;0,1,"")</f>
        <v/>
      </c>
      <c r="AC122" s="21" t="str">
        <f>IF(COUNTIFS(KPI_Element_Map!$A$2:$A$287,$A122,KPI_Element_Map!$G$2:$G$287,AC$1)&gt;0,1,"")</f>
        <v/>
      </c>
      <c r="AD122" s="21" t="str">
        <f>IF(COUNTIFS(KPI_Element_Map!$A$2:$A$287,$A122,KPI_Element_Map!$G$2:$G$287,AD$1)&gt;0,1,"")</f>
        <v/>
      </c>
      <c r="AE122" s="21" t="str">
        <f>IF(COUNTIFS(KPI_Element_Map!$A$2:$A$287,$A122,KPI_Element_Map!$G$2:$G$287,AE$1)&gt;0,1,"")</f>
        <v/>
      </c>
      <c r="AF122" s="21" t="str">
        <f>IF(COUNTIFS(KPI_Element_Map!$A$2:$A$287,$A122,KPI_Element_Map!$G$2:$G$287,AF$1)&gt;0,1,"")</f>
        <v/>
      </c>
      <c r="AG122" s="21" t="str">
        <f>IF(COUNTIFS(KPI_Element_Map!$A$2:$A$287,$A122,KPI_Element_Map!$G$2:$G$287,AG$1)&gt;0,1,"")</f>
        <v/>
      </c>
      <c r="AH122" s="21" t="str">
        <f>IF(COUNTIFS(KPI_Element_Map!$A$2:$A$287,$A122,KPI_Element_Map!$G$2:$G$287,AH$1)&gt;0,1,"")</f>
        <v/>
      </c>
      <c r="AI122" s="21">
        <f>IF(COUNTIFS(KPI_Element_Map!$A$2:$A$287,$A122,KPI_Element_Map!$G$2:$G$287,AI$1)&gt;0,1,"")</f>
        <v>1</v>
      </c>
      <c r="AJ122" s="21" t="str">
        <f>IF(COUNTIFS(KPI_Element_Map!$A$2:$A$287,$A122,KPI_Element_Map!$G$2:$G$287,AJ$1)&gt;0,1,"")</f>
        <v/>
      </c>
      <c r="AK122" s="21" t="str">
        <f>IF(COUNTIFS(KPI_Element_Map!$A$2:$A$287,$A122,KPI_Element_Map!$G$2:$G$287,AK$1)&gt;0,1,"")</f>
        <v/>
      </c>
    </row>
    <row r="123" spans="1:37">
      <c r="A123" s="21">
        <v>122</v>
      </c>
      <c r="B123" s="23" t="str">
        <f>INDEX(KPI_Master!$B:$B,MATCH($A123,KPI_Master!$A:$A,0))</f>
        <v>PLAO-18</v>
      </c>
      <c r="C123" s="23" t="str">
        <f>INDEX(KPI_Master!$D:$D,MATCH($A123,KPI_Master!$A:$A,0))</f>
        <v>Work Order On-Time Completion Rate</v>
      </c>
      <c r="D123" s="23" t="str">
        <f>INDEX(KPI_Master!$K:$K,MATCH($A123,KPI_Master!$A:$A,0))</f>
        <v>2 - Standard</v>
      </c>
      <c r="E123" s="23" t="str">
        <f t="array" ref="E123">_xlfn.TEXTJOIN(", ",TRUE(),IF(KPI_Element_Map!$A$2:$A$287=$A123,KPI_Element_Map!$E$2:$E$287,""))</f>
        <v>E55</v>
      </c>
      <c r="F123" s="21">
        <f t="shared" si="3"/>
        <v>1</v>
      </c>
      <c r="G123" s="21" t="str">
        <f>IF(COUNTIFS(KPI_Element_Map!$A$2:$A$287,$A123,KPI_Element_Map!$G$2:$G$287,G$1)&gt;0,1,"")</f>
        <v/>
      </c>
      <c r="H123" s="21" t="str">
        <f>IF(COUNTIFS(KPI_Element_Map!$A$2:$A$287,$A123,KPI_Element_Map!$G$2:$G$287,H$1)&gt;0,1,"")</f>
        <v/>
      </c>
      <c r="I123" s="21" t="str">
        <f>IF(COUNTIFS(KPI_Element_Map!$A$2:$A$287,$A123,KPI_Element_Map!$G$2:$G$287,I$1)&gt;0,1,"")</f>
        <v/>
      </c>
      <c r="J123" s="21" t="str">
        <f>IF(COUNTIFS(KPI_Element_Map!$A$2:$A$287,$A123,KPI_Element_Map!$G$2:$G$287,J$1)&gt;0,1,"")</f>
        <v/>
      </c>
      <c r="K123" s="21" t="str">
        <f>IF(COUNTIFS(KPI_Element_Map!$A$2:$A$287,$A123,KPI_Element_Map!$G$2:$G$287,K$1)&gt;0,1,"")</f>
        <v/>
      </c>
      <c r="L123" s="21" t="str">
        <f>IF(COUNTIFS(KPI_Element_Map!$A$2:$A$287,$A123,KPI_Element_Map!$G$2:$G$287,L$1)&gt;0,1,"")</f>
        <v/>
      </c>
      <c r="M123" s="21" t="str">
        <f>IF(COUNTIFS(KPI_Element_Map!$A$2:$A$287,$A123,KPI_Element_Map!$G$2:$G$287,M$1)&gt;0,1,"")</f>
        <v/>
      </c>
      <c r="N123" s="21" t="str">
        <f>IF(COUNTIFS(KPI_Element_Map!$A$2:$A$287,$A123,KPI_Element_Map!$G$2:$G$287,N$1)&gt;0,1,"")</f>
        <v/>
      </c>
      <c r="O123" s="21" t="str">
        <f>IF(COUNTIFS(KPI_Element_Map!$A$2:$A$287,$A123,KPI_Element_Map!$G$2:$G$287,O$1)&gt;0,1,"")</f>
        <v/>
      </c>
      <c r="P123" s="21" t="str">
        <f>IF(COUNTIFS(KPI_Element_Map!$A$2:$A$287,$A123,KPI_Element_Map!$G$2:$G$287,P$1)&gt;0,1,"")</f>
        <v/>
      </c>
      <c r="Q123" s="21" t="str">
        <f>IF(COUNTIFS(KPI_Element_Map!$A$2:$A$287,$A123,KPI_Element_Map!$G$2:$G$287,Q$1)&gt;0,1,"")</f>
        <v/>
      </c>
      <c r="R123" s="21" t="str">
        <f>IF(COUNTIFS(KPI_Element_Map!$A$2:$A$287,$A123,KPI_Element_Map!$G$2:$G$287,R$1)&gt;0,1,"")</f>
        <v/>
      </c>
      <c r="S123" s="21" t="str">
        <f>IF(COUNTIFS(KPI_Element_Map!$A$2:$A$287,$A123,KPI_Element_Map!$G$2:$G$287,S$1)&gt;0,1,"")</f>
        <v/>
      </c>
      <c r="T123" s="21" t="str">
        <f>IF(COUNTIFS(KPI_Element_Map!$A$2:$A$287,$A123,KPI_Element_Map!$G$2:$G$287,T$1)&gt;0,1,"")</f>
        <v/>
      </c>
      <c r="U123" s="21" t="str">
        <f>IF(COUNTIFS(KPI_Element_Map!$A$2:$A$287,$A123,KPI_Element_Map!$G$2:$G$287,U$1)&gt;0,1,"")</f>
        <v/>
      </c>
      <c r="V123" s="21" t="str">
        <f>IF(COUNTIFS(KPI_Element_Map!$A$2:$A$287,$A123,KPI_Element_Map!$G$2:$G$287,V$1)&gt;0,1,"")</f>
        <v/>
      </c>
      <c r="W123" s="21" t="str">
        <f>IF(COUNTIFS(KPI_Element_Map!$A$2:$A$287,$A123,KPI_Element_Map!$G$2:$G$287,W$1)&gt;0,1,"")</f>
        <v/>
      </c>
      <c r="X123" s="21" t="str">
        <f>IF(COUNTIFS(KPI_Element_Map!$A$2:$A$287,$A123,KPI_Element_Map!$G$2:$G$287,X$1)&gt;0,1,"")</f>
        <v/>
      </c>
      <c r="Y123" s="21" t="str">
        <f>IF(COUNTIFS(KPI_Element_Map!$A$2:$A$287,$A123,KPI_Element_Map!$G$2:$G$287,Y$1)&gt;0,1,"")</f>
        <v/>
      </c>
      <c r="Z123" s="21" t="str">
        <f>IF(COUNTIFS(KPI_Element_Map!$A$2:$A$287,$A123,KPI_Element_Map!$G$2:$G$287,Z$1)&gt;0,1,"")</f>
        <v/>
      </c>
      <c r="AA123" s="21" t="str">
        <f>IF(COUNTIFS(KPI_Element_Map!$A$2:$A$287,$A123,KPI_Element_Map!$G$2:$G$287,AA$1)&gt;0,1,"")</f>
        <v/>
      </c>
      <c r="AB123" s="21" t="str">
        <f>IF(COUNTIFS(KPI_Element_Map!$A$2:$A$287,$A123,KPI_Element_Map!$G$2:$G$287,AB$1)&gt;0,1,"")</f>
        <v/>
      </c>
      <c r="AC123" s="21" t="str">
        <f>IF(COUNTIFS(KPI_Element_Map!$A$2:$A$287,$A123,KPI_Element_Map!$G$2:$G$287,AC$1)&gt;0,1,"")</f>
        <v/>
      </c>
      <c r="AD123" s="21" t="str">
        <f>IF(COUNTIFS(KPI_Element_Map!$A$2:$A$287,$A123,KPI_Element_Map!$G$2:$G$287,AD$1)&gt;0,1,"")</f>
        <v/>
      </c>
      <c r="AE123" s="21" t="str">
        <f>IF(COUNTIFS(KPI_Element_Map!$A$2:$A$287,$A123,KPI_Element_Map!$G$2:$G$287,AE$1)&gt;0,1,"")</f>
        <v/>
      </c>
      <c r="AF123" s="21" t="str">
        <f>IF(COUNTIFS(KPI_Element_Map!$A$2:$A$287,$A123,KPI_Element_Map!$G$2:$G$287,AF$1)&gt;0,1,"")</f>
        <v/>
      </c>
      <c r="AG123" s="21" t="str">
        <f>IF(COUNTIFS(KPI_Element_Map!$A$2:$A$287,$A123,KPI_Element_Map!$G$2:$G$287,AG$1)&gt;0,1,"")</f>
        <v/>
      </c>
      <c r="AH123" s="21" t="str">
        <f>IF(COUNTIFS(KPI_Element_Map!$A$2:$A$287,$A123,KPI_Element_Map!$G$2:$G$287,AH$1)&gt;0,1,"")</f>
        <v/>
      </c>
      <c r="AI123" s="21">
        <f>IF(COUNTIFS(KPI_Element_Map!$A$2:$A$287,$A123,KPI_Element_Map!$G$2:$G$287,AI$1)&gt;0,1,"")</f>
        <v>1</v>
      </c>
      <c r="AJ123" s="21" t="str">
        <f>IF(COUNTIFS(KPI_Element_Map!$A$2:$A$287,$A123,KPI_Element_Map!$G$2:$G$287,AJ$1)&gt;0,1,"")</f>
        <v/>
      </c>
      <c r="AK123" s="21" t="str">
        <f>IF(COUNTIFS(KPI_Element_Map!$A$2:$A$287,$A123,KPI_Element_Map!$G$2:$G$287,AK$1)&gt;0,1,"")</f>
        <v/>
      </c>
    </row>
    <row r="124" spans="1:37">
      <c r="A124" s="21">
        <v>123</v>
      </c>
      <c r="B124" s="23" t="str">
        <f>INDEX(KPI_Master!$B:$B,MATCH($A124,KPI_Master!$A:$A,0))</f>
        <v>PLAO-19</v>
      </c>
      <c r="C124" s="23" t="str">
        <f>INDEX(KPI_Master!$D:$D,MATCH($A124,KPI_Master!$A:$A,0))</f>
        <v>Maintenance Labor Hours per Resident Unit</v>
      </c>
      <c r="D124" s="23" t="str">
        <f>INDEX(KPI_Master!$K:$K,MATCH($A124,KPI_Master!$A:$A,0))</f>
        <v>3 - Optional</v>
      </c>
      <c r="E124" s="23" t="str">
        <f t="array" ref="E124">_xlfn.TEXTJOIN(", ",TRUE(),IF(KPI_Element_Map!$A$2:$A$287=$A124,KPI_Element_Map!$E$2:$E$287,""))</f>
        <v>E55, E11</v>
      </c>
      <c r="F124" s="21">
        <f t="shared" si="3"/>
        <v>2</v>
      </c>
      <c r="G124" s="21" t="str">
        <f>IF(COUNTIFS(KPI_Element_Map!$A$2:$A$287,$A124,KPI_Element_Map!$G$2:$G$287,G$1)&gt;0,1,"")</f>
        <v/>
      </c>
      <c r="H124" s="21">
        <f>IF(COUNTIFS(KPI_Element_Map!$A$2:$A$287,$A124,KPI_Element_Map!$G$2:$G$287,H$1)&gt;0,1,"")</f>
        <v>1</v>
      </c>
      <c r="I124" s="21" t="str">
        <f>IF(COUNTIFS(KPI_Element_Map!$A$2:$A$287,$A124,KPI_Element_Map!$G$2:$G$287,I$1)&gt;0,1,"")</f>
        <v/>
      </c>
      <c r="J124" s="21" t="str">
        <f>IF(COUNTIFS(KPI_Element_Map!$A$2:$A$287,$A124,KPI_Element_Map!$G$2:$G$287,J$1)&gt;0,1,"")</f>
        <v/>
      </c>
      <c r="K124" s="21" t="str">
        <f>IF(COUNTIFS(KPI_Element_Map!$A$2:$A$287,$A124,KPI_Element_Map!$G$2:$G$287,K$1)&gt;0,1,"")</f>
        <v/>
      </c>
      <c r="L124" s="21" t="str">
        <f>IF(COUNTIFS(KPI_Element_Map!$A$2:$A$287,$A124,KPI_Element_Map!$G$2:$G$287,L$1)&gt;0,1,"")</f>
        <v/>
      </c>
      <c r="M124" s="21" t="str">
        <f>IF(COUNTIFS(KPI_Element_Map!$A$2:$A$287,$A124,KPI_Element_Map!$G$2:$G$287,M$1)&gt;0,1,"")</f>
        <v/>
      </c>
      <c r="N124" s="21" t="str">
        <f>IF(COUNTIFS(KPI_Element_Map!$A$2:$A$287,$A124,KPI_Element_Map!$G$2:$G$287,N$1)&gt;0,1,"")</f>
        <v/>
      </c>
      <c r="O124" s="21" t="str">
        <f>IF(COUNTIFS(KPI_Element_Map!$A$2:$A$287,$A124,KPI_Element_Map!$G$2:$G$287,O$1)&gt;0,1,"")</f>
        <v/>
      </c>
      <c r="P124" s="21" t="str">
        <f>IF(COUNTIFS(KPI_Element_Map!$A$2:$A$287,$A124,KPI_Element_Map!$G$2:$G$287,P$1)&gt;0,1,"")</f>
        <v/>
      </c>
      <c r="Q124" s="21" t="str">
        <f>IF(COUNTIFS(KPI_Element_Map!$A$2:$A$287,$A124,KPI_Element_Map!$G$2:$G$287,Q$1)&gt;0,1,"")</f>
        <v/>
      </c>
      <c r="R124" s="21" t="str">
        <f>IF(COUNTIFS(KPI_Element_Map!$A$2:$A$287,$A124,KPI_Element_Map!$G$2:$G$287,R$1)&gt;0,1,"")</f>
        <v/>
      </c>
      <c r="S124" s="21" t="str">
        <f>IF(COUNTIFS(KPI_Element_Map!$A$2:$A$287,$A124,KPI_Element_Map!$G$2:$G$287,S$1)&gt;0,1,"")</f>
        <v/>
      </c>
      <c r="T124" s="21" t="str">
        <f>IF(COUNTIFS(KPI_Element_Map!$A$2:$A$287,$A124,KPI_Element_Map!$G$2:$G$287,T$1)&gt;0,1,"")</f>
        <v/>
      </c>
      <c r="U124" s="21" t="str">
        <f>IF(COUNTIFS(KPI_Element_Map!$A$2:$A$287,$A124,KPI_Element_Map!$G$2:$G$287,U$1)&gt;0,1,"")</f>
        <v/>
      </c>
      <c r="V124" s="21" t="str">
        <f>IF(COUNTIFS(KPI_Element_Map!$A$2:$A$287,$A124,KPI_Element_Map!$G$2:$G$287,V$1)&gt;0,1,"")</f>
        <v/>
      </c>
      <c r="W124" s="21" t="str">
        <f>IF(COUNTIFS(KPI_Element_Map!$A$2:$A$287,$A124,KPI_Element_Map!$G$2:$G$287,W$1)&gt;0,1,"")</f>
        <v/>
      </c>
      <c r="X124" s="21" t="str">
        <f>IF(COUNTIFS(KPI_Element_Map!$A$2:$A$287,$A124,KPI_Element_Map!$G$2:$G$287,X$1)&gt;0,1,"")</f>
        <v/>
      </c>
      <c r="Y124" s="21" t="str">
        <f>IF(COUNTIFS(KPI_Element_Map!$A$2:$A$287,$A124,KPI_Element_Map!$G$2:$G$287,Y$1)&gt;0,1,"")</f>
        <v/>
      </c>
      <c r="Z124" s="21" t="str">
        <f>IF(COUNTIFS(KPI_Element_Map!$A$2:$A$287,$A124,KPI_Element_Map!$G$2:$G$287,Z$1)&gt;0,1,"")</f>
        <v/>
      </c>
      <c r="AA124" s="21" t="str">
        <f>IF(COUNTIFS(KPI_Element_Map!$A$2:$A$287,$A124,KPI_Element_Map!$G$2:$G$287,AA$1)&gt;0,1,"")</f>
        <v/>
      </c>
      <c r="AB124" s="21" t="str">
        <f>IF(COUNTIFS(KPI_Element_Map!$A$2:$A$287,$A124,KPI_Element_Map!$G$2:$G$287,AB$1)&gt;0,1,"")</f>
        <v/>
      </c>
      <c r="AC124" s="21" t="str">
        <f>IF(COUNTIFS(KPI_Element_Map!$A$2:$A$287,$A124,KPI_Element_Map!$G$2:$G$287,AC$1)&gt;0,1,"")</f>
        <v/>
      </c>
      <c r="AD124" s="21" t="str">
        <f>IF(COUNTIFS(KPI_Element_Map!$A$2:$A$287,$A124,KPI_Element_Map!$G$2:$G$287,AD$1)&gt;0,1,"")</f>
        <v/>
      </c>
      <c r="AE124" s="21" t="str">
        <f>IF(COUNTIFS(KPI_Element_Map!$A$2:$A$287,$A124,KPI_Element_Map!$G$2:$G$287,AE$1)&gt;0,1,"")</f>
        <v/>
      </c>
      <c r="AF124" s="21" t="str">
        <f>IF(COUNTIFS(KPI_Element_Map!$A$2:$A$287,$A124,KPI_Element_Map!$G$2:$G$287,AF$1)&gt;0,1,"")</f>
        <v/>
      </c>
      <c r="AG124" s="21" t="str">
        <f>IF(COUNTIFS(KPI_Element_Map!$A$2:$A$287,$A124,KPI_Element_Map!$G$2:$G$287,AG$1)&gt;0,1,"")</f>
        <v/>
      </c>
      <c r="AH124" s="21" t="str">
        <f>IF(COUNTIFS(KPI_Element_Map!$A$2:$A$287,$A124,KPI_Element_Map!$G$2:$G$287,AH$1)&gt;0,1,"")</f>
        <v/>
      </c>
      <c r="AI124" s="21">
        <f>IF(COUNTIFS(KPI_Element_Map!$A$2:$A$287,$A124,KPI_Element_Map!$G$2:$G$287,AI$1)&gt;0,1,"")</f>
        <v>1</v>
      </c>
      <c r="AJ124" s="21" t="str">
        <f>IF(COUNTIFS(KPI_Element_Map!$A$2:$A$287,$A124,KPI_Element_Map!$G$2:$G$287,AJ$1)&gt;0,1,"")</f>
        <v/>
      </c>
      <c r="AK124" s="21" t="str">
        <f>IF(COUNTIFS(KPI_Element_Map!$A$2:$A$287,$A124,KPI_Element_Map!$G$2:$G$287,AK$1)&gt;0,1,"")</f>
        <v/>
      </c>
    </row>
    <row r="125" spans="1:37">
      <c r="A125" s="21">
        <v>124</v>
      </c>
      <c r="B125" s="23" t="str">
        <f>INDEX(KPI_Master!$B:$B,MATCH($A125,KPI_Master!$A:$A,0))</f>
        <v>PLAO-20</v>
      </c>
      <c r="C125" s="23" t="str">
        <f>INDEX(KPI_Master!$D:$D,MATCH($A125,KPI_Master!$A:$A,0))</f>
        <v>Average Days Overdue per Overdue Work Order</v>
      </c>
      <c r="D125" s="23" t="str">
        <f>INDEX(KPI_Master!$K:$K,MATCH($A125,KPI_Master!$A:$A,0))</f>
        <v>2 - Standard</v>
      </c>
      <c r="E125" s="23" t="str">
        <f t="array" ref="E125">_xlfn.TEXTJOIN(", ",TRUE(),IF(KPI_Element_Map!$A$2:$A$287=$A125,KPI_Element_Map!$E$2:$E$287,""))</f>
        <v>E55</v>
      </c>
      <c r="F125" s="21">
        <f t="shared" si="3"/>
        <v>1</v>
      </c>
      <c r="G125" s="21" t="str">
        <f>IF(COUNTIFS(KPI_Element_Map!$A$2:$A$287,$A125,KPI_Element_Map!$G$2:$G$287,G$1)&gt;0,1,"")</f>
        <v/>
      </c>
      <c r="H125" s="21" t="str">
        <f>IF(COUNTIFS(KPI_Element_Map!$A$2:$A$287,$A125,KPI_Element_Map!$G$2:$G$287,H$1)&gt;0,1,"")</f>
        <v/>
      </c>
      <c r="I125" s="21" t="str">
        <f>IF(COUNTIFS(KPI_Element_Map!$A$2:$A$287,$A125,KPI_Element_Map!$G$2:$G$287,I$1)&gt;0,1,"")</f>
        <v/>
      </c>
      <c r="J125" s="21" t="str">
        <f>IF(COUNTIFS(KPI_Element_Map!$A$2:$A$287,$A125,KPI_Element_Map!$G$2:$G$287,J$1)&gt;0,1,"")</f>
        <v/>
      </c>
      <c r="K125" s="21" t="str">
        <f>IF(COUNTIFS(KPI_Element_Map!$A$2:$A$287,$A125,KPI_Element_Map!$G$2:$G$287,K$1)&gt;0,1,"")</f>
        <v/>
      </c>
      <c r="L125" s="21" t="str">
        <f>IF(COUNTIFS(KPI_Element_Map!$A$2:$A$287,$A125,KPI_Element_Map!$G$2:$G$287,L$1)&gt;0,1,"")</f>
        <v/>
      </c>
      <c r="M125" s="21" t="str">
        <f>IF(COUNTIFS(KPI_Element_Map!$A$2:$A$287,$A125,KPI_Element_Map!$G$2:$G$287,M$1)&gt;0,1,"")</f>
        <v/>
      </c>
      <c r="N125" s="21" t="str">
        <f>IF(COUNTIFS(KPI_Element_Map!$A$2:$A$287,$A125,KPI_Element_Map!$G$2:$G$287,N$1)&gt;0,1,"")</f>
        <v/>
      </c>
      <c r="O125" s="21" t="str">
        <f>IF(COUNTIFS(KPI_Element_Map!$A$2:$A$287,$A125,KPI_Element_Map!$G$2:$G$287,O$1)&gt;0,1,"")</f>
        <v/>
      </c>
      <c r="P125" s="21" t="str">
        <f>IF(COUNTIFS(KPI_Element_Map!$A$2:$A$287,$A125,KPI_Element_Map!$G$2:$G$287,P$1)&gt;0,1,"")</f>
        <v/>
      </c>
      <c r="Q125" s="21" t="str">
        <f>IF(COUNTIFS(KPI_Element_Map!$A$2:$A$287,$A125,KPI_Element_Map!$G$2:$G$287,Q$1)&gt;0,1,"")</f>
        <v/>
      </c>
      <c r="R125" s="21" t="str">
        <f>IF(COUNTIFS(KPI_Element_Map!$A$2:$A$287,$A125,KPI_Element_Map!$G$2:$G$287,R$1)&gt;0,1,"")</f>
        <v/>
      </c>
      <c r="S125" s="21" t="str">
        <f>IF(COUNTIFS(KPI_Element_Map!$A$2:$A$287,$A125,KPI_Element_Map!$G$2:$G$287,S$1)&gt;0,1,"")</f>
        <v/>
      </c>
      <c r="T125" s="21" t="str">
        <f>IF(COUNTIFS(KPI_Element_Map!$A$2:$A$287,$A125,KPI_Element_Map!$G$2:$G$287,T$1)&gt;0,1,"")</f>
        <v/>
      </c>
      <c r="U125" s="21" t="str">
        <f>IF(COUNTIFS(KPI_Element_Map!$A$2:$A$287,$A125,KPI_Element_Map!$G$2:$G$287,U$1)&gt;0,1,"")</f>
        <v/>
      </c>
      <c r="V125" s="21" t="str">
        <f>IF(COUNTIFS(KPI_Element_Map!$A$2:$A$287,$A125,KPI_Element_Map!$G$2:$G$287,V$1)&gt;0,1,"")</f>
        <v/>
      </c>
      <c r="W125" s="21" t="str">
        <f>IF(COUNTIFS(KPI_Element_Map!$A$2:$A$287,$A125,KPI_Element_Map!$G$2:$G$287,W$1)&gt;0,1,"")</f>
        <v/>
      </c>
      <c r="X125" s="21" t="str">
        <f>IF(COUNTIFS(KPI_Element_Map!$A$2:$A$287,$A125,KPI_Element_Map!$G$2:$G$287,X$1)&gt;0,1,"")</f>
        <v/>
      </c>
      <c r="Y125" s="21" t="str">
        <f>IF(COUNTIFS(KPI_Element_Map!$A$2:$A$287,$A125,KPI_Element_Map!$G$2:$G$287,Y$1)&gt;0,1,"")</f>
        <v/>
      </c>
      <c r="Z125" s="21" t="str">
        <f>IF(COUNTIFS(KPI_Element_Map!$A$2:$A$287,$A125,KPI_Element_Map!$G$2:$G$287,Z$1)&gt;0,1,"")</f>
        <v/>
      </c>
      <c r="AA125" s="21" t="str">
        <f>IF(COUNTIFS(KPI_Element_Map!$A$2:$A$287,$A125,KPI_Element_Map!$G$2:$G$287,AA$1)&gt;0,1,"")</f>
        <v/>
      </c>
      <c r="AB125" s="21" t="str">
        <f>IF(COUNTIFS(KPI_Element_Map!$A$2:$A$287,$A125,KPI_Element_Map!$G$2:$G$287,AB$1)&gt;0,1,"")</f>
        <v/>
      </c>
      <c r="AC125" s="21" t="str">
        <f>IF(COUNTIFS(KPI_Element_Map!$A$2:$A$287,$A125,KPI_Element_Map!$G$2:$G$287,AC$1)&gt;0,1,"")</f>
        <v/>
      </c>
      <c r="AD125" s="21" t="str">
        <f>IF(COUNTIFS(KPI_Element_Map!$A$2:$A$287,$A125,KPI_Element_Map!$G$2:$G$287,AD$1)&gt;0,1,"")</f>
        <v/>
      </c>
      <c r="AE125" s="21" t="str">
        <f>IF(COUNTIFS(KPI_Element_Map!$A$2:$A$287,$A125,KPI_Element_Map!$G$2:$G$287,AE$1)&gt;0,1,"")</f>
        <v/>
      </c>
      <c r="AF125" s="21" t="str">
        <f>IF(COUNTIFS(KPI_Element_Map!$A$2:$A$287,$A125,KPI_Element_Map!$G$2:$G$287,AF$1)&gt;0,1,"")</f>
        <v/>
      </c>
      <c r="AG125" s="21" t="str">
        <f>IF(COUNTIFS(KPI_Element_Map!$A$2:$A$287,$A125,KPI_Element_Map!$G$2:$G$287,AG$1)&gt;0,1,"")</f>
        <v/>
      </c>
      <c r="AH125" s="21" t="str">
        <f>IF(COUNTIFS(KPI_Element_Map!$A$2:$A$287,$A125,KPI_Element_Map!$G$2:$G$287,AH$1)&gt;0,1,"")</f>
        <v/>
      </c>
      <c r="AI125" s="21">
        <f>IF(COUNTIFS(KPI_Element_Map!$A$2:$A$287,$A125,KPI_Element_Map!$G$2:$G$287,AI$1)&gt;0,1,"")</f>
        <v>1</v>
      </c>
      <c r="AJ125" s="21" t="str">
        <f>IF(COUNTIFS(KPI_Element_Map!$A$2:$A$287,$A125,KPI_Element_Map!$G$2:$G$287,AJ$1)&gt;0,1,"")</f>
        <v/>
      </c>
      <c r="AK125" s="21" t="str">
        <f>IF(COUNTIFS(KPI_Element_Map!$A$2:$A$287,$A125,KPI_Element_Map!$G$2:$G$287,AK$1)&gt;0,1,"")</f>
        <v/>
      </c>
    </row>
    <row r="126" spans="1:37">
      <c r="A126" s="21">
        <v>125</v>
      </c>
      <c r="B126" s="23" t="str">
        <f>INDEX(KPI_Master!$B:$B,MATCH($A126,KPI_Master!$A:$A,0))</f>
        <v>PLAO-21</v>
      </c>
      <c r="C126" s="23" t="str">
        <f>INDEX(KPI_Master!$D:$D,MATCH($A126,KPI_Master!$A:$A,0))</f>
        <v>Average Days Open per Work Order</v>
      </c>
      <c r="D126" s="23" t="str">
        <f>INDEX(KPI_Master!$K:$K,MATCH($A126,KPI_Master!$A:$A,0))</f>
        <v>2 - Standard</v>
      </c>
      <c r="E126" s="23" t="str">
        <f t="array" ref="E126">_xlfn.TEXTJOIN(", ",TRUE(),IF(KPI_Element_Map!$A$2:$A$287=$A126,KPI_Element_Map!$E$2:$E$287,""))</f>
        <v>E55</v>
      </c>
      <c r="F126" s="21">
        <f t="shared" si="3"/>
        <v>1</v>
      </c>
      <c r="G126" s="21" t="str">
        <f>IF(COUNTIFS(KPI_Element_Map!$A$2:$A$287,$A126,KPI_Element_Map!$G$2:$G$287,G$1)&gt;0,1,"")</f>
        <v/>
      </c>
      <c r="H126" s="21" t="str">
        <f>IF(COUNTIFS(KPI_Element_Map!$A$2:$A$287,$A126,KPI_Element_Map!$G$2:$G$287,H$1)&gt;0,1,"")</f>
        <v/>
      </c>
      <c r="I126" s="21" t="str">
        <f>IF(COUNTIFS(KPI_Element_Map!$A$2:$A$287,$A126,KPI_Element_Map!$G$2:$G$287,I$1)&gt;0,1,"")</f>
        <v/>
      </c>
      <c r="J126" s="21" t="str">
        <f>IF(COUNTIFS(KPI_Element_Map!$A$2:$A$287,$A126,KPI_Element_Map!$G$2:$G$287,J$1)&gt;0,1,"")</f>
        <v/>
      </c>
      <c r="K126" s="21" t="str">
        <f>IF(COUNTIFS(KPI_Element_Map!$A$2:$A$287,$A126,KPI_Element_Map!$G$2:$G$287,K$1)&gt;0,1,"")</f>
        <v/>
      </c>
      <c r="L126" s="21" t="str">
        <f>IF(COUNTIFS(KPI_Element_Map!$A$2:$A$287,$A126,KPI_Element_Map!$G$2:$G$287,L$1)&gt;0,1,"")</f>
        <v/>
      </c>
      <c r="M126" s="21" t="str">
        <f>IF(COUNTIFS(KPI_Element_Map!$A$2:$A$287,$A126,KPI_Element_Map!$G$2:$G$287,M$1)&gt;0,1,"")</f>
        <v/>
      </c>
      <c r="N126" s="21" t="str">
        <f>IF(COUNTIFS(KPI_Element_Map!$A$2:$A$287,$A126,KPI_Element_Map!$G$2:$G$287,N$1)&gt;0,1,"")</f>
        <v/>
      </c>
      <c r="O126" s="21" t="str">
        <f>IF(COUNTIFS(KPI_Element_Map!$A$2:$A$287,$A126,KPI_Element_Map!$G$2:$G$287,O$1)&gt;0,1,"")</f>
        <v/>
      </c>
      <c r="P126" s="21" t="str">
        <f>IF(COUNTIFS(KPI_Element_Map!$A$2:$A$287,$A126,KPI_Element_Map!$G$2:$G$287,P$1)&gt;0,1,"")</f>
        <v/>
      </c>
      <c r="Q126" s="21" t="str">
        <f>IF(COUNTIFS(KPI_Element_Map!$A$2:$A$287,$A126,KPI_Element_Map!$G$2:$G$287,Q$1)&gt;0,1,"")</f>
        <v/>
      </c>
      <c r="R126" s="21" t="str">
        <f>IF(COUNTIFS(KPI_Element_Map!$A$2:$A$287,$A126,KPI_Element_Map!$G$2:$G$287,R$1)&gt;0,1,"")</f>
        <v/>
      </c>
      <c r="S126" s="21" t="str">
        <f>IF(COUNTIFS(KPI_Element_Map!$A$2:$A$287,$A126,KPI_Element_Map!$G$2:$G$287,S$1)&gt;0,1,"")</f>
        <v/>
      </c>
      <c r="T126" s="21" t="str">
        <f>IF(COUNTIFS(KPI_Element_Map!$A$2:$A$287,$A126,KPI_Element_Map!$G$2:$G$287,T$1)&gt;0,1,"")</f>
        <v/>
      </c>
      <c r="U126" s="21" t="str">
        <f>IF(COUNTIFS(KPI_Element_Map!$A$2:$A$287,$A126,KPI_Element_Map!$G$2:$G$287,U$1)&gt;0,1,"")</f>
        <v/>
      </c>
      <c r="V126" s="21" t="str">
        <f>IF(COUNTIFS(KPI_Element_Map!$A$2:$A$287,$A126,KPI_Element_Map!$G$2:$G$287,V$1)&gt;0,1,"")</f>
        <v/>
      </c>
      <c r="W126" s="21" t="str">
        <f>IF(COUNTIFS(KPI_Element_Map!$A$2:$A$287,$A126,KPI_Element_Map!$G$2:$G$287,W$1)&gt;0,1,"")</f>
        <v/>
      </c>
      <c r="X126" s="21" t="str">
        <f>IF(COUNTIFS(KPI_Element_Map!$A$2:$A$287,$A126,KPI_Element_Map!$G$2:$G$287,X$1)&gt;0,1,"")</f>
        <v/>
      </c>
      <c r="Y126" s="21" t="str">
        <f>IF(COUNTIFS(KPI_Element_Map!$A$2:$A$287,$A126,KPI_Element_Map!$G$2:$G$287,Y$1)&gt;0,1,"")</f>
        <v/>
      </c>
      <c r="Z126" s="21" t="str">
        <f>IF(COUNTIFS(KPI_Element_Map!$A$2:$A$287,$A126,KPI_Element_Map!$G$2:$G$287,Z$1)&gt;0,1,"")</f>
        <v/>
      </c>
      <c r="AA126" s="21" t="str">
        <f>IF(COUNTIFS(KPI_Element_Map!$A$2:$A$287,$A126,KPI_Element_Map!$G$2:$G$287,AA$1)&gt;0,1,"")</f>
        <v/>
      </c>
      <c r="AB126" s="21" t="str">
        <f>IF(COUNTIFS(KPI_Element_Map!$A$2:$A$287,$A126,KPI_Element_Map!$G$2:$G$287,AB$1)&gt;0,1,"")</f>
        <v/>
      </c>
      <c r="AC126" s="21" t="str">
        <f>IF(COUNTIFS(KPI_Element_Map!$A$2:$A$287,$A126,KPI_Element_Map!$G$2:$G$287,AC$1)&gt;0,1,"")</f>
        <v/>
      </c>
      <c r="AD126" s="21" t="str">
        <f>IF(COUNTIFS(KPI_Element_Map!$A$2:$A$287,$A126,KPI_Element_Map!$G$2:$G$287,AD$1)&gt;0,1,"")</f>
        <v/>
      </c>
      <c r="AE126" s="21" t="str">
        <f>IF(COUNTIFS(KPI_Element_Map!$A$2:$A$287,$A126,KPI_Element_Map!$G$2:$G$287,AE$1)&gt;0,1,"")</f>
        <v/>
      </c>
      <c r="AF126" s="21" t="str">
        <f>IF(COUNTIFS(KPI_Element_Map!$A$2:$A$287,$A126,KPI_Element_Map!$G$2:$G$287,AF$1)&gt;0,1,"")</f>
        <v/>
      </c>
      <c r="AG126" s="21" t="str">
        <f>IF(COUNTIFS(KPI_Element_Map!$A$2:$A$287,$A126,KPI_Element_Map!$G$2:$G$287,AG$1)&gt;0,1,"")</f>
        <v/>
      </c>
      <c r="AH126" s="21" t="str">
        <f>IF(COUNTIFS(KPI_Element_Map!$A$2:$A$287,$A126,KPI_Element_Map!$G$2:$G$287,AH$1)&gt;0,1,"")</f>
        <v/>
      </c>
      <c r="AI126" s="21">
        <f>IF(COUNTIFS(KPI_Element_Map!$A$2:$A$287,$A126,KPI_Element_Map!$G$2:$G$287,AI$1)&gt;0,1,"")</f>
        <v>1</v>
      </c>
      <c r="AJ126" s="21" t="str">
        <f>IF(COUNTIFS(KPI_Element_Map!$A$2:$A$287,$A126,KPI_Element_Map!$G$2:$G$287,AJ$1)&gt;0,1,"")</f>
        <v/>
      </c>
      <c r="AK126" s="21" t="str">
        <f>IF(COUNTIFS(KPI_Element_Map!$A$2:$A$287,$A126,KPI_Element_Map!$G$2:$G$287,AK$1)&gt;0,1,"")</f>
        <v/>
      </c>
    </row>
    <row r="127" spans="1:37">
      <c r="A127" s="21">
        <v>126</v>
      </c>
      <c r="B127" s="23" t="str">
        <f>INDEX(KPI_Master!$B:$B,MATCH($A127,KPI_Master!$A:$A,0))</f>
        <v>PLAO-22</v>
      </c>
      <c r="C127" s="23" t="str">
        <f>INDEX(KPI_Master!$D:$D,MATCH($A127,KPI_Master!$A:$A,0))</f>
        <v>Resident Billings per Resident Unit</v>
      </c>
      <c r="D127" s="23" t="str">
        <f>INDEX(KPI_Master!$K:$K,MATCH($A127,KPI_Master!$A:$A,0))</f>
        <v>3 - Optional</v>
      </c>
      <c r="E127" s="23" t="str">
        <f t="array" ref="E127">_xlfn.TEXTJOIN(", ",TRUE(),IF(KPI_Element_Map!$A$2:$A$287=$A127,KPI_Element_Map!$E$2:$E$287,""))</f>
        <v>E55, E11</v>
      </c>
      <c r="F127" s="21">
        <f t="shared" si="3"/>
        <v>2</v>
      </c>
      <c r="G127" s="21" t="str">
        <f>IF(COUNTIFS(KPI_Element_Map!$A$2:$A$287,$A127,KPI_Element_Map!$G$2:$G$287,G$1)&gt;0,1,"")</f>
        <v/>
      </c>
      <c r="H127" s="21">
        <f>IF(COUNTIFS(KPI_Element_Map!$A$2:$A$287,$A127,KPI_Element_Map!$G$2:$G$287,H$1)&gt;0,1,"")</f>
        <v>1</v>
      </c>
      <c r="I127" s="21" t="str">
        <f>IF(COUNTIFS(KPI_Element_Map!$A$2:$A$287,$A127,KPI_Element_Map!$G$2:$G$287,I$1)&gt;0,1,"")</f>
        <v/>
      </c>
      <c r="J127" s="21" t="str">
        <f>IF(COUNTIFS(KPI_Element_Map!$A$2:$A$287,$A127,KPI_Element_Map!$G$2:$G$287,J$1)&gt;0,1,"")</f>
        <v/>
      </c>
      <c r="K127" s="21" t="str">
        <f>IF(COUNTIFS(KPI_Element_Map!$A$2:$A$287,$A127,KPI_Element_Map!$G$2:$G$287,K$1)&gt;0,1,"")</f>
        <v/>
      </c>
      <c r="L127" s="21" t="str">
        <f>IF(COUNTIFS(KPI_Element_Map!$A$2:$A$287,$A127,KPI_Element_Map!$G$2:$G$287,L$1)&gt;0,1,"")</f>
        <v/>
      </c>
      <c r="M127" s="21" t="str">
        <f>IF(COUNTIFS(KPI_Element_Map!$A$2:$A$287,$A127,KPI_Element_Map!$G$2:$G$287,M$1)&gt;0,1,"")</f>
        <v/>
      </c>
      <c r="N127" s="21" t="str">
        <f>IF(COUNTIFS(KPI_Element_Map!$A$2:$A$287,$A127,KPI_Element_Map!$G$2:$G$287,N$1)&gt;0,1,"")</f>
        <v/>
      </c>
      <c r="O127" s="21" t="str">
        <f>IF(COUNTIFS(KPI_Element_Map!$A$2:$A$287,$A127,KPI_Element_Map!$G$2:$G$287,O$1)&gt;0,1,"")</f>
        <v/>
      </c>
      <c r="P127" s="21" t="str">
        <f>IF(COUNTIFS(KPI_Element_Map!$A$2:$A$287,$A127,KPI_Element_Map!$G$2:$G$287,P$1)&gt;0,1,"")</f>
        <v/>
      </c>
      <c r="Q127" s="21" t="str">
        <f>IF(COUNTIFS(KPI_Element_Map!$A$2:$A$287,$A127,KPI_Element_Map!$G$2:$G$287,Q$1)&gt;0,1,"")</f>
        <v/>
      </c>
      <c r="R127" s="21" t="str">
        <f>IF(COUNTIFS(KPI_Element_Map!$A$2:$A$287,$A127,KPI_Element_Map!$G$2:$G$287,R$1)&gt;0,1,"")</f>
        <v/>
      </c>
      <c r="S127" s="21" t="str">
        <f>IF(COUNTIFS(KPI_Element_Map!$A$2:$A$287,$A127,KPI_Element_Map!$G$2:$G$287,S$1)&gt;0,1,"")</f>
        <v/>
      </c>
      <c r="T127" s="21" t="str">
        <f>IF(COUNTIFS(KPI_Element_Map!$A$2:$A$287,$A127,KPI_Element_Map!$G$2:$G$287,T$1)&gt;0,1,"")</f>
        <v/>
      </c>
      <c r="U127" s="21" t="str">
        <f>IF(COUNTIFS(KPI_Element_Map!$A$2:$A$287,$A127,KPI_Element_Map!$G$2:$G$287,U$1)&gt;0,1,"")</f>
        <v/>
      </c>
      <c r="V127" s="21" t="str">
        <f>IF(COUNTIFS(KPI_Element_Map!$A$2:$A$287,$A127,KPI_Element_Map!$G$2:$G$287,V$1)&gt;0,1,"")</f>
        <v/>
      </c>
      <c r="W127" s="21" t="str">
        <f>IF(COUNTIFS(KPI_Element_Map!$A$2:$A$287,$A127,KPI_Element_Map!$G$2:$G$287,W$1)&gt;0,1,"")</f>
        <v/>
      </c>
      <c r="X127" s="21" t="str">
        <f>IF(COUNTIFS(KPI_Element_Map!$A$2:$A$287,$A127,KPI_Element_Map!$G$2:$G$287,X$1)&gt;0,1,"")</f>
        <v/>
      </c>
      <c r="Y127" s="21" t="str">
        <f>IF(COUNTIFS(KPI_Element_Map!$A$2:$A$287,$A127,KPI_Element_Map!$G$2:$G$287,Y$1)&gt;0,1,"")</f>
        <v/>
      </c>
      <c r="Z127" s="21" t="str">
        <f>IF(COUNTIFS(KPI_Element_Map!$A$2:$A$287,$A127,KPI_Element_Map!$G$2:$G$287,Z$1)&gt;0,1,"")</f>
        <v/>
      </c>
      <c r="AA127" s="21" t="str">
        <f>IF(COUNTIFS(KPI_Element_Map!$A$2:$A$287,$A127,KPI_Element_Map!$G$2:$G$287,AA$1)&gt;0,1,"")</f>
        <v/>
      </c>
      <c r="AB127" s="21" t="str">
        <f>IF(COUNTIFS(KPI_Element_Map!$A$2:$A$287,$A127,KPI_Element_Map!$G$2:$G$287,AB$1)&gt;0,1,"")</f>
        <v/>
      </c>
      <c r="AC127" s="21" t="str">
        <f>IF(COUNTIFS(KPI_Element_Map!$A$2:$A$287,$A127,KPI_Element_Map!$G$2:$G$287,AC$1)&gt;0,1,"")</f>
        <v/>
      </c>
      <c r="AD127" s="21" t="str">
        <f>IF(COUNTIFS(KPI_Element_Map!$A$2:$A$287,$A127,KPI_Element_Map!$G$2:$G$287,AD$1)&gt;0,1,"")</f>
        <v/>
      </c>
      <c r="AE127" s="21" t="str">
        <f>IF(COUNTIFS(KPI_Element_Map!$A$2:$A$287,$A127,KPI_Element_Map!$G$2:$G$287,AE$1)&gt;0,1,"")</f>
        <v/>
      </c>
      <c r="AF127" s="21" t="str">
        <f>IF(COUNTIFS(KPI_Element_Map!$A$2:$A$287,$A127,KPI_Element_Map!$G$2:$G$287,AF$1)&gt;0,1,"")</f>
        <v/>
      </c>
      <c r="AG127" s="21" t="str">
        <f>IF(COUNTIFS(KPI_Element_Map!$A$2:$A$287,$A127,KPI_Element_Map!$G$2:$G$287,AG$1)&gt;0,1,"")</f>
        <v/>
      </c>
      <c r="AH127" s="21" t="str">
        <f>IF(COUNTIFS(KPI_Element_Map!$A$2:$A$287,$A127,KPI_Element_Map!$G$2:$G$287,AH$1)&gt;0,1,"")</f>
        <v/>
      </c>
      <c r="AI127" s="21">
        <f>IF(COUNTIFS(KPI_Element_Map!$A$2:$A$287,$A127,KPI_Element_Map!$G$2:$G$287,AI$1)&gt;0,1,"")</f>
        <v>1</v>
      </c>
      <c r="AJ127" s="21" t="str">
        <f>IF(COUNTIFS(KPI_Element_Map!$A$2:$A$287,$A127,KPI_Element_Map!$G$2:$G$287,AJ$1)&gt;0,1,"")</f>
        <v/>
      </c>
      <c r="AK127" s="21" t="str">
        <f>IF(COUNTIFS(KPI_Element_Map!$A$2:$A$287,$A127,KPI_Element_Map!$G$2:$G$287,AK$1)&gt;0,1,"")</f>
        <v/>
      </c>
    </row>
    <row r="128" spans="1:37">
      <c r="A128" s="21">
        <v>127</v>
      </c>
      <c r="B128" s="23" t="str">
        <f>INDEX(KPI_Master!$B:$B,MATCH($A128,KPI_Master!$A:$A,0))</f>
        <v>QUAC-01</v>
      </c>
      <c r="C128" s="23" t="str">
        <f>INDEX(KPI_Master!$D:$D,MATCH($A128,KPI_Master!$A:$A,0))</f>
        <v>Survey Deficiency Count</v>
      </c>
      <c r="D128" s="23" t="str">
        <f>INDEX(KPI_Master!$K:$K,MATCH($A128,KPI_Master!$A:$A,0))</f>
        <v>1 - Core</v>
      </c>
      <c r="E128" s="23" t="str">
        <f t="array" ref="E128">_xlfn.TEXTJOIN(", ",TRUE(),IF(KPI_Element_Map!$A$2:$A$287=$A128,KPI_Element_Map!$E$2:$E$287,""))</f>
        <v>E43</v>
      </c>
      <c r="F128" s="21">
        <f t="shared" si="3"/>
        <v>1</v>
      </c>
      <c r="G128" s="21" t="str">
        <f>IF(COUNTIFS(KPI_Element_Map!$A$2:$A$287,$A128,KPI_Element_Map!$G$2:$G$287,G$1)&gt;0,1,"")</f>
        <v/>
      </c>
      <c r="H128" s="21" t="str">
        <f>IF(COUNTIFS(KPI_Element_Map!$A$2:$A$287,$A128,KPI_Element_Map!$G$2:$G$287,H$1)&gt;0,1,"")</f>
        <v/>
      </c>
      <c r="I128" s="21" t="str">
        <f>IF(COUNTIFS(KPI_Element_Map!$A$2:$A$287,$A128,KPI_Element_Map!$G$2:$G$287,I$1)&gt;0,1,"")</f>
        <v/>
      </c>
      <c r="J128" s="21" t="str">
        <f>IF(COUNTIFS(KPI_Element_Map!$A$2:$A$287,$A128,KPI_Element_Map!$G$2:$G$287,J$1)&gt;0,1,"")</f>
        <v/>
      </c>
      <c r="K128" s="21" t="str">
        <f>IF(COUNTIFS(KPI_Element_Map!$A$2:$A$287,$A128,KPI_Element_Map!$G$2:$G$287,K$1)&gt;0,1,"")</f>
        <v/>
      </c>
      <c r="L128" s="21" t="str">
        <f>IF(COUNTIFS(KPI_Element_Map!$A$2:$A$287,$A128,KPI_Element_Map!$G$2:$G$287,L$1)&gt;0,1,"")</f>
        <v/>
      </c>
      <c r="M128" s="21" t="str">
        <f>IF(COUNTIFS(KPI_Element_Map!$A$2:$A$287,$A128,KPI_Element_Map!$G$2:$G$287,M$1)&gt;0,1,"")</f>
        <v/>
      </c>
      <c r="N128" s="21" t="str">
        <f>IF(COUNTIFS(KPI_Element_Map!$A$2:$A$287,$A128,KPI_Element_Map!$G$2:$G$287,N$1)&gt;0,1,"")</f>
        <v/>
      </c>
      <c r="O128" s="21" t="str">
        <f>IF(COUNTIFS(KPI_Element_Map!$A$2:$A$287,$A128,KPI_Element_Map!$G$2:$G$287,O$1)&gt;0,1,"")</f>
        <v/>
      </c>
      <c r="P128" s="21" t="str">
        <f>IF(COUNTIFS(KPI_Element_Map!$A$2:$A$287,$A128,KPI_Element_Map!$G$2:$G$287,P$1)&gt;0,1,"")</f>
        <v/>
      </c>
      <c r="Q128" s="21" t="str">
        <f>IF(COUNTIFS(KPI_Element_Map!$A$2:$A$287,$A128,KPI_Element_Map!$G$2:$G$287,Q$1)&gt;0,1,"")</f>
        <v/>
      </c>
      <c r="R128" s="21" t="str">
        <f>IF(COUNTIFS(KPI_Element_Map!$A$2:$A$287,$A128,KPI_Element_Map!$G$2:$G$287,R$1)&gt;0,1,"")</f>
        <v/>
      </c>
      <c r="S128" s="21" t="str">
        <f>IF(COUNTIFS(KPI_Element_Map!$A$2:$A$287,$A128,KPI_Element_Map!$G$2:$G$287,S$1)&gt;0,1,"")</f>
        <v/>
      </c>
      <c r="T128" s="21" t="str">
        <f>IF(COUNTIFS(KPI_Element_Map!$A$2:$A$287,$A128,KPI_Element_Map!$G$2:$G$287,T$1)&gt;0,1,"")</f>
        <v/>
      </c>
      <c r="U128" s="21" t="str">
        <f>IF(COUNTIFS(KPI_Element_Map!$A$2:$A$287,$A128,KPI_Element_Map!$G$2:$G$287,U$1)&gt;0,1,"")</f>
        <v/>
      </c>
      <c r="V128" s="21" t="str">
        <f>IF(COUNTIFS(KPI_Element_Map!$A$2:$A$287,$A128,KPI_Element_Map!$G$2:$G$287,V$1)&gt;0,1,"")</f>
        <v/>
      </c>
      <c r="W128" s="21" t="str">
        <f>IF(COUNTIFS(KPI_Element_Map!$A$2:$A$287,$A128,KPI_Element_Map!$G$2:$G$287,W$1)&gt;0,1,"")</f>
        <v/>
      </c>
      <c r="X128" s="21">
        <f>IF(COUNTIFS(KPI_Element_Map!$A$2:$A$287,$A128,KPI_Element_Map!$G$2:$G$287,X$1)&gt;0,1,"")</f>
        <v>1</v>
      </c>
      <c r="Y128" s="21" t="str">
        <f>IF(COUNTIFS(KPI_Element_Map!$A$2:$A$287,$A128,KPI_Element_Map!$G$2:$G$287,Y$1)&gt;0,1,"")</f>
        <v/>
      </c>
      <c r="Z128" s="21" t="str">
        <f>IF(COUNTIFS(KPI_Element_Map!$A$2:$A$287,$A128,KPI_Element_Map!$G$2:$G$287,Z$1)&gt;0,1,"")</f>
        <v/>
      </c>
      <c r="AA128" s="21" t="str">
        <f>IF(COUNTIFS(KPI_Element_Map!$A$2:$A$287,$A128,KPI_Element_Map!$G$2:$G$287,AA$1)&gt;0,1,"")</f>
        <v/>
      </c>
      <c r="AB128" s="21" t="str">
        <f>IF(COUNTIFS(KPI_Element_Map!$A$2:$A$287,$A128,KPI_Element_Map!$G$2:$G$287,AB$1)&gt;0,1,"")</f>
        <v/>
      </c>
      <c r="AC128" s="21" t="str">
        <f>IF(COUNTIFS(KPI_Element_Map!$A$2:$A$287,$A128,KPI_Element_Map!$G$2:$G$287,AC$1)&gt;0,1,"")</f>
        <v/>
      </c>
      <c r="AD128" s="21" t="str">
        <f>IF(COUNTIFS(KPI_Element_Map!$A$2:$A$287,$A128,KPI_Element_Map!$G$2:$G$287,AD$1)&gt;0,1,"")</f>
        <v/>
      </c>
      <c r="AE128" s="21" t="str">
        <f>IF(COUNTIFS(KPI_Element_Map!$A$2:$A$287,$A128,KPI_Element_Map!$G$2:$G$287,AE$1)&gt;0,1,"")</f>
        <v/>
      </c>
      <c r="AF128" s="21" t="str">
        <f>IF(COUNTIFS(KPI_Element_Map!$A$2:$A$287,$A128,KPI_Element_Map!$G$2:$G$287,AF$1)&gt;0,1,"")</f>
        <v/>
      </c>
      <c r="AG128" s="21" t="str">
        <f>IF(COUNTIFS(KPI_Element_Map!$A$2:$A$287,$A128,KPI_Element_Map!$G$2:$G$287,AG$1)&gt;0,1,"")</f>
        <v/>
      </c>
      <c r="AH128" s="21" t="str">
        <f>IF(COUNTIFS(KPI_Element_Map!$A$2:$A$287,$A128,KPI_Element_Map!$G$2:$G$287,AH$1)&gt;0,1,"")</f>
        <v/>
      </c>
      <c r="AI128" s="21" t="str">
        <f>IF(COUNTIFS(KPI_Element_Map!$A$2:$A$287,$A128,KPI_Element_Map!$G$2:$G$287,AI$1)&gt;0,1,"")</f>
        <v/>
      </c>
      <c r="AJ128" s="21" t="str">
        <f>IF(COUNTIFS(KPI_Element_Map!$A$2:$A$287,$A128,KPI_Element_Map!$G$2:$G$287,AJ$1)&gt;0,1,"")</f>
        <v/>
      </c>
      <c r="AK128" s="21" t="str">
        <f>IF(COUNTIFS(KPI_Element_Map!$A$2:$A$287,$A128,KPI_Element_Map!$G$2:$G$287,AK$1)&gt;0,1,"")</f>
        <v/>
      </c>
    </row>
    <row r="129" spans="1:37">
      <c r="A129" s="21">
        <v>128</v>
      </c>
      <c r="B129" s="23" t="str">
        <f>INDEX(KPI_Master!$B:$B,MATCH($A129,KPI_Master!$A:$A,0))</f>
        <v>QUAC-12</v>
      </c>
      <c r="C129" s="23" t="str">
        <f>INDEX(KPI_Master!$D:$D,MATCH($A129,KPI_Master!$A:$A,0))</f>
        <v>Infection Prevention Audit Score</v>
      </c>
      <c r="D129" s="23" t="str">
        <f>INDEX(KPI_Master!$K:$K,MATCH($A129,KPI_Master!$A:$A,0))</f>
        <v>2 - Standard</v>
      </c>
      <c r="E129" s="23" t="str">
        <f t="array" ref="E129">_xlfn.TEXTJOIN(", ",TRUE(),IF(KPI_Element_Map!$A$2:$A$287=$A129,KPI_Element_Map!$E$2:$E$287,""))</f>
        <v>E45</v>
      </c>
      <c r="F129" s="21">
        <f t="shared" si="3"/>
        <v>1</v>
      </c>
      <c r="G129" s="21" t="str">
        <f>IF(COUNTIFS(KPI_Element_Map!$A$2:$A$287,$A129,KPI_Element_Map!$G$2:$G$287,G$1)&gt;0,1,"")</f>
        <v/>
      </c>
      <c r="H129" s="21" t="str">
        <f>IF(COUNTIFS(KPI_Element_Map!$A$2:$A$287,$A129,KPI_Element_Map!$G$2:$G$287,H$1)&gt;0,1,"")</f>
        <v/>
      </c>
      <c r="I129" s="21" t="str">
        <f>IF(COUNTIFS(KPI_Element_Map!$A$2:$A$287,$A129,KPI_Element_Map!$G$2:$G$287,I$1)&gt;0,1,"")</f>
        <v/>
      </c>
      <c r="J129" s="21" t="str">
        <f>IF(COUNTIFS(KPI_Element_Map!$A$2:$A$287,$A129,KPI_Element_Map!$G$2:$G$287,J$1)&gt;0,1,"")</f>
        <v/>
      </c>
      <c r="K129" s="21" t="str">
        <f>IF(COUNTIFS(KPI_Element_Map!$A$2:$A$287,$A129,KPI_Element_Map!$G$2:$G$287,K$1)&gt;0,1,"")</f>
        <v/>
      </c>
      <c r="L129" s="21" t="str">
        <f>IF(COUNTIFS(KPI_Element_Map!$A$2:$A$287,$A129,KPI_Element_Map!$G$2:$G$287,L$1)&gt;0,1,"")</f>
        <v/>
      </c>
      <c r="M129" s="21" t="str">
        <f>IF(COUNTIFS(KPI_Element_Map!$A$2:$A$287,$A129,KPI_Element_Map!$G$2:$G$287,M$1)&gt;0,1,"")</f>
        <v/>
      </c>
      <c r="N129" s="21" t="str">
        <f>IF(COUNTIFS(KPI_Element_Map!$A$2:$A$287,$A129,KPI_Element_Map!$G$2:$G$287,N$1)&gt;0,1,"")</f>
        <v/>
      </c>
      <c r="O129" s="21" t="str">
        <f>IF(COUNTIFS(KPI_Element_Map!$A$2:$A$287,$A129,KPI_Element_Map!$G$2:$G$287,O$1)&gt;0,1,"")</f>
        <v/>
      </c>
      <c r="P129" s="21" t="str">
        <f>IF(COUNTIFS(KPI_Element_Map!$A$2:$A$287,$A129,KPI_Element_Map!$G$2:$G$287,P$1)&gt;0,1,"")</f>
        <v/>
      </c>
      <c r="Q129" s="21" t="str">
        <f>IF(COUNTIFS(KPI_Element_Map!$A$2:$A$287,$A129,KPI_Element_Map!$G$2:$G$287,Q$1)&gt;0,1,"")</f>
        <v/>
      </c>
      <c r="R129" s="21" t="str">
        <f>IF(COUNTIFS(KPI_Element_Map!$A$2:$A$287,$A129,KPI_Element_Map!$G$2:$G$287,R$1)&gt;0,1,"")</f>
        <v/>
      </c>
      <c r="S129" s="21" t="str">
        <f>IF(COUNTIFS(KPI_Element_Map!$A$2:$A$287,$A129,KPI_Element_Map!$G$2:$G$287,S$1)&gt;0,1,"")</f>
        <v/>
      </c>
      <c r="T129" s="21" t="str">
        <f>IF(COUNTIFS(KPI_Element_Map!$A$2:$A$287,$A129,KPI_Element_Map!$G$2:$G$287,T$1)&gt;0,1,"")</f>
        <v/>
      </c>
      <c r="U129" s="21" t="str">
        <f>IF(COUNTIFS(KPI_Element_Map!$A$2:$A$287,$A129,KPI_Element_Map!$G$2:$G$287,U$1)&gt;0,1,"")</f>
        <v/>
      </c>
      <c r="V129" s="21" t="str">
        <f>IF(COUNTIFS(KPI_Element_Map!$A$2:$A$287,$A129,KPI_Element_Map!$G$2:$G$287,V$1)&gt;0,1,"")</f>
        <v/>
      </c>
      <c r="W129" s="21" t="str">
        <f>IF(COUNTIFS(KPI_Element_Map!$A$2:$A$287,$A129,KPI_Element_Map!$G$2:$G$287,W$1)&gt;0,1,"")</f>
        <v/>
      </c>
      <c r="X129" s="21" t="str">
        <f>IF(COUNTIFS(KPI_Element_Map!$A$2:$A$287,$A129,KPI_Element_Map!$G$2:$G$287,X$1)&gt;0,1,"")</f>
        <v/>
      </c>
      <c r="Y129" s="21" t="str">
        <f>IF(COUNTIFS(KPI_Element_Map!$A$2:$A$287,$A129,KPI_Element_Map!$G$2:$G$287,Y$1)&gt;0,1,"")</f>
        <v/>
      </c>
      <c r="Z129" s="21">
        <f>IF(COUNTIFS(KPI_Element_Map!$A$2:$A$287,$A129,KPI_Element_Map!$G$2:$G$287,Z$1)&gt;0,1,"")</f>
        <v>1</v>
      </c>
      <c r="AA129" s="21" t="str">
        <f>IF(COUNTIFS(KPI_Element_Map!$A$2:$A$287,$A129,KPI_Element_Map!$G$2:$G$287,AA$1)&gt;0,1,"")</f>
        <v/>
      </c>
      <c r="AB129" s="21" t="str">
        <f>IF(COUNTIFS(KPI_Element_Map!$A$2:$A$287,$A129,KPI_Element_Map!$G$2:$G$287,AB$1)&gt;0,1,"")</f>
        <v/>
      </c>
      <c r="AC129" s="21" t="str">
        <f>IF(COUNTIFS(KPI_Element_Map!$A$2:$A$287,$A129,KPI_Element_Map!$G$2:$G$287,AC$1)&gt;0,1,"")</f>
        <v/>
      </c>
      <c r="AD129" s="21" t="str">
        <f>IF(COUNTIFS(KPI_Element_Map!$A$2:$A$287,$A129,KPI_Element_Map!$G$2:$G$287,AD$1)&gt;0,1,"")</f>
        <v/>
      </c>
      <c r="AE129" s="21" t="str">
        <f>IF(COUNTIFS(KPI_Element_Map!$A$2:$A$287,$A129,KPI_Element_Map!$G$2:$G$287,AE$1)&gt;0,1,"")</f>
        <v/>
      </c>
      <c r="AF129" s="21" t="str">
        <f>IF(COUNTIFS(KPI_Element_Map!$A$2:$A$287,$A129,KPI_Element_Map!$G$2:$G$287,AF$1)&gt;0,1,"")</f>
        <v/>
      </c>
      <c r="AG129" s="21" t="str">
        <f>IF(COUNTIFS(KPI_Element_Map!$A$2:$A$287,$A129,KPI_Element_Map!$G$2:$G$287,AG$1)&gt;0,1,"")</f>
        <v/>
      </c>
      <c r="AH129" s="21" t="str">
        <f>IF(COUNTIFS(KPI_Element_Map!$A$2:$A$287,$A129,KPI_Element_Map!$G$2:$G$287,AH$1)&gt;0,1,"")</f>
        <v/>
      </c>
      <c r="AI129" s="21" t="str">
        <f>IF(COUNTIFS(KPI_Element_Map!$A$2:$A$287,$A129,KPI_Element_Map!$G$2:$G$287,AI$1)&gt;0,1,"")</f>
        <v/>
      </c>
      <c r="AJ129" s="21" t="str">
        <f>IF(COUNTIFS(KPI_Element_Map!$A$2:$A$287,$A129,KPI_Element_Map!$G$2:$G$287,AJ$1)&gt;0,1,"")</f>
        <v/>
      </c>
      <c r="AK129" s="21" t="str">
        <f>IF(COUNTIFS(KPI_Element_Map!$A$2:$A$287,$A129,KPI_Element_Map!$G$2:$G$287,AK$1)&gt;0,1,"")</f>
        <v/>
      </c>
    </row>
    <row r="130" spans="1:37">
      <c r="A130" s="21">
        <v>129</v>
      </c>
      <c r="B130" s="23" t="str">
        <f>INDEX(KPI_Master!$B:$B,MATCH($A130,KPI_Master!$A:$A,0))</f>
        <v>QUAC-15</v>
      </c>
      <c r="C130" s="23" t="str">
        <f>INDEX(KPI_Master!$D:$D,MATCH($A130,KPI_Master!$A:$A,0))</f>
        <v>Life Safety Code Survey Deficiencies</v>
      </c>
      <c r="D130" s="23" t="str">
        <f>INDEX(KPI_Master!$K:$K,MATCH($A130,KPI_Master!$A:$A,0))</f>
        <v>1 - Core</v>
      </c>
      <c r="E130" s="23" t="str">
        <f t="array" ref="E130">_xlfn.TEXTJOIN(", ",TRUE(),IF(KPI_Element_Map!$A$2:$A$287=$A130,KPI_Element_Map!$E$2:$E$287,""))</f>
        <v>E43</v>
      </c>
      <c r="F130" s="21">
        <f t="shared" ref="F130:F161" si="4">SUM(G130:AK130)</f>
        <v>1</v>
      </c>
      <c r="G130" s="21" t="str">
        <f>IF(COUNTIFS(KPI_Element_Map!$A$2:$A$287,$A130,KPI_Element_Map!$G$2:$G$287,G$1)&gt;0,1,"")</f>
        <v/>
      </c>
      <c r="H130" s="21" t="str">
        <f>IF(COUNTIFS(KPI_Element_Map!$A$2:$A$287,$A130,KPI_Element_Map!$G$2:$G$287,H$1)&gt;0,1,"")</f>
        <v/>
      </c>
      <c r="I130" s="21" t="str">
        <f>IF(COUNTIFS(KPI_Element_Map!$A$2:$A$287,$A130,KPI_Element_Map!$G$2:$G$287,I$1)&gt;0,1,"")</f>
        <v/>
      </c>
      <c r="J130" s="21" t="str">
        <f>IF(COUNTIFS(KPI_Element_Map!$A$2:$A$287,$A130,KPI_Element_Map!$G$2:$G$287,J$1)&gt;0,1,"")</f>
        <v/>
      </c>
      <c r="K130" s="21" t="str">
        <f>IF(COUNTIFS(KPI_Element_Map!$A$2:$A$287,$A130,KPI_Element_Map!$G$2:$G$287,K$1)&gt;0,1,"")</f>
        <v/>
      </c>
      <c r="L130" s="21" t="str">
        <f>IF(COUNTIFS(KPI_Element_Map!$A$2:$A$287,$A130,KPI_Element_Map!$G$2:$G$287,L$1)&gt;0,1,"")</f>
        <v/>
      </c>
      <c r="M130" s="21" t="str">
        <f>IF(COUNTIFS(KPI_Element_Map!$A$2:$A$287,$A130,KPI_Element_Map!$G$2:$G$287,M$1)&gt;0,1,"")</f>
        <v/>
      </c>
      <c r="N130" s="21" t="str">
        <f>IF(COUNTIFS(KPI_Element_Map!$A$2:$A$287,$A130,KPI_Element_Map!$G$2:$G$287,N$1)&gt;0,1,"")</f>
        <v/>
      </c>
      <c r="O130" s="21" t="str">
        <f>IF(COUNTIFS(KPI_Element_Map!$A$2:$A$287,$A130,KPI_Element_Map!$G$2:$G$287,O$1)&gt;0,1,"")</f>
        <v/>
      </c>
      <c r="P130" s="21" t="str">
        <f>IF(COUNTIFS(KPI_Element_Map!$A$2:$A$287,$A130,KPI_Element_Map!$G$2:$G$287,P$1)&gt;0,1,"")</f>
        <v/>
      </c>
      <c r="Q130" s="21" t="str">
        <f>IF(COUNTIFS(KPI_Element_Map!$A$2:$A$287,$A130,KPI_Element_Map!$G$2:$G$287,Q$1)&gt;0,1,"")</f>
        <v/>
      </c>
      <c r="R130" s="21" t="str">
        <f>IF(COUNTIFS(KPI_Element_Map!$A$2:$A$287,$A130,KPI_Element_Map!$G$2:$G$287,R$1)&gt;0,1,"")</f>
        <v/>
      </c>
      <c r="S130" s="21" t="str">
        <f>IF(COUNTIFS(KPI_Element_Map!$A$2:$A$287,$A130,KPI_Element_Map!$G$2:$G$287,S$1)&gt;0,1,"")</f>
        <v/>
      </c>
      <c r="T130" s="21" t="str">
        <f>IF(COUNTIFS(KPI_Element_Map!$A$2:$A$287,$A130,KPI_Element_Map!$G$2:$G$287,T$1)&gt;0,1,"")</f>
        <v/>
      </c>
      <c r="U130" s="21" t="str">
        <f>IF(COUNTIFS(KPI_Element_Map!$A$2:$A$287,$A130,KPI_Element_Map!$G$2:$G$287,U$1)&gt;0,1,"")</f>
        <v/>
      </c>
      <c r="V130" s="21" t="str">
        <f>IF(COUNTIFS(KPI_Element_Map!$A$2:$A$287,$A130,KPI_Element_Map!$G$2:$G$287,V$1)&gt;0,1,"")</f>
        <v/>
      </c>
      <c r="W130" s="21" t="str">
        <f>IF(COUNTIFS(KPI_Element_Map!$A$2:$A$287,$A130,KPI_Element_Map!$G$2:$G$287,W$1)&gt;0,1,"")</f>
        <v/>
      </c>
      <c r="X130" s="21">
        <f>IF(COUNTIFS(KPI_Element_Map!$A$2:$A$287,$A130,KPI_Element_Map!$G$2:$G$287,X$1)&gt;0,1,"")</f>
        <v>1</v>
      </c>
      <c r="Y130" s="21" t="str">
        <f>IF(COUNTIFS(KPI_Element_Map!$A$2:$A$287,$A130,KPI_Element_Map!$G$2:$G$287,Y$1)&gt;0,1,"")</f>
        <v/>
      </c>
      <c r="Z130" s="21" t="str">
        <f>IF(COUNTIFS(KPI_Element_Map!$A$2:$A$287,$A130,KPI_Element_Map!$G$2:$G$287,Z$1)&gt;0,1,"")</f>
        <v/>
      </c>
      <c r="AA130" s="21" t="str">
        <f>IF(COUNTIFS(KPI_Element_Map!$A$2:$A$287,$A130,KPI_Element_Map!$G$2:$G$287,AA$1)&gt;0,1,"")</f>
        <v/>
      </c>
      <c r="AB130" s="21" t="str">
        <f>IF(COUNTIFS(KPI_Element_Map!$A$2:$A$287,$A130,KPI_Element_Map!$G$2:$G$287,AB$1)&gt;0,1,"")</f>
        <v/>
      </c>
      <c r="AC130" s="21" t="str">
        <f>IF(COUNTIFS(KPI_Element_Map!$A$2:$A$287,$A130,KPI_Element_Map!$G$2:$G$287,AC$1)&gt;0,1,"")</f>
        <v/>
      </c>
      <c r="AD130" s="21" t="str">
        <f>IF(COUNTIFS(KPI_Element_Map!$A$2:$A$287,$A130,KPI_Element_Map!$G$2:$G$287,AD$1)&gt;0,1,"")</f>
        <v/>
      </c>
      <c r="AE130" s="21" t="str">
        <f>IF(COUNTIFS(KPI_Element_Map!$A$2:$A$287,$A130,KPI_Element_Map!$G$2:$G$287,AE$1)&gt;0,1,"")</f>
        <v/>
      </c>
      <c r="AF130" s="21" t="str">
        <f>IF(COUNTIFS(KPI_Element_Map!$A$2:$A$287,$A130,KPI_Element_Map!$G$2:$G$287,AF$1)&gt;0,1,"")</f>
        <v/>
      </c>
      <c r="AG130" s="21" t="str">
        <f>IF(COUNTIFS(KPI_Element_Map!$A$2:$A$287,$A130,KPI_Element_Map!$G$2:$G$287,AG$1)&gt;0,1,"")</f>
        <v/>
      </c>
      <c r="AH130" s="21" t="str">
        <f>IF(COUNTIFS(KPI_Element_Map!$A$2:$A$287,$A130,KPI_Element_Map!$G$2:$G$287,AH$1)&gt;0,1,"")</f>
        <v/>
      </c>
      <c r="AI130" s="21" t="str">
        <f>IF(COUNTIFS(KPI_Element_Map!$A$2:$A$287,$A130,KPI_Element_Map!$G$2:$G$287,AI$1)&gt;0,1,"")</f>
        <v/>
      </c>
      <c r="AJ130" s="21" t="str">
        <f>IF(COUNTIFS(KPI_Element_Map!$A$2:$A$287,$A130,KPI_Element_Map!$G$2:$G$287,AJ$1)&gt;0,1,"")</f>
        <v/>
      </c>
      <c r="AK130" s="21" t="str">
        <f>IF(COUNTIFS(KPI_Element_Map!$A$2:$A$287,$A130,KPI_Element_Map!$G$2:$G$287,AK$1)&gt;0,1,"")</f>
        <v/>
      </c>
    </row>
    <row r="131" spans="1:37">
      <c r="A131" s="21">
        <v>130</v>
      </c>
      <c r="B131" s="23" t="str">
        <f>INDEX(KPI_Master!$B:$B,MATCH($A131,KPI_Master!$A:$A,0))</f>
        <v>QUAC-16</v>
      </c>
      <c r="C131" s="23" t="str">
        <f>INDEX(KPI_Master!$D:$D,MATCH($A131,KPI_Master!$A:$A,0))</f>
        <v>CMS Five-Star Overall Rating</v>
      </c>
      <c r="D131" s="23" t="str">
        <f>INDEX(KPI_Master!$K:$K,MATCH($A131,KPI_Master!$A:$A,0))</f>
        <v>1 - Core</v>
      </c>
      <c r="E131" s="23" t="str">
        <f t="array" ref="E131">_xlfn.TEXTJOIN(", ",TRUE(),IF(KPI_Element_Map!$A$2:$A$287=$A131,KPI_Element_Map!$E$2:$E$287,""))</f>
        <v>E42</v>
      </c>
      <c r="F131" s="21">
        <f t="shared" si="4"/>
        <v>1</v>
      </c>
      <c r="G131" s="21" t="str">
        <f>IF(COUNTIFS(KPI_Element_Map!$A$2:$A$287,$A131,KPI_Element_Map!$G$2:$G$287,G$1)&gt;0,1,"")</f>
        <v/>
      </c>
      <c r="H131" s="21" t="str">
        <f>IF(COUNTIFS(KPI_Element_Map!$A$2:$A$287,$A131,KPI_Element_Map!$G$2:$G$287,H$1)&gt;0,1,"")</f>
        <v/>
      </c>
      <c r="I131" s="21" t="str">
        <f>IF(COUNTIFS(KPI_Element_Map!$A$2:$A$287,$A131,KPI_Element_Map!$G$2:$G$287,I$1)&gt;0,1,"")</f>
        <v/>
      </c>
      <c r="J131" s="21" t="str">
        <f>IF(COUNTIFS(KPI_Element_Map!$A$2:$A$287,$A131,KPI_Element_Map!$G$2:$G$287,J$1)&gt;0,1,"")</f>
        <v/>
      </c>
      <c r="K131" s="21" t="str">
        <f>IF(COUNTIFS(KPI_Element_Map!$A$2:$A$287,$A131,KPI_Element_Map!$G$2:$G$287,K$1)&gt;0,1,"")</f>
        <v/>
      </c>
      <c r="L131" s="21" t="str">
        <f>IF(COUNTIFS(KPI_Element_Map!$A$2:$A$287,$A131,KPI_Element_Map!$G$2:$G$287,L$1)&gt;0,1,"")</f>
        <v/>
      </c>
      <c r="M131" s="21" t="str">
        <f>IF(COUNTIFS(KPI_Element_Map!$A$2:$A$287,$A131,KPI_Element_Map!$G$2:$G$287,M$1)&gt;0,1,"")</f>
        <v/>
      </c>
      <c r="N131" s="21" t="str">
        <f>IF(COUNTIFS(KPI_Element_Map!$A$2:$A$287,$A131,KPI_Element_Map!$G$2:$G$287,N$1)&gt;0,1,"")</f>
        <v/>
      </c>
      <c r="O131" s="21" t="str">
        <f>IF(COUNTIFS(KPI_Element_Map!$A$2:$A$287,$A131,KPI_Element_Map!$G$2:$G$287,O$1)&gt;0,1,"")</f>
        <v/>
      </c>
      <c r="P131" s="21" t="str">
        <f>IF(COUNTIFS(KPI_Element_Map!$A$2:$A$287,$A131,KPI_Element_Map!$G$2:$G$287,P$1)&gt;0,1,"")</f>
        <v/>
      </c>
      <c r="Q131" s="21" t="str">
        <f>IF(COUNTIFS(KPI_Element_Map!$A$2:$A$287,$A131,KPI_Element_Map!$G$2:$G$287,Q$1)&gt;0,1,"")</f>
        <v/>
      </c>
      <c r="R131" s="21" t="str">
        <f>IF(COUNTIFS(KPI_Element_Map!$A$2:$A$287,$A131,KPI_Element_Map!$G$2:$G$287,R$1)&gt;0,1,"")</f>
        <v/>
      </c>
      <c r="S131" s="21" t="str">
        <f>IF(COUNTIFS(KPI_Element_Map!$A$2:$A$287,$A131,KPI_Element_Map!$G$2:$G$287,S$1)&gt;0,1,"")</f>
        <v/>
      </c>
      <c r="T131" s="21" t="str">
        <f>IF(COUNTIFS(KPI_Element_Map!$A$2:$A$287,$A131,KPI_Element_Map!$G$2:$G$287,T$1)&gt;0,1,"")</f>
        <v/>
      </c>
      <c r="U131" s="21" t="str">
        <f>IF(COUNTIFS(KPI_Element_Map!$A$2:$A$287,$A131,KPI_Element_Map!$G$2:$G$287,U$1)&gt;0,1,"")</f>
        <v/>
      </c>
      <c r="V131" s="21" t="str">
        <f>IF(COUNTIFS(KPI_Element_Map!$A$2:$A$287,$A131,KPI_Element_Map!$G$2:$G$287,V$1)&gt;0,1,"")</f>
        <v/>
      </c>
      <c r="W131" s="21">
        <f>IF(COUNTIFS(KPI_Element_Map!$A$2:$A$287,$A131,KPI_Element_Map!$G$2:$G$287,W$1)&gt;0,1,"")</f>
        <v>1</v>
      </c>
      <c r="X131" s="21" t="str">
        <f>IF(COUNTIFS(KPI_Element_Map!$A$2:$A$287,$A131,KPI_Element_Map!$G$2:$G$287,X$1)&gt;0,1,"")</f>
        <v/>
      </c>
      <c r="Y131" s="21" t="str">
        <f>IF(COUNTIFS(KPI_Element_Map!$A$2:$A$287,$A131,KPI_Element_Map!$G$2:$G$287,Y$1)&gt;0,1,"")</f>
        <v/>
      </c>
      <c r="Z131" s="21" t="str">
        <f>IF(COUNTIFS(KPI_Element_Map!$A$2:$A$287,$A131,KPI_Element_Map!$G$2:$G$287,Z$1)&gt;0,1,"")</f>
        <v/>
      </c>
      <c r="AA131" s="21" t="str">
        <f>IF(COUNTIFS(KPI_Element_Map!$A$2:$A$287,$A131,KPI_Element_Map!$G$2:$G$287,AA$1)&gt;0,1,"")</f>
        <v/>
      </c>
      <c r="AB131" s="21" t="str">
        <f>IF(COUNTIFS(KPI_Element_Map!$A$2:$A$287,$A131,KPI_Element_Map!$G$2:$G$287,AB$1)&gt;0,1,"")</f>
        <v/>
      </c>
      <c r="AC131" s="21" t="str">
        <f>IF(COUNTIFS(KPI_Element_Map!$A$2:$A$287,$A131,KPI_Element_Map!$G$2:$G$287,AC$1)&gt;0,1,"")</f>
        <v/>
      </c>
      <c r="AD131" s="21" t="str">
        <f>IF(COUNTIFS(KPI_Element_Map!$A$2:$A$287,$A131,KPI_Element_Map!$G$2:$G$287,AD$1)&gt;0,1,"")</f>
        <v/>
      </c>
      <c r="AE131" s="21" t="str">
        <f>IF(COUNTIFS(KPI_Element_Map!$A$2:$A$287,$A131,KPI_Element_Map!$G$2:$G$287,AE$1)&gt;0,1,"")</f>
        <v/>
      </c>
      <c r="AF131" s="21" t="str">
        <f>IF(COUNTIFS(KPI_Element_Map!$A$2:$A$287,$A131,KPI_Element_Map!$G$2:$G$287,AF$1)&gt;0,1,"")</f>
        <v/>
      </c>
      <c r="AG131" s="21" t="str">
        <f>IF(COUNTIFS(KPI_Element_Map!$A$2:$A$287,$A131,KPI_Element_Map!$G$2:$G$287,AG$1)&gt;0,1,"")</f>
        <v/>
      </c>
      <c r="AH131" s="21" t="str">
        <f>IF(COUNTIFS(KPI_Element_Map!$A$2:$A$287,$A131,KPI_Element_Map!$G$2:$G$287,AH$1)&gt;0,1,"")</f>
        <v/>
      </c>
      <c r="AI131" s="21" t="str">
        <f>IF(COUNTIFS(KPI_Element_Map!$A$2:$A$287,$A131,KPI_Element_Map!$G$2:$G$287,AI$1)&gt;0,1,"")</f>
        <v/>
      </c>
      <c r="AJ131" s="21" t="str">
        <f>IF(COUNTIFS(KPI_Element_Map!$A$2:$A$287,$A131,KPI_Element_Map!$G$2:$G$287,AJ$1)&gt;0,1,"")</f>
        <v/>
      </c>
      <c r="AK131" s="21" t="str">
        <f>IF(COUNTIFS(KPI_Element_Map!$A$2:$A$287,$A131,KPI_Element_Map!$G$2:$G$287,AK$1)&gt;0,1,"")</f>
        <v/>
      </c>
    </row>
    <row r="132" spans="1:37">
      <c r="A132" s="21">
        <v>131</v>
      </c>
      <c r="B132" s="23" t="str">
        <f>INDEX(KPI_Master!$B:$B,MATCH($A132,KPI_Master!$A:$A,0))</f>
        <v>QUAC-17</v>
      </c>
      <c r="C132" s="23" t="str">
        <f>INDEX(KPI_Master!$D:$D,MATCH($A132,KPI_Master!$A:$A,0))</f>
        <v>CMS Health Inspection Star Rating</v>
      </c>
      <c r="D132" s="23" t="str">
        <f>INDEX(KPI_Master!$K:$K,MATCH($A132,KPI_Master!$A:$A,0))</f>
        <v>2 - Standard</v>
      </c>
      <c r="E132" s="23" t="str">
        <f t="array" ref="E132">_xlfn.TEXTJOIN(", ",TRUE(),IF(KPI_Element_Map!$A$2:$A$287=$A132,KPI_Element_Map!$E$2:$E$287,""))</f>
        <v>E42</v>
      </c>
      <c r="F132" s="21">
        <f t="shared" si="4"/>
        <v>1</v>
      </c>
      <c r="G132" s="21" t="str">
        <f>IF(COUNTIFS(KPI_Element_Map!$A$2:$A$287,$A132,KPI_Element_Map!$G$2:$G$287,G$1)&gt;0,1,"")</f>
        <v/>
      </c>
      <c r="H132" s="21" t="str">
        <f>IF(COUNTIFS(KPI_Element_Map!$A$2:$A$287,$A132,KPI_Element_Map!$G$2:$G$287,H$1)&gt;0,1,"")</f>
        <v/>
      </c>
      <c r="I132" s="21" t="str">
        <f>IF(COUNTIFS(KPI_Element_Map!$A$2:$A$287,$A132,KPI_Element_Map!$G$2:$G$287,I$1)&gt;0,1,"")</f>
        <v/>
      </c>
      <c r="J132" s="21" t="str">
        <f>IF(COUNTIFS(KPI_Element_Map!$A$2:$A$287,$A132,KPI_Element_Map!$G$2:$G$287,J$1)&gt;0,1,"")</f>
        <v/>
      </c>
      <c r="K132" s="21" t="str">
        <f>IF(COUNTIFS(KPI_Element_Map!$A$2:$A$287,$A132,KPI_Element_Map!$G$2:$G$287,K$1)&gt;0,1,"")</f>
        <v/>
      </c>
      <c r="L132" s="21" t="str">
        <f>IF(COUNTIFS(KPI_Element_Map!$A$2:$A$287,$A132,KPI_Element_Map!$G$2:$G$287,L$1)&gt;0,1,"")</f>
        <v/>
      </c>
      <c r="M132" s="21" t="str">
        <f>IF(COUNTIFS(KPI_Element_Map!$A$2:$A$287,$A132,KPI_Element_Map!$G$2:$G$287,M$1)&gt;0,1,"")</f>
        <v/>
      </c>
      <c r="N132" s="21" t="str">
        <f>IF(COUNTIFS(KPI_Element_Map!$A$2:$A$287,$A132,KPI_Element_Map!$G$2:$G$287,N$1)&gt;0,1,"")</f>
        <v/>
      </c>
      <c r="O132" s="21" t="str">
        <f>IF(COUNTIFS(KPI_Element_Map!$A$2:$A$287,$A132,KPI_Element_Map!$G$2:$G$287,O$1)&gt;0,1,"")</f>
        <v/>
      </c>
      <c r="P132" s="21" t="str">
        <f>IF(COUNTIFS(KPI_Element_Map!$A$2:$A$287,$A132,KPI_Element_Map!$G$2:$G$287,P$1)&gt;0,1,"")</f>
        <v/>
      </c>
      <c r="Q132" s="21" t="str">
        <f>IF(COUNTIFS(KPI_Element_Map!$A$2:$A$287,$A132,KPI_Element_Map!$G$2:$G$287,Q$1)&gt;0,1,"")</f>
        <v/>
      </c>
      <c r="R132" s="21" t="str">
        <f>IF(COUNTIFS(KPI_Element_Map!$A$2:$A$287,$A132,KPI_Element_Map!$G$2:$G$287,R$1)&gt;0,1,"")</f>
        <v/>
      </c>
      <c r="S132" s="21" t="str">
        <f>IF(COUNTIFS(KPI_Element_Map!$A$2:$A$287,$A132,KPI_Element_Map!$G$2:$G$287,S$1)&gt;0,1,"")</f>
        <v/>
      </c>
      <c r="T132" s="21" t="str">
        <f>IF(COUNTIFS(KPI_Element_Map!$A$2:$A$287,$A132,KPI_Element_Map!$G$2:$G$287,T$1)&gt;0,1,"")</f>
        <v/>
      </c>
      <c r="U132" s="21" t="str">
        <f>IF(COUNTIFS(KPI_Element_Map!$A$2:$A$287,$A132,KPI_Element_Map!$G$2:$G$287,U$1)&gt;0,1,"")</f>
        <v/>
      </c>
      <c r="V132" s="21" t="str">
        <f>IF(COUNTIFS(KPI_Element_Map!$A$2:$A$287,$A132,KPI_Element_Map!$G$2:$G$287,V$1)&gt;0,1,"")</f>
        <v/>
      </c>
      <c r="W132" s="21">
        <f>IF(COUNTIFS(KPI_Element_Map!$A$2:$A$287,$A132,KPI_Element_Map!$G$2:$G$287,W$1)&gt;0,1,"")</f>
        <v>1</v>
      </c>
      <c r="X132" s="21" t="str">
        <f>IF(COUNTIFS(KPI_Element_Map!$A$2:$A$287,$A132,KPI_Element_Map!$G$2:$G$287,X$1)&gt;0,1,"")</f>
        <v/>
      </c>
      <c r="Y132" s="21" t="str">
        <f>IF(COUNTIFS(KPI_Element_Map!$A$2:$A$287,$A132,KPI_Element_Map!$G$2:$G$287,Y$1)&gt;0,1,"")</f>
        <v/>
      </c>
      <c r="Z132" s="21" t="str">
        <f>IF(COUNTIFS(KPI_Element_Map!$A$2:$A$287,$A132,KPI_Element_Map!$G$2:$G$287,Z$1)&gt;0,1,"")</f>
        <v/>
      </c>
      <c r="AA132" s="21" t="str">
        <f>IF(COUNTIFS(KPI_Element_Map!$A$2:$A$287,$A132,KPI_Element_Map!$G$2:$G$287,AA$1)&gt;0,1,"")</f>
        <v/>
      </c>
      <c r="AB132" s="21" t="str">
        <f>IF(COUNTIFS(KPI_Element_Map!$A$2:$A$287,$A132,KPI_Element_Map!$G$2:$G$287,AB$1)&gt;0,1,"")</f>
        <v/>
      </c>
      <c r="AC132" s="21" t="str">
        <f>IF(COUNTIFS(KPI_Element_Map!$A$2:$A$287,$A132,KPI_Element_Map!$G$2:$G$287,AC$1)&gt;0,1,"")</f>
        <v/>
      </c>
      <c r="AD132" s="21" t="str">
        <f>IF(COUNTIFS(KPI_Element_Map!$A$2:$A$287,$A132,KPI_Element_Map!$G$2:$G$287,AD$1)&gt;0,1,"")</f>
        <v/>
      </c>
      <c r="AE132" s="21" t="str">
        <f>IF(COUNTIFS(KPI_Element_Map!$A$2:$A$287,$A132,KPI_Element_Map!$G$2:$G$287,AE$1)&gt;0,1,"")</f>
        <v/>
      </c>
      <c r="AF132" s="21" t="str">
        <f>IF(COUNTIFS(KPI_Element_Map!$A$2:$A$287,$A132,KPI_Element_Map!$G$2:$G$287,AF$1)&gt;0,1,"")</f>
        <v/>
      </c>
      <c r="AG132" s="21" t="str">
        <f>IF(COUNTIFS(KPI_Element_Map!$A$2:$A$287,$A132,KPI_Element_Map!$G$2:$G$287,AG$1)&gt;0,1,"")</f>
        <v/>
      </c>
      <c r="AH132" s="21" t="str">
        <f>IF(COUNTIFS(KPI_Element_Map!$A$2:$A$287,$A132,KPI_Element_Map!$G$2:$G$287,AH$1)&gt;0,1,"")</f>
        <v/>
      </c>
      <c r="AI132" s="21" t="str">
        <f>IF(COUNTIFS(KPI_Element_Map!$A$2:$A$287,$A132,KPI_Element_Map!$G$2:$G$287,AI$1)&gt;0,1,"")</f>
        <v/>
      </c>
      <c r="AJ132" s="21" t="str">
        <f>IF(COUNTIFS(KPI_Element_Map!$A$2:$A$287,$A132,KPI_Element_Map!$G$2:$G$287,AJ$1)&gt;0,1,"")</f>
        <v/>
      </c>
      <c r="AK132" s="21" t="str">
        <f>IF(COUNTIFS(KPI_Element_Map!$A$2:$A$287,$A132,KPI_Element_Map!$G$2:$G$287,AK$1)&gt;0,1,"")</f>
        <v/>
      </c>
    </row>
    <row r="133" spans="1:37">
      <c r="A133" s="21">
        <v>132</v>
      </c>
      <c r="B133" s="23" t="str">
        <f>INDEX(KPI_Master!$B:$B,MATCH($A133,KPI_Master!$A:$A,0))</f>
        <v>QUAC-18</v>
      </c>
      <c r="C133" s="23" t="str">
        <f>INDEX(KPI_Master!$D:$D,MATCH($A133,KPI_Master!$A:$A,0))</f>
        <v>CMS Staffing Star Rating</v>
      </c>
      <c r="D133" s="23" t="str">
        <f>INDEX(KPI_Master!$K:$K,MATCH($A133,KPI_Master!$A:$A,0))</f>
        <v>2 - Standard</v>
      </c>
      <c r="E133" s="23" t="str">
        <f t="array" ref="E133">_xlfn.TEXTJOIN(", ",TRUE(),IF(KPI_Element_Map!$A$2:$A$287=$A133,KPI_Element_Map!$E$2:$E$287,""))</f>
        <v>E42</v>
      </c>
      <c r="F133" s="21">
        <f t="shared" si="4"/>
        <v>1</v>
      </c>
      <c r="G133" s="21" t="str">
        <f>IF(COUNTIFS(KPI_Element_Map!$A$2:$A$287,$A133,KPI_Element_Map!$G$2:$G$287,G$1)&gt;0,1,"")</f>
        <v/>
      </c>
      <c r="H133" s="21" t="str">
        <f>IF(COUNTIFS(KPI_Element_Map!$A$2:$A$287,$A133,KPI_Element_Map!$G$2:$G$287,H$1)&gt;0,1,"")</f>
        <v/>
      </c>
      <c r="I133" s="21" t="str">
        <f>IF(COUNTIFS(KPI_Element_Map!$A$2:$A$287,$A133,KPI_Element_Map!$G$2:$G$287,I$1)&gt;0,1,"")</f>
        <v/>
      </c>
      <c r="J133" s="21" t="str">
        <f>IF(COUNTIFS(KPI_Element_Map!$A$2:$A$287,$A133,KPI_Element_Map!$G$2:$G$287,J$1)&gt;0,1,"")</f>
        <v/>
      </c>
      <c r="K133" s="21" t="str">
        <f>IF(COUNTIFS(KPI_Element_Map!$A$2:$A$287,$A133,KPI_Element_Map!$G$2:$G$287,K$1)&gt;0,1,"")</f>
        <v/>
      </c>
      <c r="L133" s="21" t="str">
        <f>IF(COUNTIFS(KPI_Element_Map!$A$2:$A$287,$A133,KPI_Element_Map!$G$2:$G$287,L$1)&gt;0,1,"")</f>
        <v/>
      </c>
      <c r="M133" s="21" t="str">
        <f>IF(COUNTIFS(KPI_Element_Map!$A$2:$A$287,$A133,KPI_Element_Map!$G$2:$G$287,M$1)&gt;0,1,"")</f>
        <v/>
      </c>
      <c r="N133" s="21" t="str">
        <f>IF(COUNTIFS(KPI_Element_Map!$A$2:$A$287,$A133,KPI_Element_Map!$G$2:$G$287,N$1)&gt;0,1,"")</f>
        <v/>
      </c>
      <c r="O133" s="21" t="str">
        <f>IF(COUNTIFS(KPI_Element_Map!$A$2:$A$287,$A133,KPI_Element_Map!$G$2:$G$287,O$1)&gt;0,1,"")</f>
        <v/>
      </c>
      <c r="P133" s="21" t="str">
        <f>IF(COUNTIFS(KPI_Element_Map!$A$2:$A$287,$A133,KPI_Element_Map!$G$2:$G$287,P$1)&gt;0,1,"")</f>
        <v/>
      </c>
      <c r="Q133" s="21" t="str">
        <f>IF(COUNTIFS(KPI_Element_Map!$A$2:$A$287,$A133,KPI_Element_Map!$G$2:$G$287,Q$1)&gt;0,1,"")</f>
        <v/>
      </c>
      <c r="R133" s="21" t="str">
        <f>IF(COUNTIFS(KPI_Element_Map!$A$2:$A$287,$A133,KPI_Element_Map!$G$2:$G$287,R$1)&gt;0,1,"")</f>
        <v/>
      </c>
      <c r="S133" s="21" t="str">
        <f>IF(COUNTIFS(KPI_Element_Map!$A$2:$A$287,$A133,KPI_Element_Map!$G$2:$G$287,S$1)&gt;0,1,"")</f>
        <v/>
      </c>
      <c r="T133" s="21" t="str">
        <f>IF(COUNTIFS(KPI_Element_Map!$A$2:$A$287,$A133,KPI_Element_Map!$G$2:$G$287,T$1)&gt;0,1,"")</f>
        <v/>
      </c>
      <c r="U133" s="21" t="str">
        <f>IF(COUNTIFS(KPI_Element_Map!$A$2:$A$287,$A133,KPI_Element_Map!$G$2:$G$287,U$1)&gt;0,1,"")</f>
        <v/>
      </c>
      <c r="V133" s="21" t="str">
        <f>IF(COUNTIFS(KPI_Element_Map!$A$2:$A$287,$A133,KPI_Element_Map!$G$2:$G$287,V$1)&gt;0,1,"")</f>
        <v/>
      </c>
      <c r="W133" s="21">
        <f>IF(COUNTIFS(KPI_Element_Map!$A$2:$A$287,$A133,KPI_Element_Map!$G$2:$G$287,W$1)&gt;0,1,"")</f>
        <v>1</v>
      </c>
      <c r="X133" s="21" t="str">
        <f>IF(COUNTIFS(KPI_Element_Map!$A$2:$A$287,$A133,KPI_Element_Map!$G$2:$G$287,X$1)&gt;0,1,"")</f>
        <v/>
      </c>
      <c r="Y133" s="21" t="str">
        <f>IF(COUNTIFS(KPI_Element_Map!$A$2:$A$287,$A133,KPI_Element_Map!$G$2:$G$287,Y$1)&gt;0,1,"")</f>
        <v/>
      </c>
      <c r="Z133" s="21" t="str">
        <f>IF(COUNTIFS(KPI_Element_Map!$A$2:$A$287,$A133,KPI_Element_Map!$G$2:$G$287,Z$1)&gt;0,1,"")</f>
        <v/>
      </c>
      <c r="AA133" s="21" t="str">
        <f>IF(COUNTIFS(KPI_Element_Map!$A$2:$A$287,$A133,KPI_Element_Map!$G$2:$G$287,AA$1)&gt;0,1,"")</f>
        <v/>
      </c>
      <c r="AB133" s="21" t="str">
        <f>IF(COUNTIFS(KPI_Element_Map!$A$2:$A$287,$A133,KPI_Element_Map!$G$2:$G$287,AB$1)&gt;0,1,"")</f>
        <v/>
      </c>
      <c r="AC133" s="21" t="str">
        <f>IF(COUNTIFS(KPI_Element_Map!$A$2:$A$287,$A133,KPI_Element_Map!$G$2:$G$287,AC$1)&gt;0,1,"")</f>
        <v/>
      </c>
      <c r="AD133" s="21" t="str">
        <f>IF(COUNTIFS(KPI_Element_Map!$A$2:$A$287,$A133,KPI_Element_Map!$G$2:$G$287,AD$1)&gt;0,1,"")</f>
        <v/>
      </c>
      <c r="AE133" s="21" t="str">
        <f>IF(COUNTIFS(KPI_Element_Map!$A$2:$A$287,$A133,KPI_Element_Map!$G$2:$G$287,AE$1)&gt;0,1,"")</f>
        <v/>
      </c>
      <c r="AF133" s="21" t="str">
        <f>IF(COUNTIFS(KPI_Element_Map!$A$2:$A$287,$A133,KPI_Element_Map!$G$2:$G$287,AF$1)&gt;0,1,"")</f>
        <v/>
      </c>
      <c r="AG133" s="21" t="str">
        <f>IF(COUNTIFS(KPI_Element_Map!$A$2:$A$287,$A133,KPI_Element_Map!$G$2:$G$287,AG$1)&gt;0,1,"")</f>
        <v/>
      </c>
      <c r="AH133" s="21" t="str">
        <f>IF(COUNTIFS(KPI_Element_Map!$A$2:$A$287,$A133,KPI_Element_Map!$G$2:$G$287,AH$1)&gt;0,1,"")</f>
        <v/>
      </c>
      <c r="AI133" s="21" t="str">
        <f>IF(COUNTIFS(KPI_Element_Map!$A$2:$A$287,$A133,KPI_Element_Map!$G$2:$G$287,AI$1)&gt;0,1,"")</f>
        <v/>
      </c>
      <c r="AJ133" s="21" t="str">
        <f>IF(COUNTIFS(KPI_Element_Map!$A$2:$A$287,$A133,KPI_Element_Map!$G$2:$G$287,AJ$1)&gt;0,1,"")</f>
        <v/>
      </c>
      <c r="AK133" s="21" t="str">
        <f>IF(COUNTIFS(KPI_Element_Map!$A$2:$A$287,$A133,KPI_Element_Map!$G$2:$G$287,AK$1)&gt;0,1,"")</f>
        <v/>
      </c>
    </row>
    <row r="134" spans="1:37">
      <c r="A134" s="21">
        <v>133</v>
      </c>
      <c r="B134" s="23" t="str">
        <f>INDEX(KPI_Master!$B:$B,MATCH($A134,KPI_Master!$A:$A,0))</f>
        <v>QUAC-19</v>
      </c>
      <c r="C134" s="23" t="str">
        <f>INDEX(KPI_Master!$D:$D,MATCH($A134,KPI_Master!$A:$A,0))</f>
        <v>CMS Quality Measure Star Rating</v>
      </c>
      <c r="D134" s="23" t="str">
        <f>INDEX(KPI_Master!$K:$K,MATCH($A134,KPI_Master!$A:$A,0))</f>
        <v>2 - Standard</v>
      </c>
      <c r="E134" s="23" t="str">
        <f t="array" ref="E134">_xlfn.TEXTJOIN(", ",TRUE(),IF(KPI_Element_Map!$A$2:$A$287=$A134,KPI_Element_Map!$E$2:$E$287,""))</f>
        <v>E42</v>
      </c>
      <c r="F134" s="21">
        <f t="shared" si="4"/>
        <v>1</v>
      </c>
      <c r="G134" s="21" t="str">
        <f>IF(COUNTIFS(KPI_Element_Map!$A$2:$A$287,$A134,KPI_Element_Map!$G$2:$G$287,G$1)&gt;0,1,"")</f>
        <v/>
      </c>
      <c r="H134" s="21" t="str">
        <f>IF(COUNTIFS(KPI_Element_Map!$A$2:$A$287,$A134,KPI_Element_Map!$G$2:$G$287,H$1)&gt;0,1,"")</f>
        <v/>
      </c>
      <c r="I134" s="21" t="str">
        <f>IF(COUNTIFS(KPI_Element_Map!$A$2:$A$287,$A134,KPI_Element_Map!$G$2:$G$287,I$1)&gt;0,1,"")</f>
        <v/>
      </c>
      <c r="J134" s="21" t="str">
        <f>IF(COUNTIFS(KPI_Element_Map!$A$2:$A$287,$A134,KPI_Element_Map!$G$2:$G$287,J$1)&gt;0,1,"")</f>
        <v/>
      </c>
      <c r="K134" s="21" t="str">
        <f>IF(COUNTIFS(KPI_Element_Map!$A$2:$A$287,$A134,KPI_Element_Map!$G$2:$G$287,K$1)&gt;0,1,"")</f>
        <v/>
      </c>
      <c r="L134" s="21" t="str">
        <f>IF(COUNTIFS(KPI_Element_Map!$A$2:$A$287,$A134,KPI_Element_Map!$G$2:$G$287,L$1)&gt;0,1,"")</f>
        <v/>
      </c>
      <c r="M134" s="21" t="str">
        <f>IF(COUNTIFS(KPI_Element_Map!$A$2:$A$287,$A134,KPI_Element_Map!$G$2:$G$287,M$1)&gt;0,1,"")</f>
        <v/>
      </c>
      <c r="N134" s="21" t="str">
        <f>IF(COUNTIFS(KPI_Element_Map!$A$2:$A$287,$A134,KPI_Element_Map!$G$2:$G$287,N$1)&gt;0,1,"")</f>
        <v/>
      </c>
      <c r="O134" s="21" t="str">
        <f>IF(COUNTIFS(KPI_Element_Map!$A$2:$A$287,$A134,KPI_Element_Map!$G$2:$G$287,O$1)&gt;0,1,"")</f>
        <v/>
      </c>
      <c r="P134" s="21" t="str">
        <f>IF(COUNTIFS(KPI_Element_Map!$A$2:$A$287,$A134,KPI_Element_Map!$G$2:$G$287,P$1)&gt;0,1,"")</f>
        <v/>
      </c>
      <c r="Q134" s="21" t="str">
        <f>IF(COUNTIFS(KPI_Element_Map!$A$2:$A$287,$A134,KPI_Element_Map!$G$2:$G$287,Q$1)&gt;0,1,"")</f>
        <v/>
      </c>
      <c r="R134" s="21" t="str">
        <f>IF(COUNTIFS(KPI_Element_Map!$A$2:$A$287,$A134,KPI_Element_Map!$G$2:$G$287,R$1)&gt;0,1,"")</f>
        <v/>
      </c>
      <c r="S134" s="21" t="str">
        <f>IF(COUNTIFS(KPI_Element_Map!$A$2:$A$287,$A134,KPI_Element_Map!$G$2:$G$287,S$1)&gt;0,1,"")</f>
        <v/>
      </c>
      <c r="T134" s="21" t="str">
        <f>IF(COUNTIFS(KPI_Element_Map!$A$2:$A$287,$A134,KPI_Element_Map!$G$2:$G$287,T$1)&gt;0,1,"")</f>
        <v/>
      </c>
      <c r="U134" s="21" t="str">
        <f>IF(COUNTIFS(KPI_Element_Map!$A$2:$A$287,$A134,KPI_Element_Map!$G$2:$G$287,U$1)&gt;0,1,"")</f>
        <v/>
      </c>
      <c r="V134" s="21" t="str">
        <f>IF(COUNTIFS(KPI_Element_Map!$A$2:$A$287,$A134,KPI_Element_Map!$G$2:$G$287,V$1)&gt;0,1,"")</f>
        <v/>
      </c>
      <c r="W134" s="21">
        <f>IF(COUNTIFS(KPI_Element_Map!$A$2:$A$287,$A134,KPI_Element_Map!$G$2:$G$287,W$1)&gt;0,1,"")</f>
        <v>1</v>
      </c>
      <c r="X134" s="21" t="str">
        <f>IF(COUNTIFS(KPI_Element_Map!$A$2:$A$287,$A134,KPI_Element_Map!$G$2:$G$287,X$1)&gt;0,1,"")</f>
        <v/>
      </c>
      <c r="Y134" s="21" t="str">
        <f>IF(COUNTIFS(KPI_Element_Map!$A$2:$A$287,$A134,KPI_Element_Map!$G$2:$G$287,Y$1)&gt;0,1,"")</f>
        <v/>
      </c>
      <c r="Z134" s="21" t="str">
        <f>IF(COUNTIFS(KPI_Element_Map!$A$2:$A$287,$A134,KPI_Element_Map!$G$2:$G$287,Z$1)&gt;0,1,"")</f>
        <v/>
      </c>
      <c r="AA134" s="21" t="str">
        <f>IF(COUNTIFS(KPI_Element_Map!$A$2:$A$287,$A134,KPI_Element_Map!$G$2:$G$287,AA$1)&gt;0,1,"")</f>
        <v/>
      </c>
      <c r="AB134" s="21" t="str">
        <f>IF(COUNTIFS(KPI_Element_Map!$A$2:$A$287,$A134,KPI_Element_Map!$G$2:$G$287,AB$1)&gt;0,1,"")</f>
        <v/>
      </c>
      <c r="AC134" s="21" t="str">
        <f>IF(COUNTIFS(KPI_Element_Map!$A$2:$A$287,$A134,KPI_Element_Map!$G$2:$G$287,AC$1)&gt;0,1,"")</f>
        <v/>
      </c>
      <c r="AD134" s="21" t="str">
        <f>IF(COUNTIFS(KPI_Element_Map!$A$2:$A$287,$A134,KPI_Element_Map!$G$2:$G$287,AD$1)&gt;0,1,"")</f>
        <v/>
      </c>
      <c r="AE134" s="21" t="str">
        <f>IF(COUNTIFS(KPI_Element_Map!$A$2:$A$287,$A134,KPI_Element_Map!$G$2:$G$287,AE$1)&gt;0,1,"")</f>
        <v/>
      </c>
      <c r="AF134" s="21" t="str">
        <f>IF(COUNTIFS(KPI_Element_Map!$A$2:$A$287,$A134,KPI_Element_Map!$G$2:$G$287,AF$1)&gt;0,1,"")</f>
        <v/>
      </c>
      <c r="AG134" s="21" t="str">
        <f>IF(COUNTIFS(KPI_Element_Map!$A$2:$A$287,$A134,KPI_Element_Map!$G$2:$G$287,AG$1)&gt;0,1,"")</f>
        <v/>
      </c>
      <c r="AH134" s="21" t="str">
        <f>IF(COUNTIFS(KPI_Element_Map!$A$2:$A$287,$A134,KPI_Element_Map!$G$2:$G$287,AH$1)&gt;0,1,"")</f>
        <v/>
      </c>
      <c r="AI134" s="21" t="str">
        <f>IF(COUNTIFS(KPI_Element_Map!$A$2:$A$287,$A134,KPI_Element_Map!$G$2:$G$287,AI$1)&gt;0,1,"")</f>
        <v/>
      </c>
      <c r="AJ134" s="21" t="str">
        <f>IF(COUNTIFS(KPI_Element_Map!$A$2:$A$287,$A134,KPI_Element_Map!$G$2:$G$287,AJ$1)&gt;0,1,"")</f>
        <v/>
      </c>
      <c r="AK134" s="21" t="str">
        <f>IF(COUNTIFS(KPI_Element_Map!$A$2:$A$287,$A134,KPI_Element_Map!$G$2:$G$287,AK$1)&gt;0,1,"")</f>
        <v/>
      </c>
    </row>
    <row r="135" spans="1:37">
      <c r="A135" s="21">
        <v>134</v>
      </c>
      <c r="B135" s="23" t="str">
        <f>INDEX(KPI_Master!$B:$B,MATCH($A135,KPI_Master!$A:$A,0))</f>
        <v>QUAC-20</v>
      </c>
      <c r="C135" s="23" t="str">
        <f>INDEX(KPI_Master!$D:$D,MATCH($A135,KPI_Master!$A:$A,0))</f>
        <v>Weighted Health Inspection Score (CMS)</v>
      </c>
      <c r="D135" s="23" t="str">
        <f>INDEX(KPI_Master!$K:$K,MATCH($A135,KPI_Master!$A:$A,0))</f>
        <v>2 - Standard</v>
      </c>
      <c r="E135" s="23" t="str">
        <f t="array" ref="E135">_xlfn.TEXTJOIN(", ",TRUE(),IF(KPI_Element_Map!$A$2:$A$287=$A135,KPI_Element_Map!$E$2:$E$287,""))</f>
        <v>E42</v>
      </c>
      <c r="F135" s="21">
        <f t="shared" si="4"/>
        <v>1</v>
      </c>
      <c r="G135" s="21" t="str">
        <f>IF(COUNTIFS(KPI_Element_Map!$A$2:$A$287,$A135,KPI_Element_Map!$G$2:$G$287,G$1)&gt;0,1,"")</f>
        <v/>
      </c>
      <c r="H135" s="21" t="str">
        <f>IF(COUNTIFS(KPI_Element_Map!$A$2:$A$287,$A135,KPI_Element_Map!$G$2:$G$287,H$1)&gt;0,1,"")</f>
        <v/>
      </c>
      <c r="I135" s="21" t="str">
        <f>IF(COUNTIFS(KPI_Element_Map!$A$2:$A$287,$A135,KPI_Element_Map!$G$2:$G$287,I$1)&gt;0,1,"")</f>
        <v/>
      </c>
      <c r="J135" s="21" t="str">
        <f>IF(COUNTIFS(KPI_Element_Map!$A$2:$A$287,$A135,KPI_Element_Map!$G$2:$G$287,J$1)&gt;0,1,"")</f>
        <v/>
      </c>
      <c r="K135" s="21" t="str">
        <f>IF(COUNTIFS(KPI_Element_Map!$A$2:$A$287,$A135,KPI_Element_Map!$G$2:$G$287,K$1)&gt;0,1,"")</f>
        <v/>
      </c>
      <c r="L135" s="21" t="str">
        <f>IF(COUNTIFS(KPI_Element_Map!$A$2:$A$287,$A135,KPI_Element_Map!$G$2:$G$287,L$1)&gt;0,1,"")</f>
        <v/>
      </c>
      <c r="M135" s="21" t="str">
        <f>IF(COUNTIFS(KPI_Element_Map!$A$2:$A$287,$A135,KPI_Element_Map!$G$2:$G$287,M$1)&gt;0,1,"")</f>
        <v/>
      </c>
      <c r="N135" s="21" t="str">
        <f>IF(COUNTIFS(KPI_Element_Map!$A$2:$A$287,$A135,KPI_Element_Map!$G$2:$G$287,N$1)&gt;0,1,"")</f>
        <v/>
      </c>
      <c r="O135" s="21" t="str">
        <f>IF(COUNTIFS(KPI_Element_Map!$A$2:$A$287,$A135,KPI_Element_Map!$G$2:$G$287,O$1)&gt;0,1,"")</f>
        <v/>
      </c>
      <c r="P135" s="21" t="str">
        <f>IF(COUNTIFS(KPI_Element_Map!$A$2:$A$287,$A135,KPI_Element_Map!$G$2:$G$287,P$1)&gt;0,1,"")</f>
        <v/>
      </c>
      <c r="Q135" s="21" t="str">
        <f>IF(COUNTIFS(KPI_Element_Map!$A$2:$A$287,$A135,KPI_Element_Map!$G$2:$G$287,Q$1)&gt;0,1,"")</f>
        <v/>
      </c>
      <c r="R135" s="21" t="str">
        <f>IF(COUNTIFS(KPI_Element_Map!$A$2:$A$287,$A135,KPI_Element_Map!$G$2:$G$287,R$1)&gt;0,1,"")</f>
        <v/>
      </c>
      <c r="S135" s="21" t="str">
        <f>IF(COUNTIFS(KPI_Element_Map!$A$2:$A$287,$A135,KPI_Element_Map!$G$2:$G$287,S$1)&gt;0,1,"")</f>
        <v/>
      </c>
      <c r="T135" s="21" t="str">
        <f>IF(COUNTIFS(KPI_Element_Map!$A$2:$A$287,$A135,KPI_Element_Map!$G$2:$G$287,T$1)&gt;0,1,"")</f>
        <v/>
      </c>
      <c r="U135" s="21" t="str">
        <f>IF(COUNTIFS(KPI_Element_Map!$A$2:$A$287,$A135,KPI_Element_Map!$G$2:$G$287,U$1)&gt;0,1,"")</f>
        <v/>
      </c>
      <c r="V135" s="21" t="str">
        <f>IF(COUNTIFS(KPI_Element_Map!$A$2:$A$287,$A135,KPI_Element_Map!$G$2:$G$287,V$1)&gt;0,1,"")</f>
        <v/>
      </c>
      <c r="W135" s="21">
        <f>IF(COUNTIFS(KPI_Element_Map!$A$2:$A$287,$A135,KPI_Element_Map!$G$2:$G$287,W$1)&gt;0,1,"")</f>
        <v>1</v>
      </c>
      <c r="X135" s="21" t="str">
        <f>IF(COUNTIFS(KPI_Element_Map!$A$2:$A$287,$A135,KPI_Element_Map!$G$2:$G$287,X$1)&gt;0,1,"")</f>
        <v/>
      </c>
      <c r="Y135" s="21" t="str">
        <f>IF(COUNTIFS(KPI_Element_Map!$A$2:$A$287,$A135,KPI_Element_Map!$G$2:$G$287,Y$1)&gt;0,1,"")</f>
        <v/>
      </c>
      <c r="Z135" s="21" t="str">
        <f>IF(COUNTIFS(KPI_Element_Map!$A$2:$A$287,$A135,KPI_Element_Map!$G$2:$G$287,Z$1)&gt;0,1,"")</f>
        <v/>
      </c>
      <c r="AA135" s="21" t="str">
        <f>IF(COUNTIFS(KPI_Element_Map!$A$2:$A$287,$A135,KPI_Element_Map!$G$2:$G$287,AA$1)&gt;0,1,"")</f>
        <v/>
      </c>
      <c r="AB135" s="21" t="str">
        <f>IF(COUNTIFS(KPI_Element_Map!$A$2:$A$287,$A135,KPI_Element_Map!$G$2:$G$287,AB$1)&gt;0,1,"")</f>
        <v/>
      </c>
      <c r="AC135" s="21" t="str">
        <f>IF(COUNTIFS(KPI_Element_Map!$A$2:$A$287,$A135,KPI_Element_Map!$G$2:$G$287,AC$1)&gt;0,1,"")</f>
        <v/>
      </c>
      <c r="AD135" s="21" t="str">
        <f>IF(COUNTIFS(KPI_Element_Map!$A$2:$A$287,$A135,KPI_Element_Map!$G$2:$G$287,AD$1)&gt;0,1,"")</f>
        <v/>
      </c>
      <c r="AE135" s="21" t="str">
        <f>IF(COUNTIFS(KPI_Element_Map!$A$2:$A$287,$A135,KPI_Element_Map!$G$2:$G$287,AE$1)&gt;0,1,"")</f>
        <v/>
      </c>
      <c r="AF135" s="21" t="str">
        <f>IF(COUNTIFS(KPI_Element_Map!$A$2:$A$287,$A135,KPI_Element_Map!$G$2:$G$287,AF$1)&gt;0,1,"")</f>
        <v/>
      </c>
      <c r="AG135" s="21" t="str">
        <f>IF(COUNTIFS(KPI_Element_Map!$A$2:$A$287,$A135,KPI_Element_Map!$G$2:$G$287,AG$1)&gt;0,1,"")</f>
        <v/>
      </c>
      <c r="AH135" s="21" t="str">
        <f>IF(COUNTIFS(KPI_Element_Map!$A$2:$A$287,$A135,KPI_Element_Map!$G$2:$G$287,AH$1)&gt;0,1,"")</f>
        <v/>
      </c>
      <c r="AI135" s="21" t="str">
        <f>IF(COUNTIFS(KPI_Element_Map!$A$2:$A$287,$A135,KPI_Element_Map!$G$2:$G$287,AI$1)&gt;0,1,"")</f>
        <v/>
      </c>
      <c r="AJ135" s="21" t="str">
        <f>IF(COUNTIFS(KPI_Element_Map!$A$2:$A$287,$A135,KPI_Element_Map!$G$2:$G$287,AJ$1)&gt;0,1,"")</f>
        <v/>
      </c>
      <c r="AK135" s="21" t="str">
        <f>IF(COUNTIFS(KPI_Element_Map!$A$2:$A$287,$A135,KPI_Element_Map!$G$2:$G$287,AK$1)&gt;0,1,"")</f>
        <v/>
      </c>
    </row>
    <row r="136" spans="1:37">
      <c r="A136" s="21">
        <v>135</v>
      </c>
      <c r="B136" s="23" t="str">
        <f>INDEX(KPI_Master!$B:$B,MATCH($A136,KPI_Master!$A:$A,0))</f>
        <v>QUAC-21</v>
      </c>
      <c r="C136" s="23" t="str">
        <f>INDEX(KPI_Master!$D:$D,MATCH($A136,KPI_Master!$A:$A,0))</f>
        <v>Complaint Survey Deficiency Points (CMS)</v>
      </c>
      <c r="D136" s="23" t="str">
        <f>INDEX(KPI_Master!$K:$K,MATCH($A136,KPI_Master!$A:$A,0))</f>
        <v>2 - Standard</v>
      </c>
      <c r="E136" s="23" t="str">
        <f t="array" ref="E136">_xlfn.TEXTJOIN(", ",TRUE(),IF(KPI_Element_Map!$A$2:$A$287=$A136,KPI_Element_Map!$E$2:$E$287,""))</f>
        <v>E42</v>
      </c>
      <c r="F136" s="21">
        <f t="shared" si="4"/>
        <v>1</v>
      </c>
      <c r="G136" s="21" t="str">
        <f>IF(COUNTIFS(KPI_Element_Map!$A$2:$A$287,$A136,KPI_Element_Map!$G$2:$G$287,G$1)&gt;0,1,"")</f>
        <v/>
      </c>
      <c r="H136" s="21" t="str">
        <f>IF(COUNTIFS(KPI_Element_Map!$A$2:$A$287,$A136,KPI_Element_Map!$G$2:$G$287,H$1)&gt;0,1,"")</f>
        <v/>
      </c>
      <c r="I136" s="21" t="str">
        <f>IF(COUNTIFS(KPI_Element_Map!$A$2:$A$287,$A136,KPI_Element_Map!$G$2:$G$287,I$1)&gt;0,1,"")</f>
        <v/>
      </c>
      <c r="J136" s="21" t="str">
        <f>IF(COUNTIFS(KPI_Element_Map!$A$2:$A$287,$A136,KPI_Element_Map!$G$2:$G$287,J$1)&gt;0,1,"")</f>
        <v/>
      </c>
      <c r="K136" s="21" t="str">
        <f>IF(COUNTIFS(KPI_Element_Map!$A$2:$A$287,$A136,KPI_Element_Map!$G$2:$G$287,K$1)&gt;0,1,"")</f>
        <v/>
      </c>
      <c r="L136" s="21" t="str">
        <f>IF(COUNTIFS(KPI_Element_Map!$A$2:$A$287,$A136,KPI_Element_Map!$G$2:$G$287,L$1)&gt;0,1,"")</f>
        <v/>
      </c>
      <c r="M136" s="21" t="str">
        <f>IF(COUNTIFS(KPI_Element_Map!$A$2:$A$287,$A136,KPI_Element_Map!$G$2:$G$287,M$1)&gt;0,1,"")</f>
        <v/>
      </c>
      <c r="N136" s="21" t="str">
        <f>IF(COUNTIFS(KPI_Element_Map!$A$2:$A$287,$A136,KPI_Element_Map!$G$2:$G$287,N$1)&gt;0,1,"")</f>
        <v/>
      </c>
      <c r="O136" s="21" t="str">
        <f>IF(COUNTIFS(KPI_Element_Map!$A$2:$A$287,$A136,KPI_Element_Map!$G$2:$G$287,O$1)&gt;0,1,"")</f>
        <v/>
      </c>
      <c r="P136" s="21" t="str">
        <f>IF(COUNTIFS(KPI_Element_Map!$A$2:$A$287,$A136,KPI_Element_Map!$G$2:$G$287,P$1)&gt;0,1,"")</f>
        <v/>
      </c>
      <c r="Q136" s="21" t="str">
        <f>IF(COUNTIFS(KPI_Element_Map!$A$2:$A$287,$A136,KPI_Element_Map!$G$2:$G$287,Q$1)&gt;0,1,"")</f>
        <v/>
      </c>
      <c r="R136" s="21" t="str">
        <f>IF(COUNTIFS(KPI_Element_Map!$A$2:$A$287,$A136,KPI_Element_Map!$G$2:$G$287,R$1)&gt;0,1,"")</f>
        <v/>
      </c>
      <c r="S136" s="21" t="str">
        <f>IF(COUNTIFS(KPI_Element_Map!$A$2:$A$287,$A136,KPI_Element_Map!$G$2:$G$287,S$1)&gt;0,1,"")</f>
        <v/>
      </c>
      <c r="T136" s="21" t="str">
        <f>IF(COUNTIFS(KPI_Element_Map!$A$2:$A$287,$A136,KPI_Element_Map!$G$2:$G$287,T$1)&gt;0,1,"")</f>
        <v/>
      </c>
      <c r="U136" s="21" t="str">
        <f>IF(COUNTIFS(KPI_Element_Map!$A$2:$A$287,$A136,KPI_Element_Map!$G$2:$G$287,U$1)&gt;0,1,"")</f>
        <v/>
      </c>
      <c r="V136" s="21" t="str">
        <f>IF(COUNTIFS(KPI_Element_Map!$A$2:$A$287,$A136,KPI_Element_Map!$G$2:$G$287,V$1)&gt;0,1,"")</f>
        <v/>
      </c>
      <c r="W136" s="21">
        <f>IF(COUNTIFS(KPI_Element_Map!$A$2:$A$287,$A136,KPI_Element_Map!$G$2:$G$287,W$1)&gt;0,1,"")</f>
        <v>1</v>
      </c>
      <c r="X136" s="21" t="str">
        <f>IF(COUNTIFS(KPI_Element_Map!$A$2:$A$287,$A136,KPI_Element_Map!$G$2:$G$287,X$1)&gt;0,1,"")</f>
        <v/>
      </c>
      <c r="Y136" s="21" t="str">
        <f>IF(COUNTIFS(KPI_Element_Map!$A$2:$A$287,$A136,KPI_Element_Map!$G$2:$G$287,Y$1)&gt;0,1,"")</f>
        <v/>
      </c>
      <c r="Z136" s="21" t="str">
        <f>IF(COUNTIFS(KPI_Element_Map!$A$2:$A$287,$A136,KPI_Element_Map!$G$2:$G$287,Z$1)&gt;0,1,"")</f>
        <v/>
      </c>
      <c r="AA136" s="21" t="str">
        <f>IF(COUNTIFS(KPI_Element_Map!$A$2:$A$287,$A136,KPI_Element_Map!$G$2:$G$287,AA$1)&gt;0,1,"")</f>
        <v/>
      </c>
      <c r="AB136" s="21" t="str">
        <f>IF(COUNTIFS(KPI_Element_Map!$A$2:$A$287,$A136,KPI_Element_Map!$G$2:$G$287,AB$1)&gt;0,1,"")</f>
        <v/>
      </c>
      <c r="AC136" s="21" t="str">
        <f>IF(COUNTIFS(KPI_Element_Map!$A$2:$A$287,$A136,KPI_Element_Map!$G$2:$G$287,AC$1)&gt;0,1,"")</f>
        <v/>
      </c>
      <c r="AD136" s="21" t="str">
        <f>IF(COUNTIFS(KPI_Element_Map!$A$2:$A$287,$A136,KPI_Element_Map!$G$2:$G$287,AD$1)&gt;0,1,"")</f>
        <v/>
      </c>
      <c r="AE136" s="21" t="str">
        <f>IF(COUNTIFS(KPI_Element_Map!$A$2:$A$287,$A136,KPI_Element_Map!$G$2:$G$287,AE$1)&gt;0,1,"")</f>
        <v/>
      </c>
      <c r="AF136" s="21" t="str">
        <f>IF(COUNTIFS(KPI_Element_Map!$A$2:$A$287,$A136,KPI_Element_Map!$G$2:$G$287,AF$1)&gt;0,1,"")</f>
        <v/>
      </c>
      <c r="AG136" s="21" t="str">
        <f>IF(COUNTIFS(KPI_Element_Map!$A$2:$A$287,$A136,KPI_Element_Map!$G$2:$G$287,AG$1)&gt;0,1,"")</f>
        <v/>
      </c>
      <c r="AH136" s="21" t="str">
        <f>IF(COUNTIFS(KPI_Element_Map!$A$2:$A$287,$A136,KPI_Element_Map!$G$2:$G$287,AH$1)&gt;0,1,"")</f>
        <v/>
      </c>
      <c r="AI136" s="21" t="str">
        <f>IF(COUNTIFS(KPI_Element_Map!$A$2:$A$287,$A136,KPI_Element_Map!$G$2:$G$287,AI$1)&gt;0,1,"")</f>
        <v/>
      </c>
      <c r="AJ136" s="21" t="str">
        <f>IF(COUNTIFS(KPI_Element_Map!$A$2:$A$287,$A136,KPI_Element_Map!$G$2:$G$287,AJ$1)&gt;0,1,"")</f>
        <v/>
      </c>
      <c r="AK136" s="21" t="str">
        <f>IF(COUNTIFS(KPI_Element_Map!$A$2:$A$287,$A136,KPI_Element_Map!$G$2:$G$287,AK$1)&gt;0,1,"")</f>
        <v/>
      </c>
    </row>
    <row r="137" spans="1:37" ht="28.5" customHeight="1">
      <c r="A137" s="21">
        <v>136</v>
      </c>
      <c r="B137" s="23" t="str">
        <f>INDEX(KPI_Master!$B:$B,MATCH($A137,KPI_Master!$A:$A,0))</f>
        <v>QUAC-22</v>
      </c>
      <c r="C137" s="23" t="str">
        <f>INDEX(KPI_Master!$D:$D,MATCH($A137,KPI_Master!$A:$A,0))</f>
        <v>Focused Infection Control Survey Deficiency Points (CMS)</v>
      </c>
      <c r="D137" s="23" t="str">
        <f>INDEX(KPI_Master!$K:$K,MATCH($A137,KPI_Master!$A:$A,0))</f>
        <v>3 - Optional</v>
      </c>
      <c r="E137" s="23" t="str">
        <f t="array" ref="E137">_xlfn.TEXTJOIN(", ",TRUE(),IF(KPI_Element_Map!$A$2:$A$287=$A137,KPI_Element_Map!$E$2:$E$287,""))</f>
        <v>E42</v>
      </c>
      <c r="F137" s="21">
        <f t="shared" si="4"/>
        <v>1</v>
      </c>
      <c r="G137" s="21" t="str">
        <f>IF(COUNTIFS(KPI_Element_Map!$A$2:$A$287,$A137,KPI_Element_Map!$G$2:$G$287,G$1)&gt;0,1,"")</f>
        <v/>
      </c>
      <c r="H137" s="21" t="str">
        <f>IF(COUNTIFS(KPI_Element_Map!$A$2:$A$287,$A137,KPI_Element_Map!$G$2:$G$287,H$1)&gt;0,1,"")</f>
        <v/>
      </c>
      <c r="I137" s="21" t="str">
        <f>IF(COUNTIFS(KPI_Element_Map!$A$2:$A$287,$A137,KPI_Element_Map!$G$2:$G$287,I$1)&gt;0,1,"")</f>
        <v/>
      </c>
      <c r="J137" s="21" t="str">
        <f>IF(COUNTIFS(KPI_Element_Map!$A$2:$A$287,$A137,KPI_Element_Map!$G$2:$G$287,J$1)&gt;0,1,"")</f>
        <v/>
      </c>
      <c r="K137" s="21" t="str">
        <f>IF(COUNTIFS(KPI_Element_Map!$A$2:$A$287,$A137,KPI_Element_Map!$G$2:$G$287,K$1)&gt;0,1,"")</f>
        <v/>
      </c>
      <c r="L137" s="21" t="str">
        <f>IF(COUNTIFS(KPI_Element_Map!$A$2:$A$287,$A137,KPI_Element_Map!$G$2:$G$287,L$1)&gt;0,1,"")</f>
        <v/>
      </c>
      <c r="M137" s="21" t="str">
        <f>IF(COUNTIFS(KPI_Element_Map!$A$2:$A$287,$A137,KPI_Element_Map!$G$2:$G$287,M$1)&gt;0,1,"")</f>
        <v/>
      </c>
      <c r="N137" s="21" t="str">
        <f>IF(COUNTIFS(KPI_Element_Map!$A$2:$A$287,$A137,KPI_Element_Map!$G$2:$G$287,N$1)&gt;0,1,"")</f>
        <v/>
      </c>
      <c r="O137" s="21" t="str">
        <f>IF(COUNTIFS(KPI_Element_Map!$A$2:$A$287,$A137,KPI_Element_Map!$G$2:$G$287,O$1)&gt;0,1,"")</f>
        <v/>
      </c>
      <c r="P137" s="21" t="str">
        <f>IF(COUNTIFS(KPI_Element_Map!$A$2:$A$287,$A137,KPI_Element_Map!$G$2:$G$287,P$1)&gt;0,1,"")</f>
        <v/>
      </c>
      <c r="Q137" s="21" t="str">
        <f>IF(COUNTIFS(KPI_Element_Map!$A$2:$A$287,$A137,KPI_Element_Map!$G$2:$G$287,Q$1)&gt;0,1,"")</f>
        <v/>
      </c>
      <c r="R137" s="21" t="str">
        <f>IF(COUNTIFS(KPI_Element_Map!$A$2:$A$287,$A137,KPI_Element_Map!$G$2:$G$287,R$1)&gt;0,1,"")</f>
        <v/>
      </c>
      <c r="S137" s="21" t="str">
        <f>IF(COUNTIFS(KPI_Element_Map!$A$2:$A$287,$A137,KPI_Element_Map!$G$2:$G$287,S$1)&gt;0,1,"")</f>
        <v/>
      </c>
      <c r="T137" s="21" t="str">
        <f>IF(COUNTIFS(KPI_Element_Map!$A$2:$A$287,$A137,KPI_Element_Map!$G$2:$G$287,T$1)&gt;0,1,"")</f>
        <v/>
      </c>
      <c r="U137" s="21" t="str">
        <f>IF(COUNTIFS(KPI_Element_Map!$A$2:$A$287,$A137,KPI_Element_Map!$G$2:$G$287,U$1)&gt;0,1,"")</f>
        <v/>
      </c>
      <c r="V137" s="21" t="str">
        <f>IF(COUNTIFS(KPI_Element_Map!$A$2:$A$287,$A137,KPI_Element_Map!$G$2:$G$287,V$1)&gt;0,1,"")</f>
        <v/>
      </c>
      <c r="W137" s="21">
        <f>IF(COUNTIFS(KPI_Element_Map!$A$2:$A$287,$A137,KPI_Element_Map!$G$2:$G$287,W$1)&gt;0,1,"")</f>
        <v>1</v>
      </c>
      <c r="X137" s="21" t="str">
        <f>IF(COUNTIFS(KPI_Element_Map!$A$2:$A$287,$A137,KPI_Element_Map!$G$2:$G$287,X$1)&gt;0,1,"")</f>
        <v/>
      </c>
      <c r="Y137" s="21" t="str">
        <f>IF(COUNTIFS(KPI_Element_Map!$A$2:$A$287,$A137,KPI_Element_Map!$G$2:$G$287,Y$1)&gt;0,1,"")</f>
        <v/>
      </c>
      <c r="Z137" s="21" t="str">
        <f>IF(COUNTIFS(KPI_Element_Map!$A$2:$A$287,$A137,KPI_Element_Map!$G$2:$G$287,Z$1)&gt;0,1,"")</f>
        <v/>
      </c>
      <c r="AA137" s="21" t="str">
        <f>IF(COUNTIFS(KPI_Element_Map!$A$2:$A$287,$A137,KPI_Element_Map!$G$2:$G$287,AA$1)&gt;0,1,"")</f>
        <v/>
      </c>
      <c r="AB137" s="21" t="str">
        <f>IF(COUNTIFS(KPI_Element_Map!$A$2:$A$287,$A137,KPI_Element_Map!$G$2:$G$287,AB$1)&gt;0,1,"")</f>
        <v/>
      </c>
      <c r="AC137" s="21" t="str">
        <f>IF(COUNTIFS(KPI_Element_Map!$A$2:$A$287,$A137,KPI_Element_Map!$G$2:$G$287,AC$1)&gt;0,1,"")</f>
        <v/>
      </c>
      <c r="AD137" s="21" t="str">
        <f>IF(COUNTIFS(KPI_Element_Map!$A$2:$A$287,$A137,KPI_Element_Map!$G$2:$G$287,AD$1)&gt;0,1,"")</f>
        <v/>
      </c>
      <c r="AE137" s="21" t="str">
        <f>IF(COUNTIFS(KPI_Element_Map!$A$2:$A$287,$A137,KPI_Element_Map!$G$2:$G$287,AE$1)&gt;0,1,"")</f>
        <v/>
      </c>
      <c r="AF137" s="21" t="str">
        <f>IF(COUNTIFS(KPI_Element_Map!$A$2:$A$287,$A137,KPI_Element_Map!$G$2:$G$287,AF$1)&gt;0,1,"")</f>
        <v/>
      </c>
      <c r="AG137" s="21" t="str">
        <f>IF(COUNTIFS(KPI_Element_Map!$A$2:$A$287,$A137,KPI_Element_Map!$G$2:$G$287,AG$1)&gt;0,1,"")</f>
        <v/>
      </c>
      <c r="AH137" s="21" t="str">
        <f>IF(COUNTIFS(KPI_Element_Map!$A$2:$A$287,$A137,KPI_Element_Map!$G$2:$G$287,AH$1)&gt;0,1,"")</f>
        <v/>
      </c>
      <c r="AI137" s="21" t="str">
        <f>IF(COUNTIFS(KPI_Element_Map!$A$2:$A$287,$A137,KPI_Element_Map!$G$2:$G$287,AI$1)&gt;0,1,"")</f>
        <v/>
      </c>
      <c r="AJ137" s="21" t="str">
        <f>IF(COUNTIFS(KPI_Element_Map!$A$2:$A$287,$A137,KPI_Element_Map!$G$2:$G$287,AJ$1)&gt;0,1,"")</f>
        <v/>
      </c>
      <c r="AK137" s="21" t="str">
        <f>IF(COUNTIFS(KPI_Element_Map!$A$2:$A$287,$A137,KPI_Element_Map!$G$2:$G$287,AK$1)&gt;0,1,"")</f>
        <v/>
      </c>
    </row>
    <row r="138" spans="1:37">
      <c r="A138" s="21">
        <v>137</v>
      </c>
      <c r="B138" s="23" t="str">
        <f>INDEX(KPI_Master!$B:$B,MATCH($A138,KPI_Master!$A:$A,0))</f>
        <v>QUAC-23</v>
      </c>
      <c r="C138" s="23" t="str">
        <f>INDEX(KPI_Master!$D:$D,MATCH($A138,KPI_Master!$A:$A,0))</f>
        <v>Survey Revisit Points (CMS)</v>
      </c>
      <c r="D138" s="23" t="str">
        <f>INDEX(KPI_Master!$K:$K,MATCH($A138,KPI_Master!$A:$A,0))</f>
        <v>3 - Optional</v>
      </c>
      <c r="E138" s="23" t="str">
        <f t="array" ref="E138">_xlfn.TEXTJOIN(", ",TRUE(),IF(KPI_Element_Map!$A$2:$A$287=$A138,KPI_Element_Map!$E$2:$E$287,""))</f>
        <v>E42</v>
      </c>
      <c r="F138" s="21">
        <f t="shared" si="4"/>
        <v>1</v>
      </c>
      <c r="G138" s="21" t="str">
        <f>IF(COUNTIFS(KPI_Element_Map!$A$2:$A$287,$A138,KPI_Element_Map!$G$2:$G$287,G$1)&gt;0,1,"")</f>
        <v/>
      </c>
      <c r="H138" s="21" t="str">
        <f>IF(COUNTIFS(KPI_Element_Map!$A$2:$A$287,$A138,KPI_Element_Map!$G$2:$G$287,H$1)&gt;0,1,"")</f>
        <v/>
      </c>
      <c r="I138" s="21" t="str">
        <f>IF(COUNTIFS(KPI_Element_Map!$A$2:$A$287,$A138,KPI_Element_Map!$G$2:$G$287,I$1)&gt;0,1,"")</f>
        <v/>
      </c>
      <c r="J138" s="21" t="str">
        <f>IF(COUNTIFS(KPI_Element_Map!$A$2:$A$287,$A138,KPI_Element_Map!$G$2:$G$287,J$1)&gt;0,1,"")</f>
        <v/>
      </c>
      <c r="K138" s="21" t="str">
        <f>IF(COUNTIFS(KPI_Element_Map!$A$2:$A$287,$A138,KPI_Element_Map!$G$2:$G$287,K$1)&gt;0,1,"")</f>
        <v/>
      </c>
      <c r="L138" s="21" t="str">
        <f>IF(COUNTIFS(KPI_Element_Map!$A$2:$A$287,$A138,KPI_Element_Map!$G$2:$G$287,L$1)&gt;0,1,"")</f>
        <v/>
      </c>
      <c r="M138" s="21" t="str">
        <f>IF(COUNTIFS(KPI_Element_Map!$A$2:$A$287,$A138,KPI_Element_Map!$G$2:$G$287,M$1)&gt;0,1,"")</f>
        <v/>
      </c>
      <c r="N138" s="21" t="str">
        <f>IF(COUNTIFS(KPI_Element_Map!$A$2:$A$287,$A138,KPI_Element_Map!$G$2:$G$287,N$1)&gt;0,1,"")</f>
        <v/>
      </c>
      <c r="O138" s="21" t="str">
        <f>IF(COUNTIFS(KPI_Element_Map!$A$2:$A$287,$A138,KPI_Element_Map!$G$2:$G$287,O$1)&gt;0,1,"")</f>
        <v/>
      </c>
      <c r="P138" s="21" t="str">
        <f>IF(COUNTIFS(KPI_Element_Map!$A$2:$A$287,$A138,KPI_Element_Map!$G$2:$G$287,P$1)&gt;0,1,"")</f>
        <v/>
      </c>
      <c r="Q138" s="21" t="str">
        <f>IF(COUNTIFS(KPI_Element_Map!$A$2:$A$287,$A138,KPI_Element_Map!$G$2:$G$287,Q$1)&gt;0,1,"")</f>
        <v/>
      </c>
      <c r="R138" s="21" t="str">
        <f>IF(COUNTIFS(KPI_Element_Map!$A$2:$A$287,$A138,KPI_Element_Map!$G$2:$G$287,R$1)&gt;0,1,"")</f>
        <v/>
      </c>
      <c r="S138" s="21" t="str">
        <f>IF(COUNTIFS(KPI_Element_Map!$A$2:$A$287,$A138,KPI_Element_Map!$G$2:$G$287,S$1)&gt;0,1,"")</f>
        <v/>
      </c>
      <c r="T138" s="21" t="str">
        <f>IF(COUNTIFS(KPI_Element_Map!$A$2:$A$287,$A138,KPI_Element_Map!$G$2:$G$287,T$1)&gt;0,1,"")</f>
        <v/>
      </c>
      <c r="U138" s="21" t="str">
        <f>IF(COUNTIFS(KPI_Element_Map!$A$2:$A$287,$A138,KPI_Element_Map!$G$2:$G$287,U$1)&gt;0,1,"")</f>
        <v/>
      </c>
      <c r="V138" s="21" t="str">
        <f>IF(COUNTIFS(KPI_Element_Map!$A$2:$A$287,$A138,KPI_Element_Map!$G$2:$G$287,V$1)&gt;0,1,"")</f>
        <v/>
      </c>
      <c r="W138" s="21">
        <f>IF(COUNTIFS(KPI_Element_Map!$A$2:$A$287,$A138,KPI_Element_Map!$G$2:$G$287,W$1)&gt;0,1,"")</f>
        <v>1</v>
      </c>
      <c r="X138" s="21" t="str">
        <f>IF(COUNTIFS(KPI_Element_Map!$A$2:$A$287,$A138,KPI_Element_Map!$G$2:$G$287,X$1)&gt;0,1,"")</f>
        <v/>
      </c>
      <c r="Y138" s="21" t="str">
        <f>IF(COUNTIFS(KPI_Element_Map!$A$2:$A$287,$A138,KPI_Element_Map!$G$2:$G$287,Y$1)&gt;0,1,"")</f>
        <v/>
      </c>
      <c r="Z138" s="21" t="str">
        <f>IF(COUNTIFS(KPI_Element_Map!$A$2:$A$287,$A138,KPI_Element_Map!$G$2:$G$287,Z$1)&gt;0,1,"")</f>
        <v/>
      </c>
      <c r="AA138" s="21" t="str">
        <f>IF(COUNTIFS(KPI_Element_Map!$A$2:$A$287,$A138,KPI_Element_Map!$G$2:$G$287,AA$1)&gt;0,1,"")</f>
        <v/>
      </c>
      <c r="AB138" s="21" t="str">
        <f>IF(COUNTIFS(KPI_Element_Map!$A$2:$A$287,$A138,KPI_Element_Map!$G$2:$G$287,AB$1)&gt;0,1,"")</f>
        <v/>
      </c>
      <c r="AC138" s="21" t="str">
        <f>IF(COUNTIFS(KPI_Element_Map!$A$2:$A$287,$A138,KPI_Element_Map!$G$2:$G$287,AC$1)&gt;0,1,"")</f>
        <v/>
      </c>
      <c r="AD138" s="21" t="str">
        <f>IF(COUNTIFS(KPI_Element_Map!$A$2:$A$287,$A138,KPI_Element_Map!$G$2:$G$287,AD$1)&gt;0,1,"")</f>
        <v/>
      </c>
      <c r="AE138" s="21" t="str">
        <f>IF(COUNTIFS(KPI_Element_Map!$A$2:$A$287,$A138,KPI_Element_Map!$G$2:$G$287,AE$1)&gt;0,1,"")</f>
        <v/>
      </c>
      <c r="AF138" s="21" t="str">
        <f>IF(COUNTIFS(KPI_Element_Map!$A$2:$A$287,$A138,KPI_Element_Map!$G$2:$G$287,AF$1)&gt;0,1,"")</f>
        <v/>
      </c>
      <c r="AG138" s="21" t="str">
        <f>IF(COUNTIFS(KPI_Element_Map!$A$2:$A$287,$A138,KPI_Element_Map!$G$2:$G$287,AG$1)&gt;0,1,"")</f>
        <v/>
      </c>
      <c r="AH138" s="21" t="str">
        <f>IF(COUNTIFS(KPI_Element_Map!$A$2:$A$287,$A138,KPI_Element_Map!$G$2:$G$287,AH$1)&gt;0,1,"")</f>
        <v/>
      </c>
      <c r="AI138" s="21" t="str">
        <f>IF(COUNTIFS(KPI_Element_Map!$A$2:$A$287,$A138,KPI_Element_Map!$G$2:$G$287,AI$1)&gt;0,1,"")</f>
        <v/>
      </c>
      <c r="AJ138" s="21" t="str">
        <f>IF(COUNTIFS(KPI_Element_Map!$A$2:$A$287,$A138,KPI_Element_Map!$G$2:$G$287,AJ$1)&gt;0,1,"")</f>
        <v/>
      </c>
      <c r="AK138" s="21" t="str">
        <f>IF(COUNTIFS(KPI_Element_Map!$A$2:$A$287,$A138,KPI_Element_Map!$G$2:$G$287,AK$1)&gt;0,1,"")</f>
        <v/>
      </c>
    </row>
    <row r="139" spans="1:37">
      <c r="A139" s="21">
        <v>138</v>
      </c>
      <c r="B139" s="23" t="str">
        <f>INDEX(KPI_Master!$B:$B,MATCH($A139,KPI_Master!$A:$A,0))</f>
        <v>QUAC-24</v>
      </c>
      <c r="C139" s="23" t="str">
        <f>INDEX(KPI_Master!$D:$D,MATCH($A139,KPI_Master!$A:$A,0))</f>
        <v>Substandard Quality of Care Citations</v>
      </c>
      <c r="D139" s="23" t="str">
        <f>INDEX(KPI_Master!$K:$K,MATCH($A139,KPI_Master!$A:$A,0))</f>
        <v>2 - Standard</v>
      </c>
      <c r="E139" s="23" t="str">
        <f t="array" ref="E139">_xlfn.TEXTJOIN(", ",TRUE(),IF(KPI_Element_Map!$A$2:$A$287=$A139,KPI_Element_Map!$E$2:$E$287,""))</f>
        <v>E43</v>
      </c>
      <c r="F139" s="21">
        <f t="shared" si="4"/>
        <v>1</v>
      </c>
      <c r="G139" s="21" t="str">
        <f>IF(COUNTIFS(KPI_Element_Map!$A$2:$A$287,$A139,KPI_Element_Map!$G$2:$G$287,G$1)&gt;0,1,"")</f>
        <v/>
      </c>
      <c r="H139" s="21" t="str">
        <f>IF(COUNTIFS(KPI_Element_Map!$A$2:$A$287,$A139,KPI_Element_Map!$G$2:$G$287,H$1)&gt;0,1,"")</f>
        <v/>
      </c>
      <c r="I139" s="21" t="str">
        <f>IF(COUNTIFS(KPI_Element_Map!$A$2:$A$287,$A139,KPI_Element_Map!$G$2:$G$287,I$1)&gt;0,1,"")</f>
        <v/>
      </c>
      <c r="J139" s="21" t="str">
        <f>IF(COUNTIFS(KPI_Element_Map!$A$2:$A$287,$A139,KPI_Element_Map!$G$2:$G$287,J$1)&gt;0,1,"")</f>
        <v/>
      </c>
      <c r="K139" s="21" t="str">
        <f>IF(COUNTIFS(KPI_Element_Map!$A$2:$A$287,$A139,KPI_Element_Map!$G$2:$G$287,K$1)&gt;0,1,"")</f>
        <v/>
      </c>
      <c r="L139" s="21" t="str">
        <f>IF(COUNTIFS(KPI_Element_Map!$A$2:$A$287,$A139,KPI_Element_Map!$G$2:$G$287,L$1)&gt;0,1,"")</f>
        <v/>
      </c>
      <c r="M139" s="21" t="str">
        <f>IF(COUNTIFS(KPI_Element_Map!$A$2:$A$287,$A139,KPI_Element_Map!$G$2:$G$287,M$1)&gt;0,1,"")</f>
        <v/>
      </c>
      <c r="N139" s="21" t="str">
        <f>IF(COUNTIFS(KPI_Element_Map!$A$2:$A$287,$A139,KPI_Element_Map!$G$2:$G$287,N$1)&gt;0,1,"")</f>
        <v/>
      </c>
      <c r="O139" s="21" t="str">
        <f>IF(COUNTIFS(KPI_Element_Map!$A$2:$A$287,$A139,KPI_Element_Map!$G$2:$G$287,O$1)&gt;0,1,"")</f>
        <v/>
      </c>
      <c r="P139" s="21" t="str">
        <f>IF(COUNTIFS(KPI_Element_Map!$A$2:$A$287,$A139,KPI_Element_Map!$G$2:$G$287,P$1)&gt;0,1,"")</f>
        <v/>
      </c>
      <c r="Q139" s="21" t="str">
        <f>IF(COUNTIFS(KPI_Element_Map!$A$2:$A$287,$A139,KPI_Element_Map!$G$2:$G$287,Q$1)&gt;0,1,"")</f>
        <v/>
      </c>
      <c r="R139" s="21" t="str">
        <f>IF(COUNTIFS(KPI_Element_Map!$A$2:$A$287,$A139,KPI_Element_Map!$G$2:$G$287,R$1)&gt;0,1,"")</f>
        <v/>
      </c>
      <c r="S139" s="21" t="str">
        <f>IF(COUNTIFS(KPI_Element_Map!$A$2:$A$287,$A139,KPI_Element_Map!$G$2:$G$287,S$1)&gt;0,1,"")</f>
        <v/>
      </c>
      <c r="T139" s="21" t="str">
        <f>IF(COUNTIFS(KPI_Element_Map!$A$2:$A$287,$A139,KPI_Element_Map!$G$2:$G$287,T$1)&gt;0,1,"")</f>
        <v/>
      </c>
      <c r="U139" s="21" t="str">
        <f>IF(COUNTIFS(KPI_Element_Map!$A$2:$A$287,$A139,KPI_Element_Map!$G$2:$G$287,U$1)&gt;0,1,"")</f>
        <v/>
      </c>
      <c r="V139" s="21" t="str">
        <f>IF(COUNTIFS(KPI_Element_Map!$A$2:$A$287,$A139,KPI_Element_Map!$G$2:$G$287,V$1)&gt;0,1,"")</f>
        <v/>
      </c>
      <c r="W139" s="21" t="str">
        <f>IF(COUNTIFS(KPI_Element_Map!$A$2:$A$287,$A139,KPI_Element_Map!$G$2:$G$287,W$1)&gt;0,1,"")</f>
        <v/>
      </c>
      <c r="X139" s="21">
        <f>IF(COUNTIFS(KPI_Element_Map!$A$2:$A$287,$A139,KPI_Element_Map!$G$2:$G$287,X$1)&gt;0,1,"")</f>
        <v>1</v>
      </c>
      <c r="Y139" s="21" t="str">
        <f>IF(COUNTIFS(KPI_Element_Map!$A$2:$A$287,$A139,KPI_Element_Map!$G$2:$G$287,Y$1)&gt;0,1,"")</f>
        <v/>
      </c>
      <c r="Z139" s="21" t="str">
        <f>IF(COUNTIFS(KPI_Element_Map!$A$2:$A$287,$A139,KPI_Element_Map!$G$2:$G$287,Z$1)&gt;0,1,"")</f>
        <v/>
      </c>
      <c r="AA139" s="21" t="str">
        <f>IF(COUNTIFS(KPI_Element_Map!$A$2:$A$287,$A139,KPI_Element_Map!$G$2:$G$287,AA$1)&gt;0,1,"")</f>
        <v/>
      </c>
      <c r="AB139" s="21" t="str">
        <f>IF(COUNTIFS(KPI_Element_Map!$A$2:$A$287,$A139,KPI_Element_Map!$G$2:$G$287,AB$1)&gt;0,1,"")</f>
        <v/>
      </c>
      <c r="AC139" s="21" t="str">
        <f>IF(COUNTIFS(KPI_Element_Map!$A$2:$A$287,$A139,KPI_Element_Map!$G$2:$G$287,AC$1)&gt;0,1,"")</f>
        <v/>
      </c>
      <c r="AD139" s="21" t="str">
        <f>IF(COUNTIFS(KPI_Element_Map!$A$2:$A$287,$A139,KPI_Element_Map!$G$2:$G$287,AD$1)&gt;0,1,"")</f>
        <v/>
      </c>
      <c r="AE139" s="21" t="str">
        <f>IF(COUNTIFS(KPI_Element_Map!$A$2:$A$287,$A139,KPI_Element_Map!$G$2:$G$287,AE$1)&gt;0,1,"")</f>
        <v/>
      </c>
      <c r="AF139" s="21" t="str">
        <f>IF(COUNTIFS(KPI_Element_Map!$A$2:$A$287,$A139,KPI_Element_Map!$G$2:$G$287,AF$1)&gt;0,1,"")</f>
        <v/>
      </c>
      <c r="AG139" s="21" t="str">
        <f>IF(COUNTIFS(KPI_Element_Map!$A$2:$A$287,$A139,KPI_Element_Map!$G$2:$G$287,AG$1)&gt;0,1,"")</f>
        <v/>
      </c>
      <c r="AH139" s="21" t="str">
        <f>IF(COUNTIFS(KPI_Element_Map!$A$2:$A$287,$A139,KPI_Element_Map!$G$2:$G$287,AH$1)&gt;0,1,"")</f>
        <v/>
      </c>
      <c r="AI139" s="21" t="str">
        <f>IF(COUNTIFS(KPI_Element_Map!$A$2:$A$287,$A139,KPI_Element_Map!$G$2:$G$287,AI$1)&gt;0,1,"")</f>
        <v/>
      </c>
      <c r="AJ139" s="21" t="str">
        <f>IF(COUNTIFS(KPI_Element_Map!$A$2:$A$287,$A139,KPI_Element_Map!$G$2:$G$287,AJ$1)&gt;0,1,"")</f>
        <v/>
      </c>
      <c r="AK139" s="21" t="str">
        <f>IF(COUNTIFS(KPI_Element_Map!$A$2:$A$287,$A139,KPI_Element_Map!$G$2:$G$287,AK$1)&gt;0,1,"")</f>
        <v/>
      </c>
    </row>
    <row r="140" spans="1:37">
      <c r="A140" s="21">
        <v>139</v>
      </c>
      <c r="B140" s="23" t="str">
        <f>INDEX(KPI_Master!$B:$B,MATCH($A140,KPI_Master!$A:$A,0))</f>
        <v>QUAC-25</v>
      </c>
      <c r="C140" s="23" t="str">
        <f>INDEX(KPI_Master!$D:$D,MATCH($A140,KPI_Master!$A:$A,0))</f>
        <v>Immediate Jeopardy Citations</v>
      </c>
      <c r="D140" s="23" t="str">
        <f>INDEX(KPI_Master!$K:$K,MATCH($A140,KPI_Master!$A:$A,0))</f>
        <v>1 - Core</v>
      </c>
      <c r="E140" s="23" t="str">
        <f t="array" ref="E140">_xlfn.TEXTJOIN(", ",TRUE(),IF(KPI_Element_Map!$A$2:$A$287=$A140,KPI_Element_Map!$E$2:$E$287,""))</f>
        <v>E43</v>
      </c>
      <c r="F140" s="21">
        <f t="shared" si="4"/>
        <v>1</v>
      </c>
      <c r="G140" s="21" t="str">
        <f>IF(COUNTIFS(KPI_Element_Map!$A$2:$A$287,$A140,KPI_Element_Map!$G$2:$G$287,G$1)&gt;0,1,"")</f>
        <v/>
      </c>
      <c r="H140" s="21" t="str">
        <f>IF(COUNTIFS(KPI_Element_Map!$A$2:$A$287,$A140,KPI_Element_Map!$G$2:$G$287,H$1)&gt;0,1,"")</f>
        <v/>
      </c>
      <c r="I140" s="21" t="str">
        <f>IF(COUNTIFS(KPI_Element_Map!$A$2:$A$287,$A140,KPI_Element_Map!$G$2:$G$287,I$1)&gt;0,1,"")</f>
        <v/>
      </c>
      <c r="J140" s="21" t="str">
        <f>IF(COUNTIFS(KPI_Element_Map!$A$2:$A$287,$A140,KPI_Element_Map!$G$2:$G$287,J$1)&gt;0,1,"")</f>
        <v/>
      </c>
      <c r="K140" s="21" t="str">
        <f>IF(COUNTIFS(KPI_Element_Map!$A$2:$A$287,$A140,KPI_Element_Map!$G$2:$G$287,K$1)&gt;0,1,"")</f>
        <v/>
      </c>
      <c r="L140" s="21" t="str">
        <f>IF(COUNTIFS(KPI_Element_Map!$A$2:$A$287,$A140,KPI_Element_Map!$G$2:$G$287,L$1)&gt;0,1,"")</f>
        <v/>
      </c>
      <c r="M140" s="21" t="str">
        <f>IF(COUNTIFS(KPI_Element_Map!$A$2:$A$287,$A140,KPI_Element_Map!$G$2:$G$287,M$1)&gt;0,1,"")</f>
        <v/>
      </c>
      <c r="N140" s="21" t="str">
        <f>IF(COUNTIFS(KPI_Element_Map!$A$2:$A$287,$A140,KPI_Element_Map!$G$2:$G$287,N$1)&gt;0,1,"")</f>
        <v/>
      </c>
      <c r="O140" s="21" t="str">
        <f>IF(COUNTIFS(KPI_Element_Map!$A$2:$A$287,$A140,KPI_Element_Map!$G$2:$G$287,O$1)&gt;0,1,"")</f>
        <v/>
      </c>
      <c r="P140" s="21" t="str">
        <f>IF(COUNTIFS(KPI_Element_Map!$A$2:$A$287,$A140,KPI_Element_Map!$G$2:$G$287,P$1)&gt;0,1,"")</f>
        <v/>
      </c>
      <c r="Q140" s="21" t="str">
        <f>IF(COUNTIFS(KPI_Element_Map!$A$2:$A$287,$A140,KPI_Element_Map!$G$2:$G$287,Q$1)&gt;0,1,"")</f>
        <v/>
      </c>
      <c r="R140" s="21" t="str">
        <f>IF(COUNTIFS(KPI_Element_Map!$A$2:$A$287,$A140,KPI_Element_Map!$G$2:$G$287,R$1)&gt;0,1,"")</f>
        <v/>
      </c>
      <c r="S140" s="21" t="str">
        <f>IF(COUNTIFS(KPI_Element_Map!$A$2:$A$287,$A140,KPI_Element_Map!$G$2:$G$287,S$1)&gt;0,1,"")</f>
        <v/>
      </c>
      <c r="T140" s="21" t="str">
        <f>IF(COUNTIFS(KPI_Element_Map!$A$2:$A$287,$A140,KPI_Element_Map!$G$2:$G$287,T$1)&gt;0,1,"")</f>
        <v/>
      </c>
      <c r="U140" s="21" t="str">
        <f>IF(COUNTIFS(KPI_Element_Map!$A$2:$A$287,$A140,KPI_Element_Map!$G$2:$G$287,U$1)&gt;0,1,"")</f>
        <v/>
      </c>
      <c r="V140" s="21" t="str">
        <f>IF(COUNTIFS(KPI_Element_Map!$A$2:$A$287,$A140,KPI_Element_Map!$G$2:$G$287,V$1)&gt;0,1,"")</f>
        <v/>
      </c>
      <c r="W140" s="21" t="str">
        <f>IF(COUNTIFS(KPI_Element_Map!$A$2:$A$287,$A140,KPI_Element_Map!$G$2:$G$287,W$1)&gt;0,1,"")</f>
        <v/>
      </c>
      <c r="X140" s="21">
        <f>IF(COUNTIFS(KPI_Element_Map!$A$2:$A$287,$A140,KPI_Element_Map!$G$2:$G$287,X$1)&gt;0,1,"")</f>
        <v>1</v>
      </c>
      <c r="Y140" s="21" t="str">
        <f>IF(COUNTIFS(KPI_Element_Map!$A$2:$A$287,$A140,KPI_Element_Map!$G$2:$G$287,Y$1)&gt;0,1,"")</f>
        <v/>
      </c>
      <c r="Z140" s="21" t="str">
        <f>IF(COUNTIFS(KPI_Element_Map!$A$2:$A$287,$A140,KPI_Element_Map!$G$2:$G$287,Z$1)&gt;0,1,"")</f>
        <v/>
      </c>
      <c r="AA140" s="21" t="str">
        <f>IF(COUNTIFS(KPI_Element_Map!$A$2:$A$287,$A140,KPI_Element_Map!$G$2:$G$287,AA$1)&gt;0,1,"")</f>
        <v/>
      </c>
      <c r="AB140" s="21" t="str">
        <f>IF(COUNTIFS(KPI_Element_Map!$A$2:$A$287,$A140,KPI_Element_Map!$G$2:$G$287,AB$1)&gt;0,1,"")</f>
        <v/>
      </c>
      <c r="AC140" s="21" t="str">
        <f>IF(COUNTIFS(KPI_Element_Map!$A$2:$A$287,$A140,KPI_Element_Map!$G$2:$G$287,AC$1)&gt;0,1,"")</f>
        <v/>
      </c>
      <c r="AD140" s="21" t="str">
        <f>IF(COUNTIFS(KPI_Element_Map!$A$2:$A$287,$A140,KPI_Element_Map!$G$2:$G$287,AD$1)&gt;0,1,"")</f>
        <v/>
      </c>
      <c r="AE140" s="21" t="str">
        <f>IF(COUNTIFS(KPI_Element_Map!$A$2:$A$287,$A140,KPI_Element_Map!$G$2:$G$287,AE$1)&gt;0,1,"")</f>
        <v/>
      </c>
      <c r="AF140" s="21" t="str">
        <f>IF(COUNTIFS(KPI_Element_Map!$A$2:$A$287,$A140,KPI_Element_Map!$G$2:$G$287,AF$1)&gt;0,1,"")</f>
        <v/>
      </c>
      <c r="AG140" s="21" t="str">
        <f>IF(COUNTIFS(KPI_Element_Map!$A$2:$A$287,$A140,KPI_Element_Map!$G$2:$G$287,AG$1)&gt;0,1,"")</f>
        <v/>
      </c>
      <c r="AH140" s="21" t="str">
        <f>IF(COUNTIFS(KPI_Element_Map!$A$2:$A$287,$A140,KPI_Element_Map!$G$2:$G$287,AH$1)&gt;0,1,"")</f>
        <v/>
      </c>
      <c r="AI140" s="21" t="str">
        <f>IF(COUNTIFS(KPI_Element_Map!$A$2:$A$287,$A140,KPI_Element_Map!$G$2:$G$287,AI$1)&gt;0,1,"")</f>
        <v/>
      </c>
      <c r="AJ140" s="21" t="str">
        <f>IF(COUNTIFS(KPI_Element_Map!$A$2:$A$287,$A140,KPI_Element_Map!$G$2:$G$287,AJ$1)&gt;0,1,"")</f>
        <v/>
      </c>
      <c r="AK140" s="21" t="str">
        <f>IF(COUNTIFS(KPI_Element_Map!$A$2:$A$287,$A140,KPI_Element_Map!$G$2:$G$287,AK$1)&gt;0,1,"")</f>
        <v/>
      </c>
    </row>
    <row r="141" spans="1:37">
      <c r="A141" s="21">
        <v>140</v>
      </c>
      <c r="B141" s="23" t="str">
        <f>INDEX(KPI_Master!$B:$B,MATCH($A141,KPI_Master!$A:$A,0))</f>
        <v>QUAC-26</v>
      </c>
      <c r="C141" s="23" t="str">
        <f>INDEX(KPI_Master!$D:$D,MATCH($A141,KPI_Master!$A:$A,0))</f>
        <v>CMS Abuse Icon Status</v>
      </c>
      <c r="D141" s="23" t="str">
        <f>INDEX(KPI_Master!$K:$K,MATCH($A141,KPI_Master!$A:$A,0))</f>
        <v>1 - Core</v>
      </c>
      <c r="E141" s="23" t="str">
        <f t="array" ref="E141">_xlfn.TEXTJOIN(", ",TRUE(),IF(KPI_Element_Map!$A$2:$A$287=$A141,KPI_Element_Map!$E$2:$E$287,""))</f>
        <v>E42</v>
      </c>
      <c r="F141" s="21">
        <f t="shared" si="4"/>
        <v>1</v>
      </c>
      <c r="G141" s="21" t="str">
        <f>IF(COUNTIFS(KPI_Element_Map!$A$2:$A$287,$A141,KPI_Element_Map!$G$2:$G$287,G$1)&gt;0,1,"")</f>
        <v/>
      </c>
      <c r="H141" s="21" t="str">
        <f>IF(COUNTIFS(KPI_Element_Map!$A$2:$A$287,$A141,KPI_Element_Map!$G$2:$G$287,H$1)&gt;0,1,"")</f>
        <v/>
      </c>
      <c r="I141" s="21" t="str">
        <f>IF(COUNTIFS(KPI_Element_Map!$A$2:$A$287,$A141,KPI_Element_Map!$G$2:$G$287,I$1)&gt;0,1,"")</f>
        <v/>
      </c>
      <c r="J141" s="21" t="str">
        <f>IF(COUNTIFS(KPI_Element_Map!$A$2:$A$287,$A141,KPI_Element_Map!$G$2:$G$287,J$1)&gt;0,1,"")</f>
        <v/>
      </c>
      <c r="K141" s="21" t="str">
        <f>IF(COUNTIFS(KPI_Element_Map!$A$2:$A$287,$A141,KPI_Element_Map!$G$2:$G$287,K$1)&gt;0,1,"")</f>
        <v/>
      </c>
      <c r="L141" s="21" t="str">
        <f>IF(COUNTIFS(KPI_Element_Map!$A$2:$A$287,$A141,KPI_Element_Map!$G$2:$G$287,L$1)&gt;0,1,"")</f>
        <v/>
      </c>
      <c r="M141" s="21" t="str">
        <f>IF(COUNTIFS(KPI_Element_Map!$A$2:$A$287,$A141,KPI_Element_Map!$G$2:$G$287,M$1)&gt;0,1,"")</f>
        <v/>
      </c>
      <c r="N141" s="21" t="str">
        <f>IF(COUNTIFS(KPI_Element_Map!$A$2:$A$287,$A141,KPI_Element_Map!$G$2:$G$287,N$1)&gt;0,1,"")</f>
        <v/>
      </c>
      <c r="O141" s="21" t="str">
        <f>IF(COUNTIFS(KPI_Element_Map!$A$2:$A$287,$A141,KPI_Element_Map!$G$2:$G$287,O$1)&gt;0,1,"")</f>
        <v/>
      </c>
      <c r="P141" s="21" t="str">
        <f>IF(COUNTIFS(KPI_Element_Map!$A$2:$A$287,$A141,KPI_Element_Map!$G$2:$G$287,P$1)&gt;0,1,"")</f>
        <v/>
      </c>
      <c r="Q141" s="21" t="str">
        <f>IF(COUNTIFS(KPI_Element_Map!$A$2:$A$287,$A141,KPI_Element_Map!$G$2:$G$287,Q$1)&gt;0,1,"")</f>
        <v/>
      </c>
      <c r="R141" s="21" t="str">
        <f>IF(COUNTIFS(KPI_Element_Map!$A$2:$A$287,$A141,KPI_Element_Map!$G$2:$G$287,R$1)&gt;0,1,"")</f>
        <v/>
      </c>
      <c r="S141" s="21" t="str">
        <f>IF(COUNTIFS(KPI_Element_Map!$A$2:$A$287,$A141,KPI_Element_Map!$G$2:$G$287,S$1)&gt;0,1,"")</f>
        <v/>
      </c>
      <c r="T141" s="21" t="str">
        <f>IF(COUNTIFS(KPI_Element_Map!$A$2:$A$287,$A141,KPI_Element_Map!$G$2:$G$287,T$1)&gt;0,1,"")</f>
        <v/>
      </c>
      <c r="U141" s="21" t="str">
        <f>IF(COUNTIFS(KPI_Element_Map!$A$2:$A$287,$A141,KPI_Element_Map!$G$2:$G$287,U$1)&gt;0,1,"")</f>
        <v/>
      </c>
      <c r="V141" s="21" t="str">
        <f>IF(COUNTIFS(KPI_Element_Map!$A$2:$A$287,$A141,KPI_Element_Map!$G$2:$G$287,V$1)&gt;0,1,"")</f>
        <v/>
      </c>
      <c r="W141" s="21">
        <f>IF(COUNTIFS(KPI_Element_Map!$A$2:$A$287,$A141,KPI_Element_Map!$G$2:$G$287,W$1)&gt;0,1,"")</f>
        <v>1</v>
      </c>
      <c r="X141" s="21" t="str">
        <f>IF(COUNTIFS(KPI_Element_Map!$A$2:$A$287,$A141,KPI_Element_Map!$G$2:$G$287,X$1)&gt;0,1,"")</f>
        <v/>
      </c>
      <c r="Y141" s="21" t="str">
        <f>IF(COUNTIFS(KPI_Element_Map!$A$2:$A$287,$A141,KPI_Element_Map!$G$2:$G$287,Y$1)&gt;0,1,"")</f>
        <v/>
      </c>
      <c r="Z141" s="21" t="str">
        <f>IF(COUNTIFS(KPI_Element_Map!$A$2:$A$287,$A141,KPI_Element_Map!$G$2:$G$287,Z$1)&gt;0,1,"")</f>
        <v/>
      </c>
      <c r="AA141" s="21" t="str">
        <f>IF(COUNTIFS(KPI_Element_Map!$A$2:$A$287,$A141,KPI_Element_Map!$G$2:$G$287,AA$1)&gt;0,1,"")</f>
        <v/>
      </c>
      <c r="AB141" s="21" t="str">
        <f>IF(COUNTIFS(KPI_Element_Map!$A$2:$A$287,$A141,KPI_Element_Map!$G$2:$G$287,AB$1)&gt;0,1,"")</f>
        <v/>
      </c>
      <c r="AC141" s="21" t="str">
        <f>IF(COUNTIFS(KPI_Element_Map!$A$2:$A$287,$A141,KPI_Element_Map!$G$2:$G$287,AC$1)&gt;0,1,"")</f>
        <v/>
      </c>
      <c r="AD141" s="21" t="str">
        <f>IF(COUNTIFS(KPI_Element_Map!$A$2:$A$287,$A141,KPI_Element_Map!$G$2:$G$287,AD$1)&gt;0,1,"")</f>
        <v/>
      </c>
      <c r="AE141" s="21" t="str">
        <f>IF(COUNTIFS(KPI_Element_Map!$A$2:$A$287,$A141,KPI_Element_Map!$G$2:$G$287,AE$1)&gt;0,1,"")</f>
        <v/>
      </c>
      <c r="AF141" s="21" t="str">
        <f>IF(COUNTIFS(KPI_Element_Map!$A$2:$A$287,$A141,KPI_Element_Map!$G$2:$G$287,AF$1)&gt;0,1,"")</f>
        <v/>
      </c>
      <c r="AG141" s="21" t="str">
        <f>IF(COUNTIFS(KPI_Element_Map!$A$2:$A$287,$A141,KPI_Element_Map!$G$2:$G$287,AG$1)&gt;0,1,"")</f>
        <v/>
      </c>
      <c r="AH141" s="21" t="str">
        <f>IF(COUNTIFS(KPI_Element_Map!$A$2:$A$287,$A141,KPI_Element_Map!$G$2:$G$287,AH$1)&gt;0,1,"")</f>
        <v/>
      </c>
      <c r="AI141" s="21" t="str">
        <f>IF(COUNTIFS(KPI_Element_Map!$A$2:$A$287,$A141,KPI_Element_Map!$G$2:$G$287,AI$1)&gt;0,1,"")</f>
        <v/>
      </c>
      <c r="AJ141" s="21" t="str">
        <f>IF(COUNTIFS(KPI_Element_Map!$A$2:$A$287,$A141,KPI_Element_Map!$G$2:$G$287,AJ$1)&gt;0,1,"")</f>
        <v/>
      </c>
      <c r="AK141" s="21" t="str">
        <f>IF(COUNTIFS(KPI_Element_Map!$A$2:$A$287,$A141,KPI_Element_Map!$G$2:$G$287,AK$1)&gt;0,1,"")</f>
        <v/>
      </c>
    </row>
    <row r="142" spans="1:37">
      <c r="A142" s="21">
        <v>141</v>
      </c>
      <c r="B142" s="23" t="str">
        <f>INDEX(KPI_Master!$B:$B,MATCH($A142,KPI_Master!$A:$A,0))</f>
        <v>QUAC-27</v>
      </c>
      <c r="C142" s="23" t="str">
        <f>INDEX(KPI_Master!$D:$D,MATCH($A142,KPI_Master!$A:$A,0))</f>
        <v>Special Focus Facility (SFF) Status</v>
      </c>
      <c r="D142" s="23" t="str">
        <f>INDEX(KPI_Master!$K:$K,MATCH($A142,KPI_Master!$A:$A,0))</f>
        <v>2 - Standard</v>
      </c>
      <c r="E142" s="23" t="str">
        <f t="array" ref="E142">_xlfn.TEXTJOIN(", ",TRUE(),IF(KPI_Element_Map!$A$2:$A$287=$A142,KPI_Element_Map!$E$2:$E$287,""))</f>
        <v>E42</v>
      </c>
      <c r="F142" s="21">
        <f t="shared" si="4"/>
        <v>1</v>
      </c>
      <c r="G142" s="21" t="str">
        <f>IF(COUNTIFS(KPI_Element_Map!$A$2:$A$287,$A142,KPI_Element_Map!$G$2:$G$287,G$1)&gt;0,1,"")</f>
        <v/>
      </c>
      <c r="H142" s="21" t="str">
        <f>IF(COUNTIFS(KPI_Element_Map!$A$2:$A$287,$A142,KPI_Element_Map!$G$2:$G$287,H$1)&gt;0,1,"")</f>
        <v/>
      </c>
      <c r="I142" s="21" t="str">
        <f>IF(COUNTIFS(KPI_Element_Map!$A$2:$A$287,$A142,KPI_Element_Map!$G$2:$G$287,I$1)&gt;0,1,"")</f>
        <v/>
      </c>
      <c r="J142" s="21" t="str">
        <f>IF(COUNTIFS(KPI_Element_Map!$A$2:$A$287,$A142,KPI_Element_Map!$G$2:$G$287,J$1)&gt;0,1,"")</f>
        <v/>
      </c>
      <c r="K142" s="21" t="str">
        <f>IF(COUNTIFS(KPI_Element_Map!$A$2:$A$287,$A142,KPI_Element_Map!$G$2:$G$287,K$1)&gt;0,1,"")</f>
        <v/>
      </c>
      <c r="L142" s="21" t="str">
        <f>IF(COUNTIFS(KPI_Element_Map!$A$2:$A$287,$A142,KPI_Element_Map!$G$2:$G$287,L$1)&gt;0,1,"")</f>
        <v/>
      </c>
      <c r="M142" s="21" t="str">
        <f>IF(COUNTIFS(KPI_Element_Map!$A$2:$A$287,$A142,KPI_Element_Map!$G$2:$G$287,M$1)&gt;0,1,"")</f>
        <v/>
      </c>
      <c r="N142" s="21" t="str">
        <f>IF(COUNTIFS(KPI_Element_Map!$A$2:$A$287,$A142,KPI_Element_Map!$G$2:$G$287,N$1)&gt;0,1,"")</f>
        <v/>
      </c>
      <c r="O142" s="21" t="str">
        <f>IF(COUNTIFS(KPI_Element_Map!$A$2:$A$287,$A142,KPI_Element_Map!$G$2:$G$287,O$1)&gt;0,1,"")</f>
        <v/>
      </c>
      <c r="P142" s="21" t="str">
        <f>IF(COUNTIFS(KPI_Element_Map!$A$2:$A$287,$A142,KPI_Element_Map!$G$2:$G$287,P$1)&gt;0,1,"")</f>
        <v/>
      </c>
      <c r="Q142" s="21" t="str">
        <f>IF(COUNTIFS(KPI_Element_Map!$A$2:$A$287,$A142,KPI_Element_Map!$G$2:$G$287,Q$1)&gt;0,1,"")</f>
        <v/>
      </c>
      <c r="R142" s="21" t="str">
        <f>IF(COUNTIFS(KPI_Element_Map!$A$2:$A$287,$A142,KPI_Element_Map!$G$2:$G$287,R$1)&gt;0,1,"")</f>
        <v/>
      </c>
      <c r="S142" s="21" t="str">
        <f>IF(COUNTIFS(KPI_Element_Map!$A$2:$A$287,$A142,KPI_Element_Map!$G$2:$G$287,S$1)&gt;0,1,"")</f>
        <v/>
      </c>
      <c r="T142" s="21" t="str">
        <f>IF(COUNTIFS(KPI_Element_Map!$A$2:$A$287,$A142,KPI_Element_Map!$G$2:$G$287,T$1)&gt;0,1,"")</f>
        <v/>
      </c>
      <c r="U142" s="21" t="str">
        <f>IF(COUNTIFS(KPI_Element_Map!$A$2:$A$287,$A142,KPI_Element_Map!$G$2:$G$287,U$1)&gt;0,1,"")</f>
        <v/>
      </c>
      <c r="V142" s="21" t="str">
        <f>IF(COUNTIFS(KPI_Element_Map!$A$2:$A$287,$A142,KPI_Element_Map!$G$2:$G$287,V$1)&gt;0,1,"")</f>
        <v/>
      </c>
      <c r="W142" s="21">
        <f>IF(COUNTIFS(KPI_Element_Map!$A$2:$A$287,$A142,KPI_Element_Map!$G$2:$G$287,W$1)&gt;0,1,"")</f>
        <v>1</v>
      </c>
      <c r="X142" s="21" t="str">
        <f>IF(COUNTIFS(KPI_Element_Map!$A$2:$A$287,$A142,KPI_Element_Map!$G$2:$G$287,X$1)&gt;0,1,"")</f>
        <v/>
      </c>
      <c r="Y142" s="21" t="str">
        <f>IF(COUNTIFS(KPI_Element_Map!$A$2:$A$287,$A142,KPI_Element_Map!$G$2:$G$287,Y$1)&gt;0,1,"")</f>
        <v/>
      </c>
      <c r="Z142" s="21" t="str">
        <f>IF(COUNTIFS(KPI_Element_Map!$A$2:$A$287,$A142,KPI_Element_Map!$G$2:$G$287,Z$1)&gt;0,1,"")</f>
        <v/>
      </c>
      <c r="AA142" s="21" t="str">
        <f>IF(COUNTIFS(KPI_Element_Map!$A$2:$A$287,$A142,KPI_Element_Map!$G$2:$G$287,AA$1)&gt;0,1,"")</f>
        <v/>
      </c>
      <c r="AB142" s="21" t="str">
        <f>IF(COUNTIFS(KPI_Element_Map!$A$2:$A$287,$A142,KPI_Element_Map!$G$2:$G$287,AB$1)&gt;0,1,"")</f>
        <v/>
      </c>
      <c r="AC142" s="21" t="str">
        <f>IF(COUNTIFS(KPI_Element_Map!$A$2:$A$287,$A142,KPI_Element_Map!$G$2:$G$287,AC$1)&gt;0,1,"")</f>
        <v/>
      </c>
      <c r="AD142" s="21" t="str">
        <f>IF(COUNTIFS(KPI_Element_Map!$A$2:$A$287,$A142,KPI_Element_Map!$G$2:$G$287,AD$1)&gt;0,1,"")</f>
        <v/>
      </c>
      <c r="AE142" s="21" t="str">
        <f>IF(COUNTIFS(KPI_Element_Map!$A$2:$A$287,$A142,KPI_Element_Map!$G$2:$G$287,AE$1)&gt;0,1,"")</f>
        <v/>
      </c>
      <c r="AF142" s="21" t="str">
        <f>IF(COUNTIFS(KPI_Element_Map!$A$2:$A$287,$A142,KPI_Element_Map!$G$2:$G$287,AF$1)&gt;0,1,"")</f>
        <v/>
      </c>
      <c r="AG142" s="21" t="str">
        <f>IF(COUNTIFS(KPI_Element_Map!$A$2:$A$287,$A142,KPI_Element_Map!$G$2:$G$287,AG$1)&gt;0,1,"")</f>
        <v/>
      </c>
      <c r="AH142" s="21" t="str">
        <f>IF(COUNTIFS(KPI_Element_Map!$A$2:$A$287,$A142,KPI_Element_Map!$G$2:$G$287,AH$1)&gt;0,1,"")</f>
        <v/>
      </c>
      <c r="AI142" s="21" t="str">
        <f>IF(COUNTIFS(KPI_Element_Map!$A$2:$A$287,$A142,KPI_Element_Map!$G$2:$G$287,AI$1)&gt;0,1,"")</f>
        <v/>
      </c>
      <c r="AJ142" s="21" t="str">
        <f>IF(COUNTIFS(KPI_Element_Map!$A$2:$A$287,$A142,KPI_Element_Map!$G$2:$G$287,AJ$1)&gt;0,1,"")</f>
        <v/>
      </c>
      <c r="AK142" s="21" t="str">
        <f>IF(COUNTIFS(KPI_Element_Map!$A$2:$A$287,$A142,KPI_Element_Map!$G$2:$G$287,AK$1)&gt;0,1,"")</f>
        <v/>
      </c>
    </row>
    <row r="143" spans="1:37">
      <c r="A143" s="21">
        <v>142</v>
      </c>
      <c r="B143" s="23" t="str">
        <f>INDEX(KPI_Master!$B:$B,MATCH($A143,KPI_Master!$A:$A,0))</f>
        <v>QUAC-28</v>
      </c>
      <c r="C143" s="23" t="str">
        <f>INDEX(KPI_Master!$D:$D,MATCH($A143,KPI_Master!$A:$A,0))</f>
        <v>PBJ Submission and RN Coverage Exceptions</v>
      </c>
      <c r="D143" s="23" t="str">
        <f>INDEX(KPI_Master!$K:$K,MATCH($A143,KPI_Master!$A:$A,0))</f>
        <v>2 - Standard</v>
      </c>
      <c r="E143" s="23" t="str">
        <f t="array" ref="E143">_xlfn.TEXTJOIN(", ",TRUE(),IF(KPI_Element_Map!$A$2:$A$287=$A143,KPI_Element_Map!$E$2:$E$287,""))</f>
        <v>E29, E42</v>
      </c>
      <c r="F143" s="21">
        <f t="shared" si="4"/>
        <v>2</v>
      </c>
      <c r="G143" s="21" t="str">
        <f>IF(COUNTIFS(KPI_Element_Map!$A$2:$A$287,$A143,KPI_Element_Map!$G$2:$G$287,G$1)&gt;0,1,"")</f>
        <v/>
      </c>
      <c r="H143" s="21" t="str">
        <f>IF(COUNTIFS(KPI_Element_Map!$A$2:$A$287,$A143,KPI_Element_Map!$G$2:$G$287,H$1)&gt;0,1,"")</f>
        <v/>
      </c>
      <c r="I143" s="21" t="str">
        <f>IF(COUNTIFS(KPI_Element_Map!$A$2:$A$287,$A143,KPI_Element_Map!$G$2:$G$287,I$1)&gt;0,1,"")</f>
        <v/>
      </c>
      <c r="J143" s="21" t="str">
        <f>IF(COUNTIFS(KPI_Element_Map!$A$2:$A$287,$A143,KPI_Element_Map!$G$2:$G$287,J$1)&gt;0,1,"")</f>
        <v/>
      </c>
      <c r="K143" s="21" t="str">
        <f>IF(COUNTIFS(KPI_Element_Map!$A$2:$A$287,$A143,KPI_Element_Map!$G$2:$G$287,K$1)&gt;0,1,"")</f>
        <v/>
      </c>
      <c r="L143" s="21" t="str">
        <f>IF(COUNTIFS(KPI_Element_Map!$A$2:$A$287,$A143,KPI_Element_Map!$G$2:$G$287,L$1)&gt;0,1,"")</f>
        <v/>
      </c>
      <c r="M143" s="21">
        <f>IF(COUNTIFS(KPI_Element_Map!$A$2:$A$287,$A143,KPI_Element_Map!$G$2:$G$287,M$1)&gt;0,1,"")</f>
        <v>1</v>
      </c>
      <c r="N143" s="21" t="str">
        <f>IF(COUNTIFS(KPI_Element_Map!$A$2:$A$287,$A143,KPI_Element_Map!$G$2:$G$287,N$1)&gt;0,1,"")</f>
        <v/>
      </c>
      <c r="O143" s="21" t="str">
        <f>IF(COUNTIFS(KPI_Element_Map!$A$2:$A$287,$A143,KPI_Element_Map!$G$2:$G$287,O$1)&gt;0,1,"")</f>
        <v/>
      </c>
      <c r="P143" s="21" t="str">
        <f>IF(COUNTIFS(KPI_Element_Map!$A$2:$A$287,$A143,KPI_Element_Map!$G$2:$G$287,P$1)&gt;0,1,"")</f>
        <v/>
      </c>
      <c r="Q143" s="21" t="str">
        <f>IF(COUNTIFS(KPI_Element_Map!$A$2:$A$287,$A143,KPI_Element_Map!$G$2:$G$287,Q$1)&gt;0,1,"")</f>
        <v/>
      </c>
      <c r="R143" s="21" t="str">
        <f>IF(COUNTIFS(KPI_Element_Map!$A$2:$A$287,$A143,KPI_Element_Map!$G$2:$G$287,R$1)&gt;0,1,"")</f>
        <v/>
      </c>
      <c r="S143" s="21" t="str">
        <f>IF(COUNTIFS(KPI_Element_Map!$A$2:$A$287,$A143,KPI_Element_Map!$G$2:$G$287,S$1)&gt;0,1,"")</f>
        <v/>
      </c>
      <c r="T143" s="21" t="str">
        <f>IF(COUNTIFS(KPI_Element_Map!$A$2:$A$287,$A143,KPI_Element_Map!$G$2:$G$287,T$1)&gt;0,1,"")</f>
        <v/>
      </c>
      <c r="U143" s="21" t="str">
        <f>IF(COUNTIFS(KPI_Element_Map!$A$2:$A$287,$A143,KPI_Element_Map!$G$2:$G$287,U$1)&gt;0,1,"")</f>
        <v/>
      </c>
      <c r="V143" s="21" t="str">
        <f>IF(COUNTIFS(KPI_Element_Map!$A$2:$A$287,$A143,KPI_Element_Map!$G$2:$G$287,V$1)&gt;0,1,"")</f>
        <v/>
      </c>
      <c r="W143" s="21">
        <f>IF(COUNTIFS(KPI_Element_Map!$A$2:$A$287,$A143,KPI_Element_Map!$G$2:$G$287,W$1)&gt;0,1,"")</f>
        <v>1</v>
      </c>
      <c r="X143" s="21" t="str">
        <f>IF(COUNTIFS(KPI_Element_Map!$A$2:$A$287,$A143,KPI_Element_Map!$G$2:$G$287,X$1)&gt;0,1,"")</f>
        <v/>
      </c>
      <c r="Y143" s="21" t="str">
        <f>IF(COUNTIFS(KPI_Element_Map!$A$2:$A$287,$A143,KPI_Element_Map!$G$2:$G$287,Y$1)&gt;0,1,"")</f>
        <v/>
      </c>
      <c r="Z143" s="21" t="str">
        <f>IF(COUNTIFS(KPI_Element_Map!$A$2:$A$287,$A143,KPI_Element_Map!$G$2:$G$287,Z$1)&gt;0,1,"")</f>
        <v/>
      </c>
      <c r="AA143" s="21" t="str">
        <f>IF(COUNTIFS(KPI_Element_Map!$A$2:$A$287,$A143,KPI_Element_Map!$G$2:$G$287,AA$1)&gt;0,1,"")</f>
        <v/>
      </c>
      <c r="AB143" s="21" t="str">
        <f>IF(COUNTIFS(KPI_Element_Map!$A$2:$A$287,$A143,KPI_Element_Map!$G$2:$G$287,AB$1)&gt;0,1,"")</f>
        <v/>
      </c>
      <c r="AC143" s="21" t="str">
        <f>IF(COUNTIFS(KPI_Element_Map!$A$2:$A$287,$A143,KPI_Element_Map!$G$2:$G$287,AC$1)&gt;0,1,"")</f>
        <v/>
      </c>
      <c r="AD143" s="21" t="str">
        <f>IF(COUNTIFS(KPI_Element_Map!$A$2:$A$287,$A143,KPI_Element_Map!$G$2:$G$287,AD$1)&gt;0,1,"")</f>
        <v/>
      </c>
      <c r="AE143" s="21" t="str">
        <f>IF(COUNTIFS(KPI_Element_Map!$A$2:$A$287,$A143,KPI_Element_Map!$G$2:$G$287,AE$1)&gt;0,1,"")</f>
        <v/>
      </c>
      <c r="AF143" s="21" t="str">
        <f>IF(COUNTIFS(KPI_Element_Map!$A$2:$A$287,$A143,KPI_Element_Map!$G$2:$G$287,AF$1)&gt;0,1,"")</f>
        <v/>
      </c>
      <c r="AG143" s="21" t="str">
        <f>IF(COUNTIFS(KPI_Element_Map!$A$2:$A$287,$A143,KPI_Element_Map!$G$2:$G$287,AG$1)&gt;0,1,"")</f>
        <v/>
      </c>
      <c r="AH143" s="21" t="str">
        <f>IF(COUNTIFS(KPI_Element_Map!$A$2:$A$287,$A143,KPI_Element_Map!$G$2:$G$287,AH$1)&gt;0,1,"")</f>
        <v/>
      </c>
      <c r="AI143" s="21" t="str">
        <f>IF(COUNTIFS(KPI_Element_Map!$A$2:$A$287,$A143,KPI_Element_Map!$G$2:$G$287,AI$1)&gt;0,1,"")</f>
        <v/>
      </c>
      <c r="AJ143" s="21" t="str">
        <f>IF(COUNTIFS(KPI_Element_Map!$A$2:$A$287,$A143,KPI_Element_Map!$G$2:$G$287,AJ$1)&gt;0,1,"")</f>
        <v/>
      </c>
      <c r="AK143" s="21" t="str">
        <f>IF(COUNTIFS(KPI_Element_Map!$A$2:$A$287,$A143,KPI_Element_Map!$G$2:$G$287,AK$1)&gt;0,1,"")</f>
        <v/>
      </c>
    </row>
    <row r="144" spans="1:37">
      <c r="A144" s="21">
        <v>143</v>
      </c>
      <c r="B144" s="23" t="str">
        <f>INDEX(KPI_Master!$B:$B,MATCH($A144,KPI_Master!$A:$A,0))</f>
        <v>QUAC-29</v>
      </c>
      <c r="C144" s="23" t="str">
        <f>INDEX(KPI_Master!$D:$D,MATCH($A144,KPI_Master!$A:$A,0))</f>
        <v>Schizophrenia Coding Audit Status</v>
      </c>
      <c r="D144" s="23" t="str">
        <f>INDEX(KPI_Master!$K:$K,MATCH($A144,KPI_Master!$A:$A,0))</f>
        <v>3 - Optional</v>
      </c>
      <c r="E144" s="23" t="str">
        <f t="array" ref="E144">_xlfn.TEXTJOIN(", ",TRUE(),IF(KPI_Element_Map!$A$2:$A$287=$A144,KPI_Element_Map!$E$2:$E$287,""))</f>
        <v>E42</v>
      </c>
      <c r="F144" s="21">
        <f t="shared" si="4"/>
        <v>1</v>
      </c>
      <c r="G144" s="21" t="str">
        <f>IF(COUNTIFS(KPI_Element_Map!$A$2:$A$287,$A144,KPI_Element_Map!$G$2:$G$287,G$1)&gt;0,1,"")</f>
        <v/>
      </c>
      <c r="H144" s="21" t="str">
        <f>IF(COUNTIFS(KPI_Element_Map!$A$2:$A$287,$A144,KPI_Element_Map!$G$2:$G$287,H$1)&gt;0,1,"")</f>
        <v/>
      </c>
      <c r="I144" s="21" t="str">
        <f>IF(COUNTIFS(KPI_Element_Map!$A$2:$A$287,$A144,KPI_Element_Map!$G$2:$G$287,I$1)&gt;0,1,"")</f>
        <v/>
      </c>
      <c r="J144" s="21" t="str">
        <f>IF(COUNTIFS(KPI_Element_Map!$A$2:$A$287,$A144,KPI_Element_Map!$G$2:$G$287,J$1)&gt;0,1,"")</f>
        <v/>
      </c>
      <c r="K144" s="21" t="str">
        <f>IF(COUNTIFS(KPI_Element_Map!$A$2:$A$287,$A144,KPI_Element_Map!$G$2:$G$287,K$1)&gt;0,1,"")</f>
        <v/>
      </c>
      <c r="L144" s="21" t="str">
        <f>IF(COUNTIFS(KPI_Element_Map!$A$2:$A$287,$A144,KPI_Element_Map!$G$2:$G$287,L$1)&gt;0,1,"")</f>
        <v/>
      </c>
      <c r="M144" s="21" t="str">
        <f>IF(COUNTIFS(KPI_Element_Map!$A$2:$A$287,$A144,KPI_Element_Map!$G$2:$G$287,M$1)&gt;0,1,"")</f>
        <v/>
      </c>
      <c r="N144" s="21" t="str">
        <f>IF(COUNTIFS(KPI_Element_Map!$A$2:$A$287,$A144,KPI_Element_Map!$G$2:$G$287,N$1)&gt;0,1,"")</f>
        <v/>
      </c>
      <c r="O144" s="21" t="str">
        <f>IF(COUNTIFS(KPI_Element_Map!$A$2:$A$287,$A144,KPI_Element_Map!$G$2:$G$287,O$1)&gt;0,1,"")</f>
        <v/>
      </c>
      <c r="P144" s="21" t="str">
        <f>IF(COUNTIFS(KPI_Element_Map!$A$2:$A$287,$A144,KPI_Element_Map!$G$2:$G$287,P$1)&gt;0,1,"")</f>
        <v/>
      </c>
      <c r="Q144" s="21" t="str">
        <f>IF(COUNTIFS(KPI_Element_Map!$A$2:$A$287,$A144,KPI_Element_Map!$G$2:$G$287,Q$1)&gt;0,1,"")</f>
        <v/>
      </c>
      <c r="R144" s="21" t="str">
        <f>IF(COUNTIFS(KPI_Element_Map!$A$2:$A$287,$A144,KPI_Element_Map!$G$2:$G$287,R$1)&gt;0,1,"")</f>
        <v/>
      </c>
      <c r="S144" s="21" t="str">
        <f>IF(COUNTIFS(KPI_Element_Map!$A$2:$A$287,$A144,KPI_Element_Map!$G$2:$G$287,S$1)&gt;0,1,"")</f>
        <v/>
      </c>
      <c r="T144" s="21" t="str">
        <f>IF(COUNTIFS(KPI_Element_Map!$A$2:$A$287,$A144,KPI_Element_Map!$G$2:$G$287,T$1)&gt;0,1,"")</f>
        <v/>
      </c>
      <c r="U144" s="21" t="str">
        <f>IF(COUNTIFS(KPI_Element_Map!$A$2:$A$287,$A144,KPI_Element_Map!$G$2:$G$287,U$1)&gt;0,1,"")</f>
        <v/>
      </c>
      <c r="V144" s="21" t="str">
        <f>IF(COUNTIFS(KPI_Element_Map!$A$2:$A$287,$A144,KPI_Element_Map!$G$2:$G$287,V$1)&gt;0,1,"")</f>
        <v/>
      </c>
      <c r="W144" s="21">
        <f>IF(COUNTIFS(KPI_Element_Map!$A$2:$A$287,$A144,KPI_Element_Map!$G$2:$G$287,W$1)&gt;0,1,"")</f>
        <v>1</v>
      </c>
      <c r="X144" s="21" t="str">
        <f>IF(COUNTIFS(KPI_Element_Map!$A$2:$A$287,$A144,KPI_Element_Map!$G$2:$G$287,X$1)&gt;0,1,"")</f>
        <v/>
      </c>
      <c r="Y144" s="21" t="str">
        <f>IF(COUNTIFS(KPI_Element_Map!$A$2:$A$287,$A144,KPI_Element_Map!$G$2:$G$287,Y$1)&gt;0,1,"")</f>
        <v/>
      </c>
      <c r="Z144" s="21" t="str">
        <f>IF(COUNTIFS(KPI_Element_Map!$A$2:$A$287,$A144,KPI_Element_Map!$G$2:$G$287,Z$1)&gt;0,1,"")</f>
        <v/>
      </c>
      <c r="AA144" s="21" t="str">
        <f>IF(COUNTIFS(KPI_Element_Map!$A$2:$A$287,$A144,KPI_Element_Map!$G$2:$G$287,AA$1)&gt;0,1,"")</f>
        <v/>
      </c>
      <c r="AB144" s="21" t="str">
        <f>IF(COUNTIFS(KPI_Element_Map!$A$2:$A$287,$A144,KPI_Element_Map!$G$2:$G$287,AB$1)&gt;0,1,"")</f>
        <v/>
      </c>
      <c r="AC144" s="21" t="str">
        <f>IF(COUNTIFS(KPI_Element_Map!$A$2:$A$287,$A144,KPI_Element_Map!$G$2:$G$287,AC$1)&gt;0,1,"")</f>
        <v/>
      </c>
      <c r="AD144" s="21" t="str">
        <f>IF(COUNTIFS(KPI_Element_Map!$A$2:$A$287,$A144,KPI_Element_Map!$G$2:$G$287,AD$1)&gt;0,1,"")</f>
        <v/>
      </c>
      <c r="AE144" s="21" t="str">
        <f>IF(COUNTIFS(KPI_Element_Map!$A$2:$A$287,$A144,KPI_Element_Map!$G$2:$G$287,AE$1)&gt;0,1,"")</f>
        <v/>
      </c>
      <c r="AF144" s="21" t="str">
        <f>IF(COUNTIFS(KPI_Element_Map!$A$2:$A$287,$A144,KPI_Element_Map!$G$2:$G$287,AF$1)&gt;0,1,"")</f>
        <v/>
      </c>
      <c r="AG144" s="21" t="str">
        <f>IF(COUNTIFS(KPI_Element_Map!$A$2:$A$287,$A144,KPI_Element_Map!$G$2:$G$287,AG$1)&gt;0,1,"")</f>
        <v/>
      </c>
      <c r="AH144" s="21" t="str">
        <f>IF(COUNTIFS(KPI_Element_Map!$A$2:$A$287,$A144,KPI_Element_Map!$G$2:$G$287,AH$1)&gt;0,1,"")</f>
        <v/>
      </c>
      <c r="AI144" s="21" t="str">
        <f>IF(COUNTIFS(KPI_Element_Map!$A$2:$A$287,$A144,KPI_Element_Map!$G$2:$G$287,AI$1)&gt;0,1,"")</f>
        <v/>
      </c>
      <c r="AJ144" s="21" t="str">
        <f>IF(COUNTIFS(KPI_Element_Map!$A$2:$A$287,$A144,KPI_Element_Map!$G$2:$G$287,AJ$1)&gt;0,1,"")</f>
        <v/>
      </c>
      <c r="AK144" s="21" t="str">
        <f>IF(COUNTIFS(KPI_Element_Map!$A$2:$A$287,$A144,KPI_Element_Map!$G$2:$G$287,AK$1)&gt;0,1,"")</f>
        <v/>
      </c>
    </row>
    <row r="145" spans="1:37">
      <c r="A145" s="21">
        <v>144</v>
      </c>
      <c r="B145" s="23" t="str">
        <f>INDEX(KPI_Master!$B:$B,MATCH($A145,KPI_Master!$A:$A,0))</f>
        <v>QUAC-30</v>
      </c>
      <c r="C145" s="23" t="str">
        <f>INDEX(KPI_Master!$D:$D,MATCH($A145,KPI_Master!$A:$A,0))</f>
        <v>Reportable Incident Rate per 1,000 Resident Days</v>
      </c>
      <c r="D145" s="23" t="str">
        <f>INDEX(KPI_Master!$K:$K,MATCH($A145,KPI_Master!$A:$A,0))</f>
        <v>2 - Standard</v>
      </c>
      <c r="E145" s="23" t="str">
        <f t="array" ref="E145">_xlfn.TEXTJOIN(", ",TRUE(),IF(KPI_Element_Map!$A$2:$A$287=$A145,KPI_Element_Map!$E$2:$E$287,""))</f>
        <v>E37, E01</v>
      </c>
      <c r="F145" s="21">
        <f t="shared" si="4"/>
        <v>2</v>
      </c>
      <c r="G145" s="21">
        <f>IF(COUNTIFS(KPI_Element_Map!$A$2:$A$287,$A145,KPI_Element_Map!$G$2:$G$287,G$1)&gt;0,1,"")</f>
        <v>1</v>
      </c>
      <c r="H145" s="21" t="str">
        <f>IF(COUNTIFS(KPI_Element_Map!$A$2:$A$287,$A145,KPI_Element_Map!$G$2:$G$287,H$1)&gt;0,1,"")</f>
        <v/>
      </c>
      <c r="I145" s="21" t="str">
        <f>IF(COUNTIFS(KPI_Element_Map!$A$2:$A$287,$A145,KPI_Element_Map!$G$2:$G$287,I$1)&gt;0,1,"")</f>
        <v/>
      </c>
      <c r="J145" s="21" t="str">
        <f>IF(COUNTIFS(KPI_Element_Map!$A$2:$A$287,$A145,KPI_Element_Map!$G$2:$G$287,J$1)&gt;0,1,"")</f>
        <v/>
      </c>
      <c r="K145" s="21" t="str">
        <f>IF(COUNTIFS(KPI_Element_Map!$A$2:$A$287,$A145,KPI_Element_Map!$G$2:$G$287,K$1)&gt;0,1,"")</f>
        <v/>
      </c>
      <c r="L145" s="21" t="str">
        <f>IF(COUNTIFS(KPI_Element_Map!$A$2:$A$287,$A145,KPI_Element_Map!$G$2:$G$287,L$1)&gt;0,1,"")</f>
        <v/>
      </c>
      <c r="M145" s="21" t="str">
        <f>IF(COUNTIFS(KPI_Element_Map!$A$2:$A$287,$A145,KPI_Element_Map!$G$2:$G$287,M$1)&gt;0,1,"")</f>
        <v/>
      </c>
      <c r="N145" s="21" t="str">
        <f>IF(COUNTIFS(KPI_Element_Map!$A$2:$A$287,$A145,KPI_Element_Map!$G$2:$G$287,N$1)&gt;0,1,"")</f>
        <v/>
      </c>
      <c r="O145" s="21" t="str">
        <f>IF(COUNTIFS(KPI_Element_Map!$A$2:$A$287,$A145,KPI_Element_Map!$G$2:$G$287,O$1)&gt;0,1,"")</f>
        <v/>
      </c>
      <c r="P145" s="21" t="str">
        <f>IF(COUNTIFS(KPI_Element_Map!$A$2:$A$287,$A145,KPI_Element_Map!$G$2:$G$287,P$1)&gt;0,1,"")</f>
        <v/>
      </c>
      <c r="Q145" s="21" t="str">
        <f>IF(COUNTIFS(KPI_Element_Map!$A$2:$A$287,$A145,KPI_Element_Map!$G$2:$G$287,Q$1)&gt;0,1,"")</f>
        <v/>
      </c>
      <c r="R145" s="21" t="str">
        <f>IF(COUNTIFS(KPI_Element_Map!$A$2:$A$287,$A145,KPI_Element_Map!$G$2:$G$287,R$1)&gt;0,1,"")</f>
        <v/>
      </c>
      <c r="S145" s="21">
        <f>IF(COUNTIFS(KPI_Element_Map!$A$2:$A$287,$A145,KPI_Element_Map!$G$2:$G$287,S$1)&gt;0,1,"")</f>
        <v>1</v>
      </c>
      <c r="T145" s="21" t="str">
        <f>IF(COUNTIFS(KPI_Element_Map!$A$2:$A$287,$A145,KPI_Element_Map!$G$2:$G$287,T$1)&gt;0,1,"")</f>
        <v/>
      </c>
      <c r="U145" s="21" t="str">
        <f>IF(COUNTIFS(KPI_Element_Map!$A$2:$A$287,$A145,KPI_Element_Map!$G$2:$G$287,U$1)&gt;0,1,"")</f>
        <v/>
      </c>
      <c r="V145" s="21" t="str">
        <f>IF(COUNTIFS(KPI_Element_Map!$A$2:$A$287,$A145,KPI_Element_Map!$G$2:$G$287,V$1)&gt;0,1,"")</f>
        <v/>
      </c>
      <c r="W145" s="21" t="str">
        <f>IF(COUNTIFS(KPI_Element_Map!$A$2:$A$287,$A145,KPI_Element_Map!$G$2:$G$287,W$1)&gt;0,1,"")</f>
        <v/>
      </c>
      <c r="X145" s="21" t="str">
        <f>IF(COUNTIFS(KPI_Element_Map!$A$2:$A$287,$A145,KPI_Element_Map!$G$2:$G$287,X$1)&gt;0,1,"")</f>
        <v/>
      </c>
      <c r="Y145" s="21" t="str">
        <f>IF(COUNTIFS(KPI_Element_Map!$A$2:$A$287,$A145,KPI_Element_Map!$G$2:$G$287,Y$1)&gt;0,1,"")</f>
        <v/>
      </c>
      <c r="Z145" s="21" t="str">
        <f>IF(COUNTIFS(KPI_Element_Map!$A$2:$A$287,$A145,KPI_Element_Map!$G$2:$G$287,Z$1)&gt;0,1,"")</f>
        <v/>
      </c>
      <c r="AA145" s="21" t="str">
        <f>IF(COUNTIFS(KPI_Element_Map!$A$2:$A$287,$A145,KPI_Element_Map!$G$2:$G$287,AA$1)&gt;0,1,"")</f>
        <v/>
      </c>
      <c r="AB145" s="21" t="str">
        <f>IF(COUNTIFS(KPI_Element_Map!$A$2:$A$287,$A145,KPI_Element_Map!$G$2:$G$287,AB$1)&gt;0,1,"")</f>
        <v/>
      </c>
      <c r="AC145" s="21" t="str">
        <f>IF(COUNTIFS(KPI_Element_Map!$A$2:$A$287,$A145,KPI_Element_Map!$G$2:$G$287,AC$1)&gt;0,1,"")</f>
        <v/>
      </c>
      <c r="AD145" s="21" t="str">
        <f>IF(COUNTIFS(KPI_Element_Map!$A$2:$A$287,$A145,KPI_Element_Map!$G$2:$G$287,AD$1)&gt;0,1,"")</f>
        <v/>
      </c>
      <c r="AE145" s="21" t="str">
        <f>IF(COUNTIFS(KPI_Element_Map!$A$2:$A$287,$A145,KPI_Element_Map!$G$2:$G$287,AE$1)&gt;0,1,"")</f>
        <v/>
      </c>
      <c r="AF145" s="21" t="str">
        <f>IF(COUNTIFS(KPI_Element_Map!$A$2:$A$287,$A145,KPI_Element_Map!$G$2:$G$287,AF$1)&gt;0,1,"")</f>
        <v/>
      </c>
      <c r="AG145" s="21" t="str">
        <f>IF(COUNTIFS(KPI_Element_Map!$A$2:$A$287,$A145,KPI_Element_Map!$G$2:$G$287,AG$1)&gt;0,1,"")</f>
        <v/>
      </c>
      <c r="AH145" s="21" t="str">
        <f>IF(COUNTIFS(KPI_Element_Map!$A$2:$A$287,$A145,KPI_Element_Map!$G$2:$G$287,AH$1)&gt;0,1,"")</f>
        <v/>
      </c>
      <c r="AI145" s="21" t="str">
        <f>IF(COUNTIFS(KPI_Element_Map!$A$2:$A$287,$A145,KPI_Element_Map!$G$2:$G$287,AI$1)&gt;0,1,"")</f>
        <v/>
      </c>
      <c r="AJ145" s="21" t="str">
        <f>IF(COUNTIFS(KPI_Element_Map!$A$2:$A$287,$A145,KPI_Element_Map!$G$2:$G$287,AJ$1)&gt;0,1,"")</f>
        <v/>
      </c>
      <c r="AK145" s="21" t="str">
        <f>IF(COUNTIFS(KPI_Element_Map!$A$2:$A$287,$A145,KPI_Element_Map!$G$2:$G$287,AK$1)&gt;0,1,"")</f>
        <v/>
      </c>
    </row>
    <row r="146" spans="1:37">
      <c r="A146" s="21">
        <v>145</v>
      </c>
      <c r="B146" s="23" t="str">
        <f>INDEX(KPI_Master!$B:$B,MATCH($A146,KPI_Master!$A:$A,0))</f>
        <v>REHT-04</v>
      </c>
      <c r="C146" s="23" t="str">
        <f>INDEX(KPI_Master!$D:$D,MATCH($A146,KPI_Master!$A:$A,0))</f>
        <v>Functional Improvement Rate</v>
      </c>
      <c r="D146" s="23" t="str">
        <f>INDEX(KPI_Master!$K:$K,MATCH($A146,KPI_Master!$A:$A,0))</f>
        <v>1 - Core</v>
      </c>
      <c r="E146" s="23" t="str">
        <f t="array" ref="E146">_xlfn.TEXTJOIN(", ",TRUE(),IF(KPI_Element_Map!$A$2:$A$287=$A146,KPI_Element_Map!$E$2:$E$287,""))</f>
        <v>E46</v>
      </c>
      <c r="F146" s="21">
        <f t="shared" si="4"/>
        <v>1</v>
      </c>
      <c r="G146" s="21" t="str">
        <f>IF(COUNTIFS(KPI_Element_Map!$A$2:$A$287,$A146,KPI_Element_Map!$G$2:$G$287,G$1)&gt;0,1,"")</f>
        <v/>
      </c>
      <c r="H146" s="21" t="str">
        <f>IF(COUNTIFS(KPI_Element_Map!$A$2:$A$287,$A146,KPI_Element_Map!$G$2:$G$287,H$1)&gt;0,1,"")</f>
        <v/>
      </c>
      <c r="I146" s="21" t="str">
        <f>IF(COUNTIFS(KPI_Element_Map!$A$2:$A$287,$A146,KPI_Element_Map!$G$2:$G$287,I$1)&gt;0,1,"")</f>
        <v/>
      </c>
      <c r="J146" s="21" t="str">
        <f>IF(COUNTIFS(KPI_Element_Map!$A$2:$A$287,$A146,KPI_Element_Map!$G$2:$G$287,J$1)&gt;0,1,"")</f>
        <v/>
      </c>
      <c r="K146" s="21" t="str">
        <f>IF(COUNTIFS(KPI_Element_Map!$A$2:$A$287,$A146,KPI_Element_Map!$G$2:$G$287,K$1)&gt;0,1,"")</f>
        <v/>
      </c>
      <c r="L146" s="21" t="str">
        <f>IF(COUNTIFS(KPI_Element_Map!$A$2:$A$287,$A146,KPI_Element_Map!$G$2:$G$287,L$1)&gt;0,1,"")</f>
        <v/>
      </c>
      <c r="M146" s="21" t="str">
        <f>IF(COUNTIFS(KPI_Element_Map!$A$2:$A$287,$A146,KPI_Element_Map!$G$2:$G$287,M$1)&gt;0,1,"")</f>
        <v/>
      </c>
      <c r="N146" s="21" t="str">
        <f>IF(COUNTIFS(KPI_Element_Map!$A$2:$A$287,$A146,KPI_Element_Map!$G$2:$G$287,N$1)&gt;0,1,"")</f>
        <v/>
      </c>
      <c r="O146" s="21" t="str">
        <f>IF(COUNTIFS(KPI_Element_Map!$A$2:$A$287,$A146,KPI_Element_Map!$G$2:$G$287,O$1)&gt;0,1,"")</f>
        <v/>
      </c>
      <c r="P146" s="21" t="str">
        <f>IF(COUNTIFS(KPI_Element_Map!$A$2:$A$287,$A146,KPI_Element_Map!$G$2:$G$287,P$1)&gt;0,1,"")</f>
        <v/>
      </c>
      <c r="Q146" s="21" t="str">
        <f>IF(COUNTIFS(KPI_Element_Map!$A$2:$A$287,$A146,KPI_Element_Map!$G$2:$G$287,Q$1)&gt;0,1,"")</f>
        <v/>
      </c>
      <c r="R146" s="21" t="str">
        <f>IF(COUNTIFS(KPI_Element_Map!$A$2:$A$287,$A146,KPI_Element_Map!$G$2:$G$287,R$1)&gt;0,1,"")</f>
        <v/>
      </c>
      <c r="S146" s="21" t="str">
        <f>IF(COUNTIFS(KPI_Element_Map!$A$2:$A$287,$A146,KPI_Element_Map!$G$2:$G$287,S$1)&gt;0,1,"")</f>
        <v/>
      </c>
      <c r="T146" s="21" t="str">
        <f>IF(COUNTIFS(KPI_Element_Map!$A$2:$A$287,$A146,KPI_Element_Map!$G$2:$G$287,T$1)&gt;0,1,"")</f>
        <v/>
      </c>
      <c r="U146" s="21" t="str">
        <f>IF(COUNTIFS(KPI_Element_Map!$A$2:$A$287,$A146,KPI_Element_Map!$G$2:$G$287,U$1)&gt;0,1,"")</f>
        <v/>
      </c>
      <c r="V146" s="21" t="str">
        <f>IF(COUNTIFS(KPI_Element_Map!$A$2:$A$287,$A146,KPI_Element_Map!$G$2:$G$287,V$1)&gt;0,1,"")</f>
        <v/>
      </c>
      <c r="W146" s="21" t="str">
        <f>IF(COUNTIFS(KPI_Element_Map!$A$2:$A$287,$A146,KPI_Element_Map!$G$2:$G$287,W$1)&gt;0,1,"")</f>
        <v/>
      </c>
      <c r="X146" s="21" t="str">
        <f>IF(COUNTIFS(KPI_Element_Map!$A$2:$A$287,$A146,KPI_Element_Map!$G$2:$G$287,X$1)&gt;0,1,"")</f>
        <v/>
      </c>
      <c r="Y146" s="21" t="str">
        <f>IF(COUNTIFS(KPI_Element_Map!$A$2:$A$287,$A146,KPI_Element_Map!$G$2:$G$287,Y$1)&gt;0,1,"")</f>
        <v/>
      </c>
      <c r="Z146" s="21" t="str">
        <f>IF(COUNTIFS(KPI_Element_Map!$A$2:$A$287,$A146,KPI_Element_Map!$G$2:$G$287,Z$1)&gt;0,1,"")</f>
        <v/>
      </c>
      <c r="AA146" s="21">
        <f>IF(COUNTIFS(KPI_Element_Map!$A$2:$A$287,$A146,KPI_Element_Map!$G$2:$G$287,AA$1)&gt;0,1,"")</f>
        <v>1</v>
      </c>
      <c r="AB146" s="21" t="str">
        <f>IF(COUNTIFS(KPI_Element_Map!$A$2:$A$287,$A146,KPI_Element_Map!$G$2:$G$287,AB$1)&gt;0,1,"")</f>
        <v/>
      </c>
      <c r="AC146" s="21" t="str">
        <f>IF(COUNTIFS(KPI_Element_Map!$A$2:$A$287,$A146,KPI_Element_Map!$G$2:$G$287,AC$1)&gt;0,1,"")</f>
        <v/>
      </c>
      <c r="AD146" s="21" t="str">
        <f>IF(COUNTIFS(KPI_Element_Map!$A$2:$A$287,$A146,KPI_Element_Map!$G$2:$G$287,AD$1)&gt;0,1,"")</f>
        <v/>
      </c>
      <c r="AE146" s="21" t="str">
        <f>IF(COUNTIFS(KPI_Element_Map!$A$2:$A$287,$A146,KPI_Element_Map!$G$2:$G$287,AE$1)&gt;0,1,"")</f>
        <v/>
      </c>
      <c r="AF146" s="21" t="str">
        <f>IF(COUNTIFS(KPI_Element_Map!$A$2:$A$287,$A146,KPI_Element_Map!$G$2:$G$287,AF$1)&gt;0,1,"")</f>
        <v/>
      </c>
      <c r="AG146" s="21" t="str">
        <f>IF(COUNTIFS(KPI_Element_Map!$A$2:$A$287,$A146,KPI_Element_Map!$G$2:$G$287,AG$1)&gt;0,1,"")</f>
        <v/>
      </c>
      <c r="AH146" s="21" t="str">
        <f>IF(COUNTIFS(KPI_Element_Map!$A$2:$A$287,$A146,KPI_Element_Map!$G$2:$G$287,AH$1)&gt;0,1,"")</f>
        <v/>
      </c>
      <c r="AI146" s="21" t="str">
        <f>IF(COUNTIFS(KPI_Element_Map!$A$2:$A$287,$A146,KPI_Element_Map!$G$2:$G$287,AI$1)&gt;0,1,"")</f>
        <v/>
      </c>
      <c r="AJ146" s="21" t="str">
        <f>IF(COUNTIFS(KPI_Element_Map!$A$2:$A$287,$A146,KPI_Element_Map!$G$2:$G$287,AJ$1)&gt;0,1,"")</f>
        <v/>
      </c>
      <c r="AK146" s="21" t="str">
        <f>IF(COUNTIFS(KPI_Element_Map!$A$2:$A$287,$A146,KPI_Element_Map!$G$2:$G$287,AK$1)&gt;0,1,"")</f>
        <v/>
      </c>
    </row>
    <row r="147" spans="1:37">
      <c r="A147" s="21">
        <v>146</v>
      </c>
      <c r="B147" s="23" t="str">
        <f>INDEX(KPI_Master!$B:$B,MATCH($A147,KPI_Master!$A:$A,0))</f>
        <v>RESE-01</v>
      </c>
      <c r="C147" s="23" t="str">
        <f>INDEX(KPI_Master!$D:$D,MATCH($A147,KPI_Master!$A:$A,0))</f>
        <v>Resident Satisfaction Score (Overall)</v>
      </c>
      <c r="D147" s="23" t="str">
        <f>INDEX(KPI_Master!$K:$K,MATCH($A147,KPI_Master!$A:$A,0))</f>
        <v>1 - Core</v>
      </c>
      <c r="E147" s="23" t="str">
        <f t="array" ref="E147">_xlfn.TEXTJOIN(", ",TRUE(),IF(KPI_Element_Map!$A$2:$A$287=$A147,KPI_Element_Map!$E$2:$E$287,""))</f>
        <v>E36</v>
      </c>
      <c r="F147" s="21">
        <f t="shared" si="4"/>
        <v>1</v>
      </c>
      <c r="G147" s="21" t="str">
        <f>IF(COUNTIFS(KPI_Element_Map!$A$2:$A$287,$A147,KPI_Element_Map!$G$2:$G$287,G$1)&gt;0,1,"")</f>
        <v/>
      </c>
      <c r="H147" s="21" t="str">
        <f>IF(COUNTIFS(KPI_Element_Map!$A$2:$A$287,$A147,KPI_Element_Map!$G$2:$G$287,H$1)&gt;0,1,"")</f>
        <v/>
      </c>
      <c r="I147" s="21" t="str">
        <f>IF(COUNTIFS(KPI_Element_Map!$A$2:$A$287,$A147,KPI_Element_Map!$G$2:$G$287,I$1)&gt;0,1,"")</f>
        <v/>
      </c>
      <c r="J147" s="21" t="str">
        <f>IF(COUNTIFS(KPI_Element_Map!$A$2:$A$287,$A147,KPI_Element_Map!$G$2:$G$287,J$1)&gt;0,1,"")</f>
        <v/>
      </c>
      <c r="K147" s="21" t="str">
        <f>IF(COUNTIFS(KPI_Element_Map!$A$2:$A$287,$A147,KPI_Element_Map!$G$2:$G$287,K$1)&gt;0,1,"")</f>
        <v/>
      </c>
      <c r="L147" s="21" t="str">
        <f>IF(COUNTIFS(KPI_Element_Map!$A$2:$A$287,$A147,KPI_Element_Map!$G$2:$G$287,L$1)&gt;0,1,"")</f>
        <v/>
      </c>
      <c r="M147" s="21" t="str">
        <f>IF(COUNTIFS(KPI_Element_Map!$A$2:$A$287,$A147,KPI_Element_Map!$G$2:$G$287,M$1)&gt;0,1,"")</f>
        <v/>
      </c>
      <c r="N147" s="21" t="str">
        <f>IF(COUNTIFS(KPI_Element_Map!$A$2:$A$287,$A147,KPI_Element_Map!$G$2:$G$287,N$1)&gt;0,1,"")</f>
        <v/>
      </c>
      <c r="O147" s="21" t="str">
        <f>IF(COUNTIFS(KPI_Element_Map!$A$2:$A$287,$A147,KPI_Element_Map!$G$2:$G$287,O$1)&gt;0,1,"")</f>
        <v/>
      </c>
      <c r="P147" s="21" t="str">
        <f>IF(COUNTIFS(KPI_Element_Map!$A$2:$A$287,$A147,KPI_Element_Map!$G$2:$G$287,P$1)&gt;0,1,"")</f>
        <v/>
      </c>
      <c r="Q147" s="21" t="str">
        <f>IF(COUNTIFS(KPI_Element_Map!$A$2:$A$287,$A147,KPI_Element_Map!$G$2:$G$287,Q$1)&gt;0,1,"")</f>
        <v/>
      </c>
      <c r="R147" s="21">
        <f>IF(COUNTIFS(KPI_Element_Map!$A$2:$A$287,$A147,KPI_Element_Map!$G$2:$G$287,R$1)&gt;0,1,"")</f>
        <v>1</v>
      </c>
      <c r="S147" s="21" t="str">
        <f>IF(COUNTIFS(KPI_Element_Map!$A$2:$A$287,$A147,KPI_Element_Map!$G$2:$G$287,S$1)&gt;0,1,"")</f>
        <v/>
      </c>
      <c r="T147" s="21" t="str">
        <f>IF(COUNTIFS(KPI_Element_Map!$A$2:$A$287,$A147,KPI_Element_Map!$G$2:$G$287,T$1)&gt;0,1,"")</f>
        <v/>
      </c>
      <c r="U147" s="21" t="str">
        <f>IF(COUNTIFS(KPI_Element_Map!$A$2:$A$287,$A147,KPI_Element_Map!$G$2:$G$287,U$1)&gt;0,1,"")</f>
        <v/>
      </c>
      <c r="V147" s="21" t="str">
        <f>IF(COUNTIFS(KPI_Element_Map!$A$2:$A$287,$A147,KPI_Element_Map!$G$2:$G$287,V$1)&gt;0,1,"")</f>
        <v/>
      </c>
      <c r="W147" s="21" t="str">
        <f>IF(COUNTIFS(KPI_Element_Map!$A$2:$A$287,$A147,KPI_Element_Map!$G$2:$G$287,W$1)&gt;0,1,"")</f>
        <v/>
      </c>
      <c r="X147" s="21" t="str">
        <f>IF(COUNTIFS(KPI_Element_Map!$A$2:$A$287,$A147,KPI_Element_Map!$G$2:$G$287,X$1)&gt;0,1,"")</f>
        <v/>
      </c>
      <c r="Y147" s="21" t="str">
        <f>IF(COUNTIFS(KPI_Element_Map!$A$2:$A$287,$A147,KPI_Element_Map!$G$2:$G$287,Y$1)&gt;0,1,"")</f>
        <v/>
      </c>
      <c r="Z147" s="21" t="str">
        <f>IF(COUNTIFS(KPI_Element_Map!$A$2:$A$287,$A147,KPI_Element_Map!$G$2:$G$287,Z$1)&gt;0,1,"")</f>
        <v/>
      </c>
      <c r="AA147" s="21" t="str">
        <f>IF(COUNTIFS(KPI_Element_Map!$A$2:$A$287,$A147,KPI_Element_Map!$G$2:$G$287,AA$1)&gt;0,1,"")</f>
        <v/>
      </c>
      <c r="AB147" s="21" t="str">
        <f>IF(COUNTIFS(KPI_Element_Map!$A$2:$A$287,$A147,KPI_Element_Map!$G$2:$G$287,AB$1)&gt;0,1,"")</f>
        <v/>
      </c>
      <c r="AC147" s="21" t="str">
        <f>IF(COUNTIFS(KPI_Element_Map!$A$2:$A$287,$A147,KPI_Element_Map!$G$2:$G$287,AC$1)&gt;0,1,"")</f>
        <v/>
      </c>
      <c r="AD147" s="21" t="str">
        <f>IF(COUNTIFS(KPI_Element_Map!$A$2:$A$287,$A147,KPI_Element_Map!$G$2:$G$287,AD$1)&gt;0,1,"")</f>
        <v/>
      </c>
      <c r="AE147" s="21" t="str">
        <f>IF(COUNTIFS(KPI_Element_Map!$A$2:$A$287,$A147,KPI_Element_Map!$G$2:$G$287,AE$1)&gt;0,1,"")</f>
        <v/>
      </c>
      <c r="AF147" s="21" t="str">
        <f>IF(COUNTIFS(KPI_Element_Map!$A$2:$A$287,$A147,KPI_Element_Map!$G$2:$G$287,AF$1)&gt;0,1,"")</f>
        <v/>
      </c>
      <c r="AG147" s="21" t="str">
        <f>IF(COUNTIFS(KPI_Element_Map!$A$2:$A$287,$A147,KPI_Element_Map!$G$2:$G$287,AG$1)&gt;0,1,"")</f>
        <v/>
      </c>
      <c r="AH147" s="21" t="str">
        <f>IF(COUNTIFS(KPI_Element_Map!$A$2:$A$287,$A147,KPI_Element_Map!$G$2:$G$287,AH$1)&gt;0,1,"")</f>
        <v/>
      </c>
      <c r="AI147" s="21" t="str">
        <f>IF(COUNTIFS(KPI_Element_Map!$A$2:$A$287,$A147,KPI_Element_Map!$G$2:$G$287,AI$1)&gt;0,1,"")</f>
        <v/>
      </c>
      <c r="AJ147" s="21" t="str">
        <f>IF(COUNTIFS(KPI_Element_Map!$A$2:$A$287,$A147,KPI_Element_Map!$G$2:$G$287,AJ$1)&gt;0,1,"")</f>
        <v/>
      </c>
      <c r="AK147" s="21" t="str">
        <f>IF(COUNTIFS(KPI_Element_Map!$A$2:$A$287,$A147,KPI_Element_Map!$G$2:$G$287,AK$1)&gt;0,1,"")</f>
        <v/>
      </c>
    </row>
    <row r="148" spans="1:37">
      <c r="A148" s="21">
        <v>147</v>
      </c>
      <c r="B148" s="23" t="str">
        <f>INDEX(KPI_Master!$B:$B,MATCH($A148,KPI_Master!$A:$A,0))</f>
        <v>RESE-03</v>
      </c>
      <c r="C148" s="23" t="str">
        <f>INDEX(KPI_Master!$D:$D,MATCH($A148,KPI_Master!$A:$A,0))</f>
        <v>Family Satisfaction Score</v>
      </c>
      <c r="D148" s="23" t="str">
        <f>INDEX(KPI_Master!$K:$K,MATCH($A148,KPI_Master!$A:$A,0))</f>
        <v>1 - Core</v>
      </c>
      <c r="E148" s="23" t="str">
        <f t="array" ref="E148">_xlfn.TEXTJOIN(", ",TRUE(),IF(KPI_Element_Map!$A$2:$A$287=$A148,KPI_Element_Map!$E$2:$E$287,""))</f>
        <v>E36</v>
      </c>
      <c r="F148" s="21">
        <f t="shared" si="4"/>
        <v>1</v>
      </c>
      <c r="G148" s="21" t="str">
        <f>IF(COUNTIFS(KPI_Element_Map!$A$2:$A$287,$A148,KPI_Element_Map!$G$2:$G$287,G$1)&gt;0,1,"")</f>
        <v/>
      </c>
      <c r="H148" s="21" t="str">
        <f>IF(COUNTIFS(KPI_Element_Map!$A$2:$A$287,$A148,KPI_Element_Map!$G$2:$G$287,H$1)&gt;0,1,"")</f>
        <v/>
      </c>
      <c r="I148" s="21" t="str">
        <f>IF(COUNTIFS(KPI_Element_Map!$A$2:$A$287,$A148,KPI_Element_Map!$G$2:$G$287,I$1)&gt;0,1,"")</f>
        <v/>
      </c>
      <c r="J148" s="21" t="str">
        <f>IF(COUNTIFS(KPI_Element_Map!$A$2:$A$287,$A148,KPI_Element_Map!$G$2:$G$287,J$1)&gt;0,1,"")</f>
        <v/>
      </c>
      <c r="K148" s="21" t="str">
        <f>IF(COUNTIFS(KPI_Element_Map!$A$2:$A$287,$A148,KPI_Element_Map!$G$2:$G$287,K$1)&gt;0,1,"")</f>
        <v/>
      </c>
      <c r="L148" s="21" t="str">
        <f>IF(COUNTIFS(KPI_Element_Map!$A$2:$A$287,$A148,KPI_Element_Map!$G$2:$G$287,L$1)&gt;0,1,"")</f>
        <v/>
      </c>
      <c r="M148" s="21" t="str">
        <f>IF(COUNTIFS(KPI_Element_Map!$A$2:$A$287,$A148,KPI_Element_Map!$G$2:$G$287,M$1)&gt;0,1,"")</f>
        <v/>
      </c>
      <c r="N148" s="21" t="str">
        <f>IF(COUNTIFS(KPI_Element_Map!$A$2:$A$287,$A148,KPI_Element_Map!$G$2:$G$287,N$1)&gt;0,1,"")</f>
        <v/>
      </c>
      <c r="O148" s="21" t="str">
        <f>IF(COUNTIFS(KPI_Element_Map!$A$2:$A$287,$A148,KPI_Element_Map!$G$2:$G$287,O$1)&gt;0,1,"")</f>
        <v/>
      </c>
      <c r="P148" s="21" t="str">
        <f>IF(COUNTIFS(KPI_Element_Map!$A$2:$A$287,$A148,KPI_Element_Map!$G$2:$G$287,P$1)&gt;0,1,"")</f>
        <v/>
      </c>
      <c r="Q148" s="21" t="str">
        <f>IF(COUNTIFS(KPI_Element_Map!$A$2:$A$287,$A148,KPI_Element_Map!$G$2:$G$287,Q$1)&gt;0,1,"")</f>
        <v/>
      </c>
      <c r="R148" s="21">
        <f>IF(COUNTIFS(KPI_Element_Map!$A$2:$A$287,$A148,KPI_Element_Map!$G$2:$G$287,R$1)&gt;0,1,"")</f>
        <v>1</v>
      </c>
      <c r="S148" s="21" t="str">
        <f>IF(COUNTIFS(KPI_Element_Map!$A$2:$A$287,$A148,KPI_Element_Map!$G$2:$G$287,S$1)&gt;0,1,"")</f>
        <v/>
      </c>
      <c r="T148" s="21" t="str">
        <f>IF(COUNTIFS(KPI_Element_Map!$A$2:$A$287,$A148,KPI_Element_Map!$G$2:$G$287,T$1)&gt;0,1,"")</f>
        <v/>
      </c>
      <c r="U148" s="21" t="str">
        <f>IF(COUNTIFS(KPI_Element_Map!$A$2:$A$287,$A148,KPI_Element_Map!$G$2:$G$287,U$1)&gt;0,1,"")</f>
        <v/>
      </c>
      <c r="V148" s="21" t="str">
        <f>IF(COUNTIFS(KPI_Element_Map!$A$2:$A$287,$A148,KPI_Element_Map!$G$2:$G$287,V$1)&gt;0,1,"")</f>
        <v/>
      </c>
      <c r="W148" s="21" t="str">
        <f>IF(COUNTIFS(KPI_Element_Map!$A$2:$A$287,$A148,KPI_Element_Map!$G$2:$G$287,W$1)&gt;0,1,"")</f>
        <v/>
      </c>
      <c r="X148" s="21" t="str">
        <f>IF(COUNTIFS(KPI_Element_Map!$A$2:$A$287,$A148,KPI_Element_Map!$G$2:$G$287,X$1)&gt;0,1,"")</f>
        <v/>
      </c>
      <c r="Y148" s="21" t="str">
        <f>IF(COUNTIFS(KPI_Element_Map!$A$2:$A$287,$A148,KPI_Element_Map!$G$2:$G$287,Y$1)&gt;0,1,"")</f>
        <v/>
      </c>
      <c r="Z148" s="21" t="str">
        <f>IF(COUNTIFS(KPI_Element_Map!$A$2:$A$287,$A148,KPI_Element_Map!$G$2:$G$287,Z$1)&gt;0,1,"")</f>
        <v/>
      </c>
      <c r="AA148" s="21" t="str">
        <f>IF(COUNTIFS(KPI_Element_Map!$A$2:$A$287,$A148,KPI_Element_Map!$G$2:$G$287,AA$1)&gt;0,1,"")</f>
        <v/>
      </c>
      <c r="AB148" s="21" t="str">
        <f>IF(COUNTIFS(KPI_Element_Map!$A$2:$A$287,$A148,KPI_Element_Map!$G$2:$G$287,AB$1)&gt;0,1,"")</f>
        <v/>
      </c>
      <c r="AC148" s="21" t="str">
        <f>IF(COUNTIFS(KPI_Element_Map!$A$2:$A$287,$A148,KPI_Element_Map!$G$2:$G$287,AC$1)&gt;0,1,"")</f>
        <v/>
      </c>
      <c r="AD148" s="21" t="str">
        <f>IF(COUNTIFS(KPI_Element_Map!$A$2:$A$287,$A148,KPI_Element_Map!$G$2:$G$287,AD$1)&gt;0,1,"")</f>
        <v/>
      </c>
      <c r="AE148" s="21" t="str">
        <f>IF(COUNTIFS(KPI_Element_Map!$A$2:$A$287,$A148,KPI_Element_Map!$G$2:$G$287,AE$1)&gt;0,1,"")</f>
        <v/>
      </c>
      <c r="AF148" s="21" t="str">
        <f>IF(COUNTIFS(KPI_Element_Map!$A$2:$A$287,$A148,KPI_Element_Map!$G$2:$G$287,AF$1)&gt;0,1,"")</f>
        <v/>
      </c>
      <c r="AG148" s="21" t="str">
        <f>IF(COUNTIFS(KPI_Element_Map!$A$2:$A$287,$A148,KPI_Element_Map!$G$2:$G$287,AG$1)&gt;0,1,"")</f>
        <v/>
      </c>
      <c r="AH148" s="21" t="str">
        <f>IF(COUNTIFS(KPI_Element_Map!$A$2:$A$287,$A148,KPI_Element_Map!$G$2:$G$287,AH$1)&gt;0,1,"")</f>
        <v/>
      </c>
      <c r="AI148" s="21" t="str">
        <f>IF(COUNTIFS(KPI_Element_Map!$A$2:$A$287,$A148,KPI_Element_Map!$G$2:$G$287,AI$1)&gt;0,1,"")</f>
        <v/>
      </c>
      <c r="AJ148" s="21" t="str">
        <f>IF(COUNTIFS(KPI_Element_Map!$A$2:$A$287,$A148,KPI_Element_Map!$G$2:$G$287,AJ$1)&gt;0,1,"")</f>
        <v/>
      </c>
      <c r="AK148" s="21" t="str">
        <f>IF(COUNTIFS(KPI_Element_Map!$A$2:$A$287,$A148,KPI_Element_Map!$G$2:$G$287,AK$1)&gt;0,1,"")</f>
        <v/>
      </c>
    </row>
    <row r="149" spans="1:37">
      <c r="A149" s="21">
        <v>148</v>
      </c>
      <c r="B149" s="23" t="str">
        <f>INDEX(KPI_Master!$B:$B,MATCH($A149,KPI_Master!$A:$A,0))</f>
        <v>RESE-05</v>
      </c>
      <c r="C149" s="23" t="str">
        <f>INDEX(KPI_Master!$D:$D,MATCH($A149,KPI_Master!$A:$A,0))</f>
        <v>Grievance Volume</v>
      </c>
      <c r="D149" s="23" t="str">
        <f>INDEX(KPI_Master!$K:$K,MATCH($A149,KPI_Master!$A:$A,0))</f>
        <v>1 - Core</v>
      </c>
      <c r="E149" s="23" t="str">
        <f t="array" ref="E149">_xlfn.TEXTJOIN(", ",TRUE(),IF(KPI_Element_Map!$A$2:$A$287=$A149,KPI_Element_Map!$E$2:$E$287,""))</f>
        <v>E51</v>
      </c>
      <c r="F149" s="21">
        <f t="shared" si="4"/>
        <v>1</v>
      </c>
      <c r="G149" s="21" t="str">
        <f>IF(COUNTIFS(KPI_Element_Map!$A$2:$A$287,$A149,KPI_Element_Map!$G$2:$G$287,G$1)&gt;0,1,"")</f>
        <v/>
      </c>
      <c r="H149" s="21" t="str">
        <f>IF(COUNTIFS(KPI_Element_Map!$A$2:$A$287,$A149,KPI_Element_Map!$G$2:$G$287,H$1)&gt;0,1,"")</f>
        <v/>
      </c>
      <c r="I149" s="21" t="str">
        <f>IF(COUNTIFS(KPI_Element_Map!$A$2:$A$287,$A149,KPI_Element_Map!$G$2:$G$287,I$1)&gt;0,1,"")</f>
        <v/>
      </c>
      <c r="J149" s="21" t="str">
        <f>IF(COUNTIFS(KPI_Element_Map!$A$2:$A$287,$A149,KPI_Element_Map!$G$2:$G$287,J$1)&gt;0,1,"")</f>
        <v/>
      </c>
      <c r="K149" s="21" t="str">
        <f>IF(COUNTIFS(KPI_Element_Map!$A$2:$A$287,$A149,KPI_Element_Map!$G$2:$G$287,K$1)&gt;0,1,"")</f>
        <v/>
      </c>
      <c r="L149" s="21" t="str">
        <f>IF(COUNTIFS(KPI_Element_Map!$A$2:$A$287,$A149,KPI_Element_Map!$G$2:$G$287,L$1)&gt;0,1,"")</f>
        <v/>
      </c>
      <c r="M149" s="21" t="str">
        <f>IF(COUNTIFS(KPI_Element_Map!$A$2:$A$287,$A149,KPI_Element_Map!$G$2:$G$287,M$1)&gt;0,1,"")</f>
        <v/>
      </c>
      <c r="N149" s="21" t="str">
        <f>IF(COUNTIFS(KPI_Element_Map!$A$2:$A$287,$A149,KPI_Element_Map!$G$2:$G$287,N$1)&gt;0,1,"")</f>
        <v/>
      </c>
      <c r="O149" s="21" t="str">
        <f>IF(COUNTIFS(KPI_Element_Map!$A$2:$A$287,$A149,KPI_Element_Map!$G$2:$G$287,O$1)&gt;0,1,"")</f>
        <v/>
      </c>
      <c r="P149" s="21" t="str">
        <f>IF(COUNTIFS(KPI_Element_Map!$A$2:$A$287,$A149,KPI_Element_Map!$G$2:$G$287,P$1)&gt;0,1,"")</f>
        <v/>
      </c>
      <c r="Q149" s="21" t="str">
        <f>IF(COUNTIFS(KPI_Element_Map!$A$2:$A$287,$A149,KPI_Element_Map!$G$2:$G$287,Q$1)&gt;0,1,"")</f>
        <v/>
      </c>
      <c r="R149" s="21" t="str">
        <f>IF(COUNTIFS(KPI_Element_Map!$A$2:$A$287,$A149,KPI_Element_Map!$G$2:$G$287,R$1)&gt;0,1,"")</f>
        <v/>
      </c>
      <c r="S149" s="21" t="str">
        <f>IF(COUNTIFS(KPI_Element_Map!$A$2:$A$287,$A149,KPI_Element_Map!$G$2:$G$287,S$1)&gt;0,1,"")</f>
        <v/>
      </c>
      <c r="T149" s="21" t="str">
        <f>IF(COUNTIFS(KPI_Element_Map!$A$2:$A$287,$A149,KPI_Element_Map!$G$2:$G$287,T$1)&gt;0,1,"")</f>
        <v/>
      </c>
      <c r="U149" s="21" t="str">
        <f>IF(COUNTIFS(KPI_Element_Map!$A$2:$A$287,$A149,KPI_Element_Map!$G$2:$G$287,U$1)&gt;0,1,"")</f>
        <v/>
      </c>
      <c r="V149" s="21" t="str">
        <f>IF(COUNTIFS(KPI_Element_Map!$A$2:$A$287,$A149,KPI_Element_Map!$G$2:$G$287,V$1)&gt;0,1,"")</f>
        <v/>
      </c>
      <c r="W149" s="21" t="str">
        <f>IF(COUNTIFS(KPI_Element_Map!$A$2:$A$287,$A149,KPI_Element_Map!$G$2:$G$287,W$1)&gt;0,1,"")</f>
        <v/>
      </c>
      <c r="X149" s="21" t="str">
        <f>IF(COUNTIFS(KPI_Element_Map!$A$2:$A$287,$A149,KPI_Element_Map!$G$2:$G$287,X$1)&gt;0,1,"")</f>
        <v/>
      </c>
      <c r="Y149" s="21" t="str">
        <f>IF(COUNTIFS(KPI_Element_Map!$A$2:$A$287,$A149,KPI_Element_Map!$G$2:$G$287,Y$1)&gt;0,1,"")</f>
        <v/>
      </c>
      <c r="Z149" s="21" t="str">
        <f>IF(COUNTIFS(KPI_Element_Map!$A$2:$A$287,$A149,KPI_Element_Map!$G$2:$G$287,Z$1)&gt;0,1,"")</f>
        <v/>
      </c>
      <c r="AA149" s="21" t="str">
        <f>IF(COUNTIFS(KPI_Element_Map!$A$2:$A$287,$A149,KPI_Element_Map!$G$2:$G$287,AA$1)&gt;0,1,"")</f>
        <v/>
      </c>
      <c r="AB149" s="21" t="str">
        <f>IF(COUNTIFS(KPI_Element_Map!$A$2:$A$287,$A149,KPI_Element_Map!$G$2:$G$287,AB$1)&gt;0,1,"")</f>
        <v/>
      </c>
      <c r="AC149" s="21" t="str">
        <f>IF(COUNTIFS(KPI_Element_Map!$A$2:$A$287,$A149,KPI_Element_Map!$G$2:$G$287,AC$1)&gt;0,1,"")</f>
        <v/>
      </c>
      <c r="AD149" s="21" t="str">
        <f>IF(COUNTIFS(KPI_Element_Map!$A$2:$A$287,$A149,KPI_Element_Map!$G$2:$G$287,AD$1)&gt;0,1,"")</f>
        <v/>
      </c>
      <c r="AE149" s="21">
        <f>IF(COUNTIFS(KPI_Element_Map!$A$2:$A$287,$A149,KPI_Element_Map!$G$2:$G$287,AE$1)&gt;0,1,"")</f>
        <v>1</v>
      </c>
      <c r="AF149" s="21" t="str">
        <f>IF(COUNTIFS(KPI_Element_Map!$A$2:$A$287,$A149,KPI_Element_Map!$G$2:$G$287,AF$1)&gt;0,1,"")</f>
        <v/>
      </c>
      <c r="AG149" s="21" t="str">
        <f>IF(COUNTIFS(KPI_Element_Map!$A$2:$A$287,$A149,KPI_Element_Map!$G$2:$G$287,AG$1)&gt;0,1,"")</f>
        <v/>
      </c>
      <c r="AH149" s="21" t="str">
        <f>IF(COUNTIFS(KPI_Element_Map!$A$2:$A$287,$A149,KPI_Element_Map!$G$2:$G$287,AH$1)&gt;0,1,"")</f>
        <v/>
      </c>
      <c r="AI149" s="21" t="str">
        <f>IF(COUNTIFS(KPI_Element_Map!$A$2:$A$287,$A149,KPI_Element_Map!$G$2:$G$287,AI$1)&gt;0,1,"")</f>
        <v/>
      </c>
      <c r="AJ149" s="21" t="str">
        <f>IF(COUNTIFS(KPI_Element_Map!$A$2:$A$287,$A149,KPI_Element_Map!$G$2:$G$287,AJ$1)&gt;0,1,"")</f>
        <v/>
      </c>
      <c r="AK149" s="21" t="str">
        <f>IF(COUNTIFS(KPI_Element_Map!$A$2:$A$287,$A149,KPI_Element_Map!$G$2:$G$287,AK$1)&gt;0,1,"")</f>
        <v/>
      </c>
    </row>
    <row r="150" spans="1:37">
      <c r="A150" s="21">
        <v>149</v>
      </c>
      <c r="B150" s="23" t="str">
        <f>INDEX(KPI_Master!$B:$B,MATCH($A150,KPI_Master!$A:$A,0))</f>
        <v>RESE-06</v>
      </c>
      <c r="C150" s="23" t="str">
        <f>INDEX(KPI_Master!$D:$D,MATCH($A150,KPI_Master!$A:$A,0))</f>
        <v>Grievance Resolution Rate Within SLA</v>
      </c>
      <c r="D150" s="23" t="str">
        <f>INDEX(KPI_Master!$K:$K,MATCH($A150,KPI_Master!$A:$A,0))</f>
        <v>2 - Standard</v>
      </c>
      <c r="E150" s="23" t="str">
        <f t="array" ref="E150">_xlfn.TEXTJOIN(", ",TRUE(),IF(KPI_Element_Map!$A$2:$A$287=$A150,KPI_Element_Map!$E$2:$E$287,""))</f>
        <v>E51</v>
      </c>
      <c r="F150" s="21">
        <f t="shared" si="4"/>
        <v>1</v>
      </c>
      <c r="G150" s="21" t="str">
        <f>IF(COUNTIFS(KPI_Element_Map!$A$2:$A$287,$A150,KPI_Element_Map!$G$2:$G$287,G$1)&gt;0,1,"")</f>
        <v/>
      </c>
      <c r="H150" s="21" t="str">
        <f>IF(COUNTIFS(KPI_Element_Map!$A$2:$A$287,$A150,KPI_Element_Map!$G$2:$G$287,H$1)&gt;0,1,"")</f>
        <v/>
      </c>
      <c r="I150" s="21" t="str">
        <f>IF(COUNTIFS(KPI_Element_Map!$A$2:$A$287,$A150,KPI_Element_Map!$G$2:$G$287,I$1)&gt;0,1,"")</f>
        <v/>
      </c>
      <c r="J150" s="21" t="str">
        <f>IF(COUNTIFS(KPI_Element_Map!$A$2:$A$287,$A150,KPI_Element_Map!$G$2:$G$287,J$1)&gt;0,1,"")</f>
        <v/>
      </c>
      <c r="K150" s="21" t="str">
        <f>IF(COUNTIFS(KPI_Element_Map!$A$2:$A$287,$A150,KPI_Element_Map!$G$2:$G$287,K$1)&gt;0,1,"")</f>
        <v/>
      </c>
      <c r="L150" s="21" t="str">
        <f>IF(COUNTIFS(KPI_Element_Map!$A$2:$A$287,$A150,KPI_Element_Map!$G$2:$G$287,L$1)&gt;0,1,"")</f>
        <v/>
      </c>
      <c r="M150" s="21" t="str">
        <f>IF(COUNTIFS(KPI_Element_Map!$A$2:$A$287,$A150,KPI_Element_Map!$G$2:$G$287,M$1)&gt;0,1,"")</f>
        <v/>
      </c>
      <c r="N150" s="21" t="str">
        <f>IF(COUNTIFS(KPI_Element_Map!$A$2:$A$287,$A150,KPI_Element_Map!$G$2:$G$287,N$1)&gt;0,1,"")</f>
        <v/>
      </c>
      <c r="O150" s="21" t="str">
        <f>IF(COUNTIFS(KPI_Element_Map!$A$2:$A$287,$A150,KPI_Element_Map!$G$2:$G$287,O$1)&gt;0,1,"")</f>
        <v/>
      </c>
      <c r="P150" s="21" t="str">
        <f>IF(COUNTIFS(KPI_Element_Map!$A$2:$A$287,$A150,KPI_Element_Map!$G$2:$G$287,P$1)&gt;0,1,"")</f>
        <v/>
      </c>
      <c r="Q150" s="21" t="str">
        <f>IF(COUNTIFS(KPI_Element_Map!$A$2:$A$287,$A150,KPI_Element_Map!$G$2:$G$287,Q$1)&gt;0,1,"")</f>
        <v/>
      </c>
      <c r="R150" s="21" t="str">
        <f>IF(COUNTIFS(KPI_Element_Map!$A$2:$A$287,$A150,KPI_Element_Map!$G$2:$G$287,R$1)&gt;0,1,"")</f>
        <v/>
      </c>
      <c r="S150" s="21" t="str">
        <f>IF(COUNTIFS(KPI_Element_Map!$A$2:$A$287,$A150,KPI_Element_Map!$G$2:$G$287,S$1)&gt;0,1,"")</f>
        <v/>
      </c>
      <c r="T150" s="21" t="str">
        <f>IF(COUNTIFS(KPI_Element_Map!$A$2:$A$287,$A150,KPI_Element_Map!$G$2:$G$287,T$1)&gt;0,1,"")</f>
        <v/>
      </c>
      <c r="U150" s="21" t="str">
        <f>IF(COUNTIFS(KPI_Element_Map!$A$2:$A$287,$A150,KPI_Element_Map!$G$2:$G$287,U$1)&gt;0,1,"")</f>
        <v/>
      </c>
      <c r="V150" s="21" t="str">
        <f>IF(COUNTIFS(KPI_Element_Map!$A$2:$A$287,$A150,KPI_Element_Map!$G$2:$G$287,V$1)&gt;0,1,"")</f>
        <v/>
      </c>
      <c r="W150" s="21" t="str">
        <f>IF(COUNTIFS(KPI_Element_Map!$A$2:$A$287,$A150,KPI_Element_Map!$G$2:$G$287,W$1)&gt;0,1,"")</f>
        <v/>
      </c>
      <c r="X150" s="21" t="str">
        <f>IF(COUNTIFS(KPI_Element_Map!$A$2:$A$287,$A150,KPI_Element_Map!$G$2:$G$287,X$1)&gt;0,1,"")</f>
        <v/>
      </c>
      <c r="Y150" s="21" t="str">
        <f>IF(COUNTIFS(KPI_Element_Map!$A$2:$A$287,$A150,KPI_Element_Map!$G$2:$G$287,Y$1)&gt;0,1,"")</f>
        <v/>
      </c>
      <c r="Z150" s="21" t="str">
        <f>IF(COUNTIFS(KPI_Element_Map!$A$2:$A$287,$A150,KPI_Element_Map!$G$2:$G$287,Z$1)&gt;0,1,"")</f>
        <v/>
      </c>
      <c r="AA150" s="21" t="str">
        <f>IF(COUNTIFS(KPI_Element_Map!$A$2:$A$287,$A150,KPI_Element_Map!$G$2:$G$287,AA$1)&gt;0,1,"")</f>
        <v/>
      </c>
      <c r="AB150" s="21" t="str">
        <f>IF(COUNTIFS(KPI_Element_Map!$A$2:$A$287,$A150,KPI_Element_Map!$G$2:$G$287,AB$1)&gt;0,1,"")</f>
        <v/>
      </c>
      <c r="AC150" s="21" t="str">
        <f>IF(COUNTIFS(KPI_Element_Map!$A$2:$A$287,$A150,KPI_Element_Map!$G$2:$G$287,AC$1)&gt;0,1,"")</f>
        <v/>
      </c>
      <c r="AD150" s="21" t="str">
        <f>IF(COUNTIFS(KPI_Element_Map!$A$2:$A$287,$A150,KPI_Element_Map!$G$2:$G$287,AD$1)&gt;0,1,"")</f>
        <v/>
      </c>
      <c r="AE150" s="21">
        <f>IF(COUNTIFS(KPI_Element_Map!$A$2:$A$287,$A150,KPI_Element_Map!$G$2:$G$287,AE$1)&gt;0,1,"")</f>
        <v>1</v>
      </c>
      <c r="AF150" s="21" t="str">
        <f>IF(COUNTIFS(KPI_Element_Map!$A$2:$A$287,$A150,KPI_Element_Map!$G$2:$G$287,AF$1)&gt;0,1,"")</f>
        <v/>
      </c>
      <c r="AG150" s="21" t="str">
        <f>IF(COUNTIFS(KPI_Element_Map!$A$2:$A$287,$A150,KPI_Element_Map!$G$2:$G$287,AG$1)&gt;0,1,"")</f>
        <v/>
      </c>
      <c r="AH150" s="21" t="str">
        <f>IF(COUNTIFS(KPI_Element_Map!$A$2:$A$287,$A150,KPI_Element_Map!$G$2:$G$287,AH$1)&gt;0,1,"")</f>
        <v/>
      </c>
      <c r="AI150" s="21" t="str">
        <f>IF(COUNTIFS(KPI_Element_Map!$A$2:$A$287,$A150,KPI_Element_Map!$G$2:$G$287,AI$1)&gt;0,1,"")</f>
        <v/>
      </c>
      <c r="AJ150" s="21" t="str">
        <f>IF(COUNTIFS(KPI_Element_Map!$A$2:$A$287,$A150,KPI_Element_Map!$G$2:$G$287,AJ$1)&gt;0,1,"")</f>
        <v/>
      </c>
      <c r="AK150" s="21" t="str">
        <f>IF(COUNTIFS(KPI_Element_Map!$A$2:$A$287,$A150,KPI_Element_Map!$G$2:$G$287,AK$1)&gt;0,1,"")</f>
        <v/>
      </c>
    </row>
    <row r="151" spans="1:37">
      <c r="A151" s="21">
        <v>150</v>
      </c>
      <c r="B151" s="23" t="str">
        <f>INDEX(KPI_Master!$B:$B,MATCH($A151,KPI_Master!$A:$A,0))</f>
        <v>RESE-07</v>
      </c>
      <c r="C151" s="23" t="str">
        <f>INDEX(KPI_Master!$D:$D,MATCH($A151,KPI_Master!$A:$A,0))</f>
        <v>Average Grievance Resolution Time</v>
      </c>
      <c r="D151" s="23" t="str">
        <f>INDEX(KPI_Master!$K:$K,MATCH($A151,KPI_Master!$A:$A,0))</f>
        <v>2 - Standard</v>
      </c>
      <c r="E151" s="23" t="str">
        <f t="array" ref="E151">_xlfn.TEXTJOIN(", ",TRUE(),IF(KPI_Element_Map!$A$2:$A$287=$A151,KPI_Element_Map!$E$2:$E$287,""))</f>
        <v>E51</v>
      </c>
      <c r="F151" s="21">
        <f t="shared" si="4"/>
        <v>1</v>
      </c>
      <c r="G151" s="21" t="str">
        <f>IF(COUNTIFS(KPI_Element_Map!$A$2:$A$287,$A151,KPI_Element_Map!$G$2:$G$287,G$1)&gt;0,1,"")</f>
        <v/>
      </c>
      <c r="H151" s="21" t="str">
        <f>IF(COUNTIFS(KPI_Element_Map!$A$2:$A$287,$A151,KPI_Element_Map!$G$2:$G$287,H$1)&gt;0,1,"")</f>
        <v/>
      </c>
      <c r="I151" s="21" t="str">
        <f>IF(COUNTIFS(KPI_Element_Map!$A$2:$A$287,$A151,KPI_Element_Map!$G$2:$G$287,I$1)&gt;0,1,"")</f>
        <v/>
      </c>
      <c r="J151" s="21" t="str">
        <f>IF(COUNTIFS(KPI_Element_Map!$A$2:$A$287,$A151,KPI_Element_Map!$G$2:$G$287,J$1)&gt;0,1,"")</f>
        <v/>
      </c>
      <c r="K151" s="21" t="str">
        <f>IF(COUNTIFS(KPI_Element_Map!$A$2:$A$287,$A151,KPI_Element_Map!$G$2:$G$287,K$1)&gt;0,1,"")</f>
        <v/>
      </c>
      <c r="L151" s="21" t="str">
        <f>IF(COUNTIFS(KPI_Element_Map!$A$2:$A$287,$A151,KPI_Element_Map!$G$2:$G$287,L$1)&gt;0,1,"")</f>
        <v/>
      </c>
      <c r="M151" s="21" t="str">
        <f>IF(COUNTIFS(KPI_Element_Map!$A$2:$A$287,$A151,KPI_Element_Map!$G$2:$G$287,M$1)&gt;0,1,"")</f>
        <v/>
      </c>
      <c r="N151" s="21" t="str">
        <f>IF(COUNTIFS(KPI_Element_Map!$A$2:$A$287,$A151,KPI_Element_Map!$G$2:$G$287,N$1)&gt;0,1,"")</f>
        <v/>
      </c>
      <c r="O151" s="21" t="str">
        <f>IF(COUNTIFS(KPI_Element_Map!$A$2:$A$287,$A151,KPI_Element_Map!$G$2:$G$287,O$1)&gt;0,1,"")</f>
        <v/>
      </c>
      <c r="P151" s="21" t="str">
        <f>IF(COUNTIFS(KPI_Element_Map!$A$2:$A$287,$A151,KPI_Element_Map!$G$2:$G$287,P$1)&gt;0,1,"")</f>
        <v/>
      </c>
      <c r="Q151" s="21" t="str">
        <f>IF(COUNTIFS(KPI_Element_Map!$A$2:$A$287,$A151,KPI_Element_Map!$G$2:$G$287,Q$1)&gt;0,1,"")</f>
        <v/>
      </c>
      <c r="R151" s="21" t="str">
        <f>IF(COUNTIFS(KPI_Element_Map!$A$2:$A$287,$A151,KPI_Element_Map!$G$2:$G$287,R$1)&gt;0,1,"")</f>
        <v/>
      </c>
      <c r="S151" s="21" t="str">
        <f>IF(COUNTIFS(KPI_Element_Map!$A$2:$A$287,$A151,KPI_Element_Map!$G$2:$G$287,S$1)&gt;0,1,"")</f>
        <v/>
      </c>
      <c r="T151" s="21" t="str">
        <f>IF(COUNTIFS(KPI_Element_Map!$A$2:$A$287,$A151,KPI_Element_Map!$G$2:$G$287,T$1)&gt;0,1,"")</f>
        <v/>
      </c>
      <c r="U151" s="21" t="str">
        <f>IF(COUNTIFS(KPI_Element_Map!$A$2:$A$287,$A151,KPI_Element_Map!$G$2:$G$287,U$1)&gt;0,1,"")</f>
        <v/>
      </c>
      <c r="V151" s="21" t="str">
        <f>IF(COUNTIFS(KPI_Element_Map!$A$2:$A$287,$A151,KPI_Element_Map!$G$2:$G$287,V$1)&gt;0,1,"")</f>
        <v/>
      </c>
      <c r="W151" s="21" t="str">
        <f>IF(COUNTIFS(KPI_Element_Map!$A$2:$A$287,$A151,KPI_Element_Map!$G$2:$G$287,W$1)&gt;0,1,"")</f>
        <v/>
      </c>
      <c r="X151" s="21" t="str">
        <f>IF(COUNTIFS(KPI_Element_Map!$A$2:$A$287,$A151,KPI_Element_Map!$G$2:$G$287,X$1)&gt;0,1,"")</f>
        <v/>
      </c>
      <c r="Y151" s="21" t="str">
        <f>IF(COUNTIFS(KPI_Element_Map!$A$2:$A$287,$A151,KPI_Element_Map!$G$2:$G$287,Y$1)&gt;0,1,"")</f>
        <v/>
      </c>
      <c r="Z151" s="21" t="str">
        <f>IF(COUNTIFS(KPI_Element_Map!$A$2:$A$287,$A151,KPI_Element_Map!$G$2:$G$287,Z$1)&gt;0,1,"")</f>
        <v/>
      </c>
      <c r="AA151" s="21" t="str">
        <f>IF(COUNTIFS(KPI_Element_Map!$A$2:$A$287,$A151,KPI_Element_Map!$G$2:$G$287,AA$1)&gt;0,1,"")</f>
        <v/>
      </c>
      <c r="AB151" s="21" t="str">
        <f>IF(COUNTIFS(KPI_Element_Map!$A$2:$A$287,$A151,KPI_Element_Map!$G$2:$G$287,AB$1)&gt;0,1,"")</f>
        <v/>
      </c>
      <c r="AC151" s="21" t="str">
        <f>IF(COUNTIFS(KPI_Element_Map!$A$2:$A$287,$A151,KPI_Element_Map!$G$2:$G$287,AC$1)&gt;0,1,"")</f>
        <v/>
      </c>
      <c r="AD151" s="21" t="str">
        <f>IF(COUNTIFS(KPI_Element_Map!$A$2:$A$287,$A151,KPI_Element_Map!$G$2:$G$287,AD$1)&gt;0,1,"")</f>
        <v/>
      </c>
      <c r="AE151" s="21">
        <f>IF(COUNTIFS(KPI_Element_Map!$A$2:$A$287,$A151,KPI_Element_Map!$G$2:$G$287,AE$1)&gt;0,1,"")</f>
        <v>1</v>
      </c>
      <c r="AF151" s="21" t="str">
        <f>IF(COUNTIFS(KPI_Element_Map!$A$2:$A$287,$A151,KPI_Element_Map!$G$2:$G$287,AF$1)&gt;0,1,"")</f>
        <v/>
      </c>
      <c r="AG151" s="21" t="str">
        <f>IF(COUNTIFS(KPI_Element_Map!$A$2:$A$287,$A151,KPI_Element_Map!$G$2:$G$287,AG$1)&gt;0,1,"")</f>
        <v/>
      </c>
      <c r="AH151" s="21" t="str">
        <f>IF(COUNTIFS(KPI_Element_Map!$A$2:$A$287,$A151,KPI_Element_Map!$G$2:$G$287,AH$1)&gt;0,1,"")</f>
        <v/>
      </c>
      <c r="AI151" s="21" t="str">
        <f>IF(COUNTIFS(KPI_Element_Map!$A$2:$A$287,$A151,KPI_Element_Map!$G$2:$G$287,AI$1)&gt;0,1,"")</f>
        <v/>
      </c>
      <c r="AJ151" s="21" t="str">
        <f>IF(COUNTIFS(KPI_Element_Map!$A$2:$A$287,$A151,KPI_Element_Map!$G$2:$G$287,AJ$1)&gt;0,1,"")</f>
        <v/>
      </c>
      <c r="AK151" s="21" t="str">
        <f>IF(COUNTIFS(KPI_Element_Map!$A$2:$A$287,$A151,KPI_Element_Map!$G$2:$G$287,AK$1)&gt;0,1,"")</f>
        <v/>
      </c>
    </row>
    <row r="152" spans="1:37">
      <c r="A152" s="21">
        <v>151</v>
      </c>
      <c r="B152" s="23" t="str">
        <f>INDEX(KPI_Master!$B:$B,MATCH($A152,KPI_Master!$A:$A,0))</f>
        <v>RESE-12</v>
      </c>
      <c r="C152" s="23" t="str">
        <f>INDEX(KPI_Master!$D:$D,MATCH($A152,KPI_Master!$A:$A,0))</f>
        <v>Resident Length of Stay (Average)</v>
      </c>
      <c r="D152" s="23" t="str">
        <f>INDEX(KPI_Master!$K:$K,MATCH($A152,KPI_Master!$A:$A,0))</f>
        <v>2 - Standard</v>
      </c>
      <c r="E152" s="23" t="str">
        <f t="array" ref="E152">_xlfn.TEXTJOIN(", ",TRUE(),IF(KPI_Element_Map!$A$2:$A$287=$A152,KPI_Element_Map!$E$2:$E$287,""))</f>
        <v>E07, E08</v>
      </c>
      <c r="F152" s="21">
        <f t="shared" si="4"/>
        <v>1</v>
      </c>
      <c r="G152" s="21">
        <f>IF(COUNTIFS(KPI_Element_Map!$A$2:$A$287,$A152,KPI_Element_Map!$G$2:$G$287,G$1)&gt;0,1,"")</f>
        <v>1</v>
      </c>
      <c r="H152" s="21" t="str">
        <f>IF(COUNTIFS(KPI_Element_Map!$A$2:$A$287,$A152,KPI_Element_Map!$G$2:$G$287,H$1)&gt;0,1,"")</f>
        <v/>
      </c>
      <c r="I152" s="21" t="str">
        <f>IF(COUNTIFS(KPI_Element_Map!$A$2:$A$287,$A152,KPI_Element_Map!$G$2:$G$287,I$1)&gt;0,1,"")</f>
        <v/>
      </c>
      <c r="J152" s="21" t="str">
        <f>IF(COUNTIFS(KPI_Element_Map!$A$2:$A$287,$A152,KPI_Element_Map!$G$2:$G$287,J$1)&gt;0,1,"")</f>
        <v/>
      </c>
      <c r="K152" s="21" t="str">
        <f>IF(COUNTIFS(KPI_Element_Map!$A$2:$A$287,$A152,KPI_Element_Map!$G$2:$G$287,K$1)&gt;0,1,"")</f>
        <v/>
      </c>
      <c r="L152" s="21" t="str">
        <f>IF(COUNTIFS(KPI_Element_Map!$A$2:$A$287,$A152,KPI_Element_Map!$G$2:$G$287,L$1)&gt;0,1,"")</f>
        <v/>
      </c>
      <c r="M152" s="21" t="str">
        <f>IF(COUNTIFS(KPI_Element_Map!$A$2:$A$287,$A152,KPI_Element_Map!$G$2:$G$287,M$1)&gt;0,1,"")</f>
        <v/>
      </c>
      <c r="N152" s="21" t="str">
        <f>IF(COUNTIFS(KPI_Element_Map!$A$2:$A$287,$A152,KPI_Element_Map!$G$2:$G$287,N$1)&gt;0,1,"")</f>
        <v/>
      </c>
      <c r="O152" s="21" t="str">
        <f>IF(COUNTIFS(KPI_Element_Map!$A$2:$A$287,$A152,KPI_Element_Map!$G$2:$G$287,O$1)&gt;0,1,"")</f>
        <v/>
      </c>
      <c r="P152" s="21" t="str">
        <f>IF(COUNTIFS(KPI_Element_Map!$A$2:$A$287,$A152,KPI_Element_Map!$G$2:$G$287,P$1)&gt;0,1,"")</f>
        <v/>
      </c>
      <c r="Q152" s="21" t="str">
        <f>IF(COUNTIFS(KPI_Element_Map!$A$2:$A$287,$A152,KPI_Element_Map!$G$2:$G$287,Q$1)&gt;0,1,"")</f>
        <v/>
      </c>
      <c r="R152" s="21" t="str">
        <f>IF(COUNTIFS(KPI_Element_Map!$A$2:$A$287,$A152,KPI_Element_Map!$G$2:$G$287,R$1)&gt;0,1,"")</f>
        <v/>
      </c>
      <c r="S152" s="21" t="str">
        <f>IF(COUNTIFS(KPI_Element_Map!$A$2:$A$287,$A152,KPI_Element_Map!$G$2:$G$287,S$1)&gt;0,1,"")</f>
        <v/>
      </c>
      <c r="T152" s="21" t="str">
        <f>IF(COUNTIFS(KPI_Element_Map!$A$2:$A$287,$A152,KPI_Element_Map!$G$2:$G$287,T$1)&gt;0,1,"")</f>
        <v/>
      </c>
      <c r="U152" s="21" t="str">
        <f>IF(COUNTIFS(KPI_Element_Map!$A$2:$A$287,$A152,KPI_Element_Map!$G$2:$G$287,U$1)&gt;0,1,"")</f>
        <v/>
      </c>
      <c r="V152" s="21" t="str">
        <f>IF(COUNTIFS(KPI_Element_Map!$A$2:$A$287,$A152,KPI_Element_Map!$G$2:$G$287,V$1)&gt;0,1,"")</f>
        <v/>
      </c>
      <c r="W152" s="21" t="str">
        <f>IF(COUNTIFS(KPI_Element_Map!$A$2:$A$287,$A152,KPI_Element_Map!$G$2:$G$287,W$1)&gt;0,1,"")</f>
        <v/>
      </c>
      <c r="X152" s="21" t="str">
        <f>IF(COUNTIFS(KPI_Element_Map!$A$2:$A$287,$A152,KPI_Element_Map!$G$2:$G$287,X$1)&gt;0,1,"")</f>
        <v/>
      </c>
      <c r="Y152" s="21" t="str">
        <f>IF(COUNTIFS(KPI_Element_Map!$A$2:$A$287,$A152,KPI_Element_Map!$G$2:$G$287,Y$1)&gt;0,1,"")</f>
        <v/>
      </c>
      <c r="Z152" s="21" t="str">
        <f>IF(COUNTIFS(KPI_Element_Map!$A$2:$A$287,$A152,KPI_Element_Map!$G$2:$G$287,Z$1)&gt;0,1,"")</f>
        <v/>
      </c>
      <c r="AA152" s="21" t="str">
        <f>IF(COUNTIFS(KPI_Element_Map!$A$2:$A$287,$A152,KPI_Element_Map!$G$2:$G$287,AA$1)&gt;0,1,"")</f>
        <v/>
      </c>
      <c r="AB152" s="21" t="str">
        <f>IF(COUNTIFS(KPI_Element_Map!$A$2:$A$287,$A152,KPI_Element_Map!$G$2:$G$287,AB$1)&gt;0,1,"")</f>
        <v/>
      </c>
      <c r="AC152" s="21" t="str">
        <f>IF(COUNTIFS(KPI_Element_Map!$A$2:$A$287,$A152,KPI_Element_Map!$G$2:$G$287,AC$1)&gt;0,1,"")</f>
        <v/>
      </c>
      <c r="AD152" s="21" t="str">
        <f>IF(COUNTIFS(KPI_Element_Map!$A$2:$A$287,$A152,KPI_Element_Map!$G$2:$G$287,AD$1)&gt;0,1,"")</f>
        <v/>
      </c>
      <c r="AE152" s="21" t="str">
        <f>IF(COUNTIFS(KPI_Element_Map!$A$2:$A$287,$A152,KPI_Element_Map!$G$2:$G$287,AE$1)&gt;0,1,"")</f>
        <v/>
      </c>
      <c r="AF152" s="21" t="str">
        <f>IF(COUNTIFS(KPI_Element_Map!$A$2:$A$287,$A152,KPI_Element_Map!$G$2:$G$287,AF$1)&gt;0,1,"")</f>
        <v/>
      </c>
      <c r="AG152" s="21" t="str">
        <f>IF(COUNTIFS(KPI_Element_Map!$A$2:$A$287,$A152,KPI_Element_Map!$G$2:$G$287,AG$1)&gt;0,1,"")</f>
        <v/>
      </c>
      <c r="AH152" s="21" t="str">
        <f>IF(COUNTIFS(KPI_Element_Map!$A$2:$A$287,$A152,KPI_Element_Map!$G$2:$G$287,AH$1)&gt;0,1,"")</f>
        <v/>
      </c>
      <c r="AI152" s="21" t="str">
        <f>IF(COUNTIFS(KPI_Element_Map!$A$2:$A$287,$A152,KPI_Element_Map!$G$2:$G$287,AI$1)&gt;0,1,"")</f>
        <v/>
      </c>
      <c r="AJ152" s="21" t="str">
        <f>IF(COUNTIFS(KPI_Element_Map!$A$2:$A$287,$A152,KPI_Element_Map!$G$2:$G$287,AJ$1)&gt;0,1,"")</f>
        <v/>
      </c>
      <c r="AK152" s="21" t="str">
        <f>IF(COUNTIFS(KPI_Element_Map!$A$2:$A$287,$A152,KPI_Element_Map!$G$2:$G$287,AK$1)&gt;0,1,"")</f>
        <v/>
      </c>
    </row>
    <row r="153" spans="1:37">
      <c r="A153" s="21">
        <v>152</v>
      </c>
      <c r="B153" s="23" t="str">
        <f>INDEX(KPI_Master!$B:$B,MATCH($A153,KPI_Master!$A:$A,0))</f>
        <v>RESE-13</v>
      </c>
      <c r="C153" s="23" t="str">
        <f>INDEX(KPI_Master!$D:$D,MATCH($A153,KPI_Master!$A:$A,0))</f>
        <v>Medicare Advantage SNF Length of Stay</v>
      </c>
      <c r="D153" s="23" t="str">
        <f>INDEX(KPI_Master!$K:$K,MATCH($A153,KPI_Master!$A:$A,0))</f>
        <v>3 - Optional</v>
      </c>
      <c r="E153" s="23" t="str">
        <f t="array" ref="E153">_xlfn.TEXTJOIN(", ",TRUE(),IF(KPI_Element_Map!$A$2:$A$287=$A153,KPI_Element_Map!$E$2:$E$287,""))</f>
        <v>E08</v>
      </c>
      <c r="F153" s="21">
        <f t="shared" si="4"/>
        <v>1</v>
      </c>
      <c r="G153" s="21">
        <f>IF(COUNTIFS(KPI_Element_Map!$A$2:$A$287,$A153,KPI_Element_Map!$G$2:$G$287,G$1)&gt;0,1,"")</f>
        <v>1</v>
      </c>
      <c r="H153" s="21" t="str">
        <f>IF(COUNTIFS(KPI_Element_Map!$A$2:$A$287,$A153,KPI_Element_Map!$G$2:$G$287,H$1)&gt;0,1,"")</f>
        <v/>
      </c>
      <c r="I153" s="21" t="str">
        <f>IF(COUNTIFS(KPI_Element_Map!$A$2:$A$287,$A153,KPI_Element_Map!$G$2:$G$287,I$1)&gt;0,1,"")</f>
        <v/>
      </c>
      <c r="J153" s="21" t="str">
        <f>IF(COUNTIFS(KPI_Element_Map!$A$2:$A$287,$A153,KPI_Element_Map!$G$2:$G$287,J$1)&gt;0,1,"")</f>
        <v/>
      </c>
      <c r="K153" s="21" t="str">
        <f>IF(COUNTIFS(KPI_Element_Map!$A$2:$A$287,$A153,KPI_Element_Map!$G$2:$G$287,K$1)&gt;0,1,"")</f>
        <v/>
      </c>
      <c r="L153" s="21" t="str">
        <f>IF(COUNTIFS(KPI_Element_Map!$A$2:$A$287,$A153,KPI_Element_Map!$G$2:$G$287,L$1)&gt;0,1,"")</f>
        <v/>
      </c>
      <c r="M153" s="21" t="str">
        <f>IF(COUNTIFS(KPI_Element_Map!$A$2:$A$287,$A153,KPI_Element_Map!$G$2:$G$287,M$1)&gt;0,1,"")</f>
        <v/>
      </c>
      <c r="N153" s="21" t="str">
        <f>IF(COUNTIFS(KPI_Element_Map!$A$2:$A$287,$A153,KPI_Element_Map!$G$2:$G$287,N$1)&gt;0,1,"")</f>
        <v/>
      </c>
      <c r="O153" s="21" t="str">
        <f>IF(COUNTIFS(KPI_Element_Map!$A$2:$A$287,$A153,KPI_Element_Map!$G$2:$G$287,O$1)&gt;0,1,"")</f>
        <v/>
      </c>
      <c r="P153" s="21" t="str">
        <f>IF(COUNTIFS(KPI_Element_Map!$A$2:$A$287,$A153,KPI_Element_Map!$G$2:$G$287,P$1)&gt;0,1,"")</f>
        <v/>
      </c>
      <c r="Q153" s="21" t="str">
        <f>IF(COUNTIFS(KPI_Element_Map!$A$2:$A$287,$A153,KPI_Element_Map!$G$2:$G$287,Q$1)&gt;0,1,"")</f>
        <v/>
      </c>
      <c r="R153" s="21" t="str">
        <f>IF(COUNTIFS(KPI_Element_Map!$A$2:$A$287,$A153,KPI_Element_Map!$G$2:$G$287,R$1)&gt;0,1,"")</f>
        <v/>
      </c>
      <c r="S153" s="21" t="str">
        <f>IF(COUNTIFS(KPI_Element_Map!$A$2:$A$287,$A153,KPI_Element_Map!$G$2:$G$287,S$1)&gt;0,1,"")</f>
        <v/>
      </c>
      <c r="T153" s="21" t="str">
        <f>IF(COUNTIFS(KPI_Element_Map!$A$2:$A$287,$A153,KPI_Element_Map!$G$2:$G$287,T$1)&gt;0,1,"")</f>
        <v/>
      </c>
      <c r="U153" s="21" t="str">
        <f>IF(COUNTIFS(KPI_Element_Map!$A$2:$A$287,$A153,KPI_Element_Map!$G$2:$G$287,U$1)&gt;0,1,"")</f>
        <v/>
      </c>
      <c r="V153" s="21" t="str">
        <f>IF(COUNTIFS(KPI_Element_Map!$A$2:$A$287,$A153,KPI_Element_Map!$G$2:$G$287,V$1)&gt;0,1,"")</f>
        <v/>
      </c>
      <c r="W153" s="21" t="str">
        <f>IF(COUNTIFS(KPI_Element_Map!$A$2:$A$287,$A153,KPI_Element_Map!$G$2:$G$287,W$1)&gt;0,1,"")</f>
        <v/>
      </c>
      <c r="X153" s="21" t="str">
        <f>IF(COUNTIFS(KPI_Element_Map!$A$2:$A$287,$A153,KPI_Element_Map!$G$2:$G$287,X$1)&gt;0,1,"")</f>
        <v/>
      </c>
      <c r="Y153" s="21" t="str">
        <f>IF(COUNTIFS(KPI_Element_Map!$A$2:$A$287,$A153,KPI_Element_Map!$G$2:$G$287,Y$1)&gt;0,1,"")</f>
        <v/>
      </c>
      <c r="Z153" s="21" t="str">
        <f>IF(COUNTIFS(KPI_Element_Map!$A$2:$A$287,$A153,KPI_Element_Map!$G$2:$G$287,Z$1)&gt;0,1,"")</f>
        <v/>
      </c>
      <c r="AA153" s="21" t="str">
        <f>IF(COUNTIFS(KPI_Element_Map!$A$2:$A$287,$A153,KPI_Element_Map!$G$2:$G$287,AA$1)&gt;0,1,"")</f>
        <v/>
      </c>
      <c r="AB153" s="21" t="str">
        <f>IF(COUNTIFS(KPI_Element_Map!$A$2:$A$287,$A153,KPI_Element_Map!$G$2:$G$287,AB$1)&gt;0,1,"")</f>
        <v/>
      </c>
      <c r="AC153" s="21" t="str">
        <f>IF(COUNTIFS(KPI_Element_Map!$A$2:$A$287,$A153,KPI_Element_Map!$G$2:$G$287,AC$1)&gt;0,1,"")</f>
        <v/>
      </c>
      <c r="AD153" s="21" t="str">
        <f>IF(COUNTIFS(KPI_Element_Map!$A$2:$A$287,$A153,KPI_Element_Map!$G$2:$G$287,AD$1)&gt;0,1,"")</f>
        <v/>
      </c>
      <c r="AE153" s="21" t="str">
        <f>IF(COUNTIFS(KPI_Element_Map!$A$2:$A$287,$A153,KPI_Element_Map!$G$2:$G$287,AE$1)&gt;0,1,"")</f>
        <v/>
      </c>
      <c r="AF153" s="21" t="str">
        <f>IF(COUNTIFS(KPI_Element_Map!$A$2:$A$287,$A153,KPI_Element_Map!$G$2:$G$287,AF$1)&gt;0,1,"")</f>
        <v/>
      </c>
      <c r="AG153" s="21" t="str">
        <f>IF(COUNTIFS(KPI_Element_Map!$A$2:$A$287,$A153,KPI_Element_Map!$G$2:$G$287,AG$1)&gt;0,1,"")</f>
        <v/>
      </c>
      <c r="AH153" s="21" t="str">
        <f>IF(COUNTIFS(KPI_Element_Map!$A$2:$A$287,$A153,KPI_Element_Map!$G$2:$G$287,AH$1)&gt;0,1,"")</f>
        <v/>
      </c>
      <c r="AI153" s="21" t="str">
        <f>IF(COUNTIFS(KPI_Element_Map!$A$2:$A$287,$A153,KPI_Element_Map!$G$2:$G$287,AI$1)&gt;0,1,"")</f>
        <v/>
      </c>
      <c r="AJ153" s="21" t="str">
        <f>IF(COUNTIFS(KPI_Element_Map!$A$2:$A$287,$A153,KPI_Element_Map!$G$2:$G$287,AJ$1)&gt;0,1,"")</f>
        <v/>
      </c>
      <c r="AK153" s="21" t="str">
        <f>IF(COUNTIFS(KPI_Element_Map!$A$2:$A$287,$A153,KPI_Element_Map!$G$2:$G$287,AK$1)&gt;0,1,"")</f>
        <v/>
      </c>
    </row>
    <row r="154" spans="1:37">
      <c r="A154" s="21">
        <v>153</v>
      </c>
      <c r="B154" s="23" t="str">
        <f>INDEX(KPI_Master!$B:$B,MATCH($A154,KPI_Master!$A:$A,0))</f>
        <v>RESE-14</v>
      </c>
      <c r="C154" s="23" t="str">
        <f>INDEX(KPI_Master!$D:$D,MATCH($A154,KPI_Master!$A:$A,0))</f>
        <v>Resident Technology Engagement Rate</v>
      </c>
      <c r="D154" s="23" t="str">
        <f>INDEX(KPI_Master!$K:$K,MATCH($A154,KPI_Master!$A:$A,0))</f>
        <v>3 - Optional</v>
      </c>
      <c r="E154" s="23" t="str">
        <f t="array" ref="E154">_xlfn.TEXTJOIN(", ",TRUE(),IF(KPI_Element_Map!$A$2:$A$287=$A154,KPI_Element_Map!$E$2:$E$287,""))</f>
        <v>E52, E02</v>
      </c>
      <c r="F154" s="21">
        <f t="shared" si="4"/>
        <v>2</v>
      </c>
      <c r="G154" s="21">
        <f>IF(COUNTIFS(KPI_Element_Map!$A$2:$A$287,$A154,KPI_Element_Map!$G$2:$G$287,G$1)&gt;0,1,"")</f>
        <v>1</v>
      </c>
      <c r="H154" s="21" t="str">
        <f>IF(COUNTIFS(KPI_Element_Map!$A$2:$A$287,$A154,KPI_Element_Map!$G$2:$G$287,H$1)&gt;0,1,"")</f>
        <v/>
      </c>
      <c r="I154" s="21" t="str">
        <f>IF(COUNTIFS(KPI_Element_Map!$A$2:$A$287,$A154,KPI_Element_Map!$G$2:$G$287,I$1)&gt;0,1,"")</f>
        <v/>
      </c>
      <c r="J154" s="21" t="str">
        <f>IF(COUNTIFS(KPI_Element_Map!$A$2:$A$287,$A154,KPI_Element_Map!$G$2:$G$287,J$1)&gt;0,1,"")</f>
        <v/>
      </c>
      <c r="K154" s="21" t="str">
        <f>IF(COUNTIFS(KPI_Element_Map!$A$2:$A$287,$A154,KPI_Element_Map!$G$2:$G$287,K$1)&gt;0,1,"")</f>
        <v/>
      </c>
      <c r="L154" s="21" t="str">
        <f>IF(COUNTIFS(KPI_Element_Map!$A$2:$A$287,$A154,KPI_Element_Map!$G$2:$G$287,L$1)&gt;0,1,"")</f>
        <v/>
      </c>
      <c r="M154" s="21" t="str">
        <f>IF(COUNTIFS(KPI_Element_Map!$A$2:$A$287,$A154,KPI_Element_Map!$G$2:$G$287,M$1)&gt;0,1,"")</f>
        <v/>
      </c>
      <c r="N154" s="21" t="str">
        <f>IF(COUNTIFS(KPI_Element_Map!$A$2:$A$287,$A154,KPI_Element_Map!$G$2:$G$287,N$1)&gt;0,1,"")</f>
        <v/>
      </c>
      <c r="O154" s="21" t="str">
        <f>IF(COUNTIFS(KPI_Element_Map!$A$2:$A$287,$A154,KPI_Element_Map!$G$2:$G$287,O$1)&gt;0,1,"")</f>
        <v/>
      </c>
      <c r="P154" s="21" t="str">
        <f>IF(COUNTIFS(KPI_Element_Map!$A$2:$A$287,$A154,KPI_Element_Map!$G$2:$G$287,P$1)&gt;0,1,"")</f>
        <v/>
      </c>
      <c r="Q154" s="21" t="str">
        <f>IF(COUNTIFS(KPI_Element_Map!$A$2:$A$287,$A154,KPI_Element_Map!$G$2:$G$287,Q$1)&gt;0,1,"")</f>
        <v/>
      </c>
      <c r="R154" s="21" t="str">
        <f>IF(COUNTIFS(KPI_Element_Map!$A$2:$A$287,$A154,KPI_Element_Map!$G$2:$G$287,R$1)&gt;0,1,"")</f>
        <v/>
      </c>
      <c r="S154" s="21" t="str">
        <f>IF(COUNTIFS(KPI_Element_Map!$A$2:$A$287,$A154,KPI_Element_Map!$G$2:$G$287,S$1)&gt;0,1,"")</f>
        <v/>
      </c>
      <c r="T154" s="21" t="str">
        <f>IF(COUNTIFS(KPI_Element_Map!$A$2:$A$287,$A154,KPI_Element_Map!$G$2:$G$287,T$1)&gt;0,1,"")</f>
        <v/>
      </c>
      <c r="U154" s="21" t="str">
        <f>IF(COUNTIFS(KPI_Element_Map!$A$2:$A$287,$A154,KPI_Element_Map!$G$2:$G$287,U$1)&gt;0,1,"")</f>
        <v/>
      </c>
      <c r="V154" s="21" t="str">
        <f>IF(COUNTIFS(KPI_Element_Map!$A$2:$A$287,$A154,KPI_Element_Map!$G$2:$G$287,V$1)&gt;0,1,"")</f>
        <v/>
      </c>
      <c r="W154" s="21" t="str">
        <f>IF(COUNTIFS(KPI_Element_Map!$A$2:$A$287,$A154,KPI_Element_Map!$G$2:$G$287,W$1)&gt;0,1,"")</f>
        <v/>
      </c>
      <c r="X154" s="21" t="str">
        <f>IF(COUNTIFS(KPI_Element_Map!$A$2:$A$287,$A154,KPI_Element_Map!$G$2:$G$287,X$1)&gt;0,1,"")</f>
        <v/>
      </c>
      <c r="Y154" s="21" t="str">
        <f>IF(COUNTIFS(KPI_Element_Map!$A$2:$A$287,$A154,KPI_Element_Map!$G$2:$G$287,Y$1)&gt;0,1,"")</f>
        <v/>
      </c>
      <c r="Z154" s="21" t="str">
        <f>IF(COUNTIFS(KPI_Element_Map!$A$2:$A$287,$A154,KPI_Element_Map!$G$2:$G$287,Z$1)&gt;0,1,"")</f>
        <v/>
      </c>
      <c r="AA154" s="21" t="str">
        <f>IF(COUNTIFS(KPI_Element_Map!$A$2:$A$287,$A154,KPI_Element_Map!$G$2:$G$287,AA$1)&gt;0,1,"")</f>
        <v/>
      </c>
      <c r="AB154" s="21" t="str">
        <f>IF(COUNTIFS(KPI_Element_Map!$A$2:$A$287,$A154,KPI_Element_Map!$G$2:$G$287,AB$1)&gt;0,1,"")</f>
        <v/>
      </c>
      <c r="AC154" s="21" t="str">
        <f>IF(COUNTIFS(KPI_Element_Map!$A$2:$A$287,$A154,KPI_Element_Map!$G$2:$G$287,AC$1)&gt;0,1,"")</f>
        <v/>
      </c>
      <c r="AD154" s="21" t="str">
        <f>IF(COUNTIFS(KPI_Element_Map!$A$2:$A$287,$A154,KPI_Element_Map!$G$2:$G$287,AD$1)&gt;0,1,"")</f>
        <v/>
      </c>
      <c r="AE154" s="21" t="str">
        <f>IF(COUNTIFS(KPI_Element_Map!$A$2:$A$287,$A154,KPI_Element_Map!$G$2:$G$287,AE$1)&gt;0,1,"")</f>
        <v/>
      </c>
      <c r="AF154" s="21">
        <f>IF(COUNTIFS(KPI_Element_Map!$A$2:$A$287,$A154,KPI_Element_Map!$G$2:$G$287,AF$1)&gt;0,1,"")</f>
        <v>1</v>
      </c>
      <c r="AG154" s="21" t="str">
        <f>IF(COUNTIFS(KPI_Element_Map!$A$2:$A$287,$A154,KPI_Element_Map!$G$2:$G$287,AG$1)&gt;0,1,"")</f>
        <v/>
      </c>
      <c r="AH154" s="21" t="str">
        <f>IF(COUNTIFS(KPI_Element_Map!$A$2:$A$287,$A154,KPI_Element_Map!$G$2:$G$287,AH$1)&gt;0,1,"")</f>
        <v/>
      </c>
      <c r="AI154" s="21" t="str">
        <f>IF(COUNTIFS(KPI_Element_Map!$A$2:$A$287,$A154,KPI_Element_Map!$G$2:$G$287,AI$1)&gt;0,1,"")</f>
        <v/>
      </c>
      <c r="AJ154" s="21" t="str">
        <f>IF(COUNTIFS(KPI_Element_Map!$A$2:$A$287,$A154,KPI_Element_Map!$G$2:$G$287,AJ$1)&gt;0,1,"")</f>
        <v/>
      </c>
      <c r="AK154" s="21" t="str">
        <f>IF(COUNTIFS(KPI_Element_Map!$A$2:$A$287,$A154,KPI_Element_Map!$G$2:$G$287,AK$1)&gt;0,1,"")</f>
        <v/>
      </c>
    </row>
    <row r="155" spans="1:37">
      <c r="A155" s="21">
        <v>154</v>
      </c>
      <c r="B155" s="23" t="str">
        <f>INDEX(KPI_Master!$B:$B,MATCH($A155,KPI_Master!$A:$A,0))</f>
        <v>SALM-01</v>
      </c>
      <c r="C155" s="23" t="str">
        <f>INDEX(KPI_Master!$D:$D,MATCH($A155,KPI_Master!$A:$A,0))</f>
        <v>Lead Volume (New Inquiries)</v>
      </c>
      <c r="D155" s="23" t="str">
        <f>INDEX(KPI_Master!$K:$K,MATCH($A155,KPI_Master!$A:$A,0))</f>
        <v>1 - Core</v>
      </c>
      <c r="E155" s="23" t="str">
        <f t="array" ref="E155">_xlfn.TEXTJOIN(", ",TRUE(),IF(KPI_Element_Map!$A$2:$A$287=$A155,KPI_Element_Map!$E$2:$E$287,""))</f>
        <v>E53</v>
      </c>
      <c r="F155" s="21">
        <f t="shared" si="4"/>
        <v>1</v>
      </c>
      <c r="G155" s="21" t="str">
        <f>IF(COUNTIFS(KPI_Element_Map!$A$2:$A$287,$A155,KPI_Element_Map!$G$2:$G$287,G$1)&gt;0,1,"")</f>
        <v/>
      </c>
      <c r="H155" s="21" t="str">
        <f>IF(COUNTIFS(KPI_Element_Map!$A$2:$A$287,$A155,KPI_Element_Map!$G$2:$G$287,H$1)&gt;0,1,"")</f>
        <v/>
      </c>
      <c r="I155" s="21" t="str">
        <f>IF(COUNTIFS(KPI_Element_Map!$A$2:$A$287,$A155,KPI_Element_Map!$G$2:$G$287,I$1)&gt;0,1,"")</f>
        <v/>
      </c>
      <c r="J155" s="21" t="str">
        <f>IF(COUNTIFS(KPI_Element_Map!$A$2:$A$287,$A155,KPI_Element_Map!$G$2:$G$287,J$1)&gt;0,1,"")</f>
        <v/>
      </c>
      <c r="K155" s="21" t="str">
        <f>IF(COUNTIFS(KPI_Element_Map!$A$2:$A$287,$A155,KPI_Element_Map!$G$2:$G$287,K$1)&gt;0,1,"")</f>
        <v/>
      </c>
      <c r="L155" s="21" t="str">
        <f>IF(COUNTIFS(KPI_Element_Map!$A$2:$A$287,$A155,KPI_Element_Map!$G$2:$G$287,L$1)&gt;0,1,"")</f>
        <v/>
      </c>
      <c r="M155" s="21" t="str">
        <f>IF(COUNTIFS(KPI_Element_Map!$A$2:$A$287,$A155,KPI_Element_Map!$G$2:$G$287,M$1)&gt;0,1,"")</f>
        <v/>
      </c>
      <c r="N155" s="21" t="str">
        <f>IF(COUNTIFS(KPI_Element_Map!$A$2:$A$287,$A155,KPI_Element_Map!$G$2:$G$287,N$1)&gt;0,1,"")</f>
        <v/>
      </c>
      <c r="O155" s="21" t="str">
        <f>IF(COUNTIFS(KPI_Element_Map!$A$2:$A$287,$A155,KPI_Element_Map!$G$2:$G$287,O$1)&gt;0,1,"")</f>
        <v/>
      </c>
      <c r="P155" s="21" t="str">
        <f>IF(COUNTIFS(KPI_Element_Map!$A$2:$A$287,$A155,KPI_Element_Map!$G$2:$G$287,P$1)&gt;0,1,"")</f>
        <v/>
      </c>
      <c r="Q155" s="21" t="str">
        <f>IF(COUNTIFS(KPI_Element_Map!$A$2:$A$287,$A155,KPI_Element_Map!$G$2:$G$287,Q$1)&gt;0,1,"")</f>
        <v/>
      </c>
      <c r="R155" s="21" t="str">
        <f>IF(COUNTIFS(KPI_Element_Map!$A$2:$A$287,$A155,KPI_Element_Map!$G$2:$G$287,R$1)&gt;0,1,"")</f>
        <v/>
      </c>
      <c r="S155" s="21" t="str">
        <f>IF(COUNTIFS(KPI_Element_Map!$A$2:$A$287,$A155,KPI_Element_Map!$G$2:$G$287,S$1)&gt;0,1,"")</f>
        <v/>
      </c>
      <c r="T155" s="21" t="str">
        <f>IF(COUNTIFS(KPI_Element_Map!$A$2:$A$287,$A155,KPI_Element_Map!$G$2:$G$287,T$1)&gt;0,1,"")</f>
        <v/>
      </c>
      <c r="U155" s="21" t="str">
        <f>IF(COUNTIFS(KPI_Element_Map!$A$2:$A$287,$A155,KPI_Element_Map!$G$2:$G$287,U$1)&gt;0,1,"")</f>
        <v/>
      </c>
      <c r="V155" s="21" t="str">
        <f>IF(COUNTIFS(KPI_Element_Map!$A$2:$A$287,$A155,KPI_Element_Map!$G$2:$G$287,V$1)&gt;0,1,"")</f>
        <v/>
      </c>
      <c r="W155" s="21" t="str">
        <f>IF(COUNTIFS(KPI_Element_Map!$A$2:$A$287,$A155,KPI_Element_Map!$G$2:$G$287,W$1)&gt;0,1,"")</f>
        <v/>
      </c>
      <c r="X155" s="21" t="str">
        <f>IF(COUNTIFS(KPI_Element_Map!$A$2:$A$287,$A155,KPI_Element_Map!$G$2:$G$287,X$1)&gt;0,1,"")</f>
        <v/>
      </c>
      <c r="Y155" s="21" t="str">
        <f>IF(COUNTIFS(KPI_Element_Map!$A$2:$A$287,$A155,KPI_Element_Map!$G$2:$G$287,Y$1)&gt;0,1,"")</f>
        <v/>
      </c>
      <c r="Z155" s="21" t="str">
        <f>IF(COUNTIFS(KPI_Element_Map!$A$2:$A$287,$A155,KPI_Element_Map!$G$2:$G$287,Z$1)&gt;0,1,"")</f>
        <v/>
      </c>
      <c r="AA155" s="21" t="str">
        <f>IF(COUNTIFS(KPI_Element_Map!$A$2:$A$287,$A155,KPI_Element_Map!$G$2:$G$287,AA$1)&gt;0,1,"")</f>
        <v/>
      </c>
      <c r="AB155" s="21" t="str">
        <f>IF(COUNTIFS(KPI_Element_Map!$A$2:$A$287,$A155,KPI_Element_Map!$G$2:$G$287,AB$1)&gt;0,1,"")</f>
        <v/>
      </c>
      <c r="AC155" s="21" t="str">
        <f>IF(COUNTIFS(KPI_Element_Map!$A$2:$A$287,$A155,KPI_Element_Map!$G$2:$G$287,AC$1)&gt;0,1,"")</f>
        <v/>
      </c>
      <c r="AD155" s="21" t="str">
        <f>IF(COUNTIFS(KPI_Element_Map!$A$2:$A$287,$A155,KPI_Element_Map!$G$2:$G$287,AD$1)&gt;0,1,"")</f>
        <v/>
      </c>
      <c r="AE155" s="21" t="str">
        <f>IF(COUNTIFS(KPI_Element_Map!$A$2:$A$287,$A155,KPI_Element_Map!$G$2:$G$287,AE$1)&gt;0,1,"")</f>
        <v/>
      </c>
      <c r="AF155" s="21" t="str">
        <f>IF(COUNTIFS(KPI_Element_Map!$A$2:$A$287,$A155,KPI_Element_Map!$G$2:$G$287,AF$1)&gt;0,1,"")</f>
        <v/>
      </c>
      <c r="AG155" s="21">
        <f>IF(COUNTIFS(KPI_Element_Map!$A$2:$A$287,$A155,KPI_Element_Map!$G$2:$G$287,AG$1)&gt;0,1,"")</f>
        <v>1</v>
      </c>
      <c r="AH155" s="21" t="str">
        <f>IF(COUNTIFS(KPI_Element_Map!$A$2:$A$287,$A155,KPI_Element_Map!$G$2:$G$287,AH$1)&gt;0,1,"")</f>
        <v/>
      </c>
      <c r="AI155" s="21" t="str">
        <f>IF(COUNTIFS(KPI_Element_Map!$A$2:$A$287,$A155,KPI_Element_Map!$G$2:$G$287,AI$1)&gt;0,1,"")</f>
        <v/>
      </c>
      <c r="AJ155" s="21" t="str">
        <f>IF(COUNTIFS(KPI_Element_Map!$A$2:$A$287,$A155,KPI_Element_Map!$G$2:$G$287,AJ$1)&gt;0,1,"")</f>
        <v/>
      </c>
      <c r="AK155" s="21" t="str">
        <f>IF(COUNTIFS(KPI_Element_Map!$A$2:$A$287,$A155,KPI_Element_Map!$G$2:$G$287,AK$1)&gt;0,1,"")</f>
        <v/>
      </c>
    </row>
    <row r="156" spans="1:37">
      <c r="A156" s="21">
        <v>155</v>
      </c>
      <c r="B156" s="23" t="str">
        <f>INDEX(KPI_Master!$B:$B,MATCH($A156,KPI_Master!$A:$A,0))</f>
        <v>SALM-02</v>
      </c>
      <c r="C156" s="23" t="str">
        <f>INDEX(KPI_Master!$D:$D,MATCH($A156,KPI_Master!$A:$A,0))</f>
        <v>Lead to Tour Conversion Rate</v>
      </c>
      <c r="D156" s="23" t="str">
        <f>INDEX(KPI_Master!$K:$K,MATCH($A156,KPI_Master!$A:$A,0))</f>
        <v>2 - Standard</v>
      </c>
      <c r="E156" s="23" t="str">
        <f t="array" ref="E156">_xlfn.TEXTJOIN(", ",TRUE(),IF(KPI_Element_Map!$A$2:$A$287=$A156,KPI_Element_Map!$E$2:$E$287,""))</f>
        <v>E53</v>
      </c>
      <c r="F156" s="21">
        <f t="shared" si="4"/>
        <v>1</v>
      </c>
      <c r="G156" s="21" t="str">
        <f>IF(COUNTIFS(KPI_Element_Map!$A$2:$A$287,$A156,KPI_Element_Map!$G$2:$G$287,G$1)&gt;0,1,"")</f>
        <v/>
      </c>
      <c r="H156" s="21" t="str">
        <f>IF(COUNTIFS(KPI_Element_Map!$A$2:$A$287,$A156,KPI_Element_Map!$G$2:$G$287,H$1)&gt;0,1,"")</f>
        <v/>
      </c>
      <c r="I156" s="21" t="str">
        <f>IF(COUNTIFS(KPI_Element_Map!$A$2:$A$287,$A156,KPI_Element_Map!$G$2:$G$287,I$1)&gt;0,1,"")</f>
        <v/>
      </c>
      <c r="J156" s="21" t="str">
        <f>IF(COUNTIFS(KPI_Element_Map!$A$2:$A$287,$A156,KPI_Element_Map!$G$2:$G$287,J$1)&gt;0,1,"")</f>
        <v/>
      </c>
      <c r="K156" s="21" t="str">
        <f>IF(COUNTIFS(KPI_Element_Map!$A$2:$A$287,$A156,KPI_Element_Map!$G$2:$G$287,K$1)&gt;0,1,"")</f>
        <v/>
      </c>
      <c r="L156" s="21" t="str">
        <f>IF(COUNTIFS(KPI_Element_Map!$A$2:$A$287,$A156,KPI_Element_Map!$G$2:$G$287,L$1)&gt;0,1,"")</f>
        <v/>
      </c>
      <c r="M156" s="21" t="str">
        <f>IF(COUNTIFS(KPI_Element_Map!$A$2:$A$287,$A156,KPI_Element_Map!$G$2:$G$287,M$1)&gt;0,1,"")</f>
        <v/>
      </c>
      <c r="N156" s="21" t="str">
        <f>IF(COUNTIFS(KPI_Element_Map!$A$2:$A$287,$A156,KPI_Element_Map!$G$2:$G$287,N$1)&gt;0,1,"")</f>
        <v/>
      </c>
      <c r="O156" s="21" t="str">
        <f>IF(COUNTIFS(KPI_Element_Map!$A$2:$A$287,$A156,KPI_Element_Map!$G$2:$G$287,O$1)&gt;0,1,"")</f>
        <v/>
      </c>
      <c r="P156" s="21" t="str">
        <f>IF(COUNTIFS(KPI_Element_Map!$A$2:$A$287,$A156,KPI_Element_Map!$G$2:$G$287,P$1)&gt;0,1,"")</f>
        <v/>
      </c>
      <c r="Q156" s="21" t="str">
        <f>IF(COUNTIFS(KPI_Element_Map!$A$2:$A$287,$A156,KPI_Element_Map!$G$2:$G$287,Q$1)&gt;0,1,"")</f>
        <v/>
      </c>
      <c r="R156" s="21" t="str">
        <f>IF(COUNTIFS(KPI_Element_Map!$A$2:$A$287,$A156,KPI_Element_Map!$G$2:$G$287,R$1)&gt;0,1,"")</f>
        <v/>
      </c>
      <c r="S156" s="21" t="str">
        <f>IF(COUNTIFS(KPI_Element_Map!$A$2:$A$287,$A156,KPI_Element_Map!$G$2:$G$287,S$1)&gt;0,1,"")</f>
        <v/>
      </c>
      <c r="T156" s="21" t="str">
        <f>IF(COUNTIFS(KPI_Element_Map!$A$2:$A$287,$A156,KPI_Element_Map!$G$2:$G$287,T$1)&gt;0,1,"")</f>
        <v/>
      </c>
      <c r="U156" s="21" t="str">
        <f>IF(COUNTIFS(KPI_Element_Map!$A$2:$A$287,$A156,KPI_Element_Map!$G$2:$G$287,U$1)&gt;0,1,"")</f>
        <v/>
      </c>
      <c r="V156" s="21" t="str">
        <f>IF(COUNTIFS(KPI_Element_Map!$A$2:$A$287,$A156,KPI_Element_Map!$G$2:$G$287,V$1)&gt;0,1,"")</f>
        <v/>
      </c>
      <c r="W156" s="21" t="str">
        <f>IF(COUNTIFS(KPI_Element_Map!$A$2:$A$287,$A156,KPI_Element_Map!$G$2:$G$287,W$1)&gt;0,1,"")</f>
        <v/>
      </c>
      <c r="X156" s="21" t="str">
        <f>IF(COUNTIFS(KPI_Element_Map!$A$2:$A$287,$A156,KPI_Element_Map!$G$2:$G$287,X$1)&gt;0,1,"")</f>
        <v/>
      </c>
      <c r="Y156" s="21" t="str">
        <f>IF(COUNTIFS(KPI_Element_Map!$A$2:$A$287,$A156,KPI_Element_Map!$G$2:$G$287,Y$1)&gt;0,1,"")</f>
        <v/>
      </c>
      <c r="Z156" s="21" t="str">
        <f>IF(COUNTIFS(KPI_Element_Map!$A$2:$A$287,$A156,KPI_Element_Map!$G$2:$G$287,Z$1)&gt;0,1,"")</f>
        <v/>
      </c>
      <c r="AA156" s="21" t="str">
        <f>IF(COUNTIFS(KPI_Element_Map!$A$2:$A$287,$A156,KPI_Element_Map!$G$2:$G$287,AA$1)&gt;0,1,"")</f>
        <v/>
      </c>
      <c r="AB156" s="21" t="str">
        <f>IF(COUNTIFS(KPI_Element_Map!$A$2:$A$287,$A156,KPI_Element_Map!$G$2:$G$287,AB$1)&gt;0,1,"")</f>
        <v/>
      </c>
      <c r="AC156" s="21" t="str">
        <f>IF(COUNTIFS(KPI_Element_Map!$A$2:$A$287,$A156,KPI_Element_Map!$G$2:$G$287,AC$1)&gt;0,1,"")</f>
        <v/>
      </c>
      <c r="AD156" s="21" t="str">
        <f>IF(COUNTIFS(KPI_Element_Map!$A$2:$A$287,$A156,KPI_Element_Map!$G$2:$G$287,AD$1)&gt;0,1,"")</f>
        <v/>
      </c>
      <c r="AE156" s="21" t="str">
        <f>IF(COUNTIFS(KPI_Element_Map!$A$2:$A$287,$A156,KPI_Element_Map!$G$2:$G$287,AE$1)&gt;0,1,"")</f>
        <v/>
      </c>
      <c r="AF156" s="21" t="str">
        <f>IF(COUNTIFS(KPI_Element_Map!$A$2:$A$287,$A156,KPI_Element_Map!$G$2:$G$287,AF$1)&gt;0,1,"")</f>
        <v/>
      </c>
      <c r="AG156" s="21">
        <f>IF(COUNTIFS(KPI_Element_Map!$A$2:$A$287,$A156,KPI_Element_Map!$G$2:$G$287,AG$1)&gt;0,1,"")</f>
        <v>1</v>
      </c>
      <c r="AH156" s="21" t="str">
        <f>IF(COUNTIFS(KPI_Element_Map!$A$2:$A$287,$A156,KPI_Element_Map!$G$2:$G$287,AH$1)&gt;0,1,"")</f>
        <v/>
      </c>
      <c r="AI156" s="21" t="str">
        <f>IF(COUNTIFS(KPI_Element_Map!$A$2:$A$287,$A156,KPI_Element_Map!$G$2:$G$287,AI$1)&gt;0,1,"")</f>
        <v/>
      </c>
      <c r="AJ156" s="21" t="str">
        <f>IF(COUNTIFS(KPI_Element_Map!$A$2:$A$287,$A156,KPI_Element_Map!$G$2:$G$287,AJ$1)&gt;0,1,"")</f>
        <v/>
      </c>
      <c r="AK156" s="21" t="str">
        <f>IF(COUNTIFS(KPI_Element_Map!$A$2:$A$287,$A156,KPI_Element_Map!$G$2:$G$287,AK$1)&gt;0,1,"")</f>
        <v/>
      </c>
    </row>
    <row r="157" spans="1:37">
      <c r="A157" s="21">
        <v>156</v>
      </c>
      <c r="B157" s="23" t="str">
        <f>INDEX(KPI_Master!$B:$B,MATCH($A157,KPI_Master!$A:$A,0))</f>
        <v>SALM-03</v>
      </c>
      <c r="C157" s="23" t="str">
        <f>INDEX(KPI_Master!$D:$D,MATCH($A157,KPI_Master!$A:$A,0))</f>
        <v>Tour to Deposit Conversion Rate</v>
      </c>
      <c r="D157" s="23" t="str">
        <f>INDEX(KPI_Master!$K:$K,MATCH($A157,KPI_Master!$A:$A,0))</f>
        <v>1 - Core</v>
      </c>
      <c r="E157" s="23" t="str">
        <f t="array" ref="E157">_xlfn.TEXTJOIN(", ",TRUE(),IF(KPI_Element_Map!$A$2:$A$287=$A157,KPI_Element_Map!$E$2:$E$287,""))</f>
        <v>E53</v>
      </c>
      <c r="F157" s="21">
        <f t="shared" si="4"/>
        <v>1</v>
      </c>
      <c r="G157" s="21" t="str">
        <f>IF(COUNTIFS(KPI_Element_Map!$A$2:$A$287,$A157,KPI_Element_Map!$G$2:$G$287,G$1)&gt;0,1,"")</f>
        <v/>
      </c>
      <c r="H157" s="21" t="str">
        <f>IF(COUNTIFS(KPI_Element_Map!$A$2:$A$287,$A157,KPI_Element_Map!$G$2:$G$287,H$1)&gt;0,1,"")</f>
        <v/>
      </c>
      <c r="I157" s="21" t="str">
        <f>IF(COUNTIFS(KPI_Element_Map!$A$2:$A$287,$A157,KPI_Element_Map!$G$2:$G$287,I$1)&gt;0,1,"")</f>
        <v/>
      </c>
      <c r="J157" s="21" t="str">
        <f>IF(COUNTIFS(KPI_Element_Map!$A$2:$A$287,$A157,KPI_Element_Map!$G$2:$G$287,J$1)&gt;0,1,"")</f>
        <v/>
      </c>
      <c r="K157" s="21" t="str">
        <f>IF(COUNTIFS(KPI_Element_Map!$A$2:$A$287,$A157,KPI_Element_Map!$G$2:$G$287,K$1)&gt;0,1,"")</f>
        <v/>
      </c>
      <c r="L157" s="21" t="str">
        <f>IF(COUNTIFS(KPI_Element_Map!$A$2:$A$287,$A157,KPI_Element_Map!$G$2:$G$287,L$1)&gt;0,1,"")</f>
        <v/>
      </c>
      <c r="M157" s="21" t="str">
        <f>IF(COUNTIFS(KPI_Element_Map!$A$2:$A$287,$A157,KPI_Element_Map!$G$2:$G$287,M$1)&gt;0,1,"")</f>
        <v/>
      </c>
      <c r="N157" s="21" t="str">
        <f>IF(COUNTIFS(KPI_Element_Map!$A$2:$A$287,$A157,KPI_Element_Map!$G$2:$G$287,N$1)&gt;0,1,"")</f>
        <v/>
      </c>
      <c r="O157" s="21" t="str">
        <f>IF(COUNTIFS(KPI_Element_Map!$A$2:$A$287,$A157,KPI_Element_Map!$G$2:$G$287,O$1)&gt;0,1,"")</f>
        <v/>
      </c>
      <c r="P157" s="21" t="str">
        <f>IF(COUNTIFS(KPI_Element_Map!$A$2:$A$287,$A157,KPI_Element_Map!$G$2:$G$287,P$1)&gt;0,1,"")</f>
        <v/>
      </c>
      <c r="Q157" s="21" t="str">
        <f>IF(COUNTIFS(KPI_Element_Map!$A$2:$A$287,$A157,KPI_Element_Map!$G$2:$G$287,Q$1)&gt;0,1,"")</f>
        <v/>
      </c>
      <c r="R157" s="21" t="str">
        <f>IF(COUNTIFS(KPI_Element_Map!$A$2:$A$287,$A157,KPI_Element_Map!$G$2:$G$287,R$1)&gt;0,1,"")</f>
        <v/>
      </c>
      <c r="S157" s="21" t="str">
        <f>IF(COUNTIFS(KPI_Element_Map!$A$2:$A$287,$A157,KPI_Element_Map!$G$2:$G$287,S$1)&gt;0,1,"")</f>
        <v/>
      </c>
      <c r="T157" s="21" t="str">
        <f>IF(COUNTIFS(KPI_Element_Map!$A$2:$A$287,$A157,KPI_Element_Map!$G$2:$G$287,T$1)&gt;0,1,"")</f>
        <v/>
      </c>
      <c r="U157" s="21" t="str">
        <f>IF(COUNTIFS(KPI_Element_Map!$A$2:$A$287,$A157,KPI_Element_Map!$G$2:$G$287,U$1)&gt;0,1,"")</f>
        <v/>
      </c>
      <c r="V157" s="21" t="str">
        <f>IF(COUNTIFS(KPI_Element_Map!$A$2:$A$287,$A157,KPI_Element_Map!$G$2:$G$287,V$1)&gt;0,1,"")</f>
        <v/>
      </c>
      <c r="W157" s="21" t="str">
        <f>IF(COUNTIFS(KPI_Element_Map!$A$2:$A$287,$A157,KPI_Element_Map!$G$2:$G$287,W$1)&gt;0,1,"")</f>
        <v/>
      </c>
      <c r="X157" s="21" t="str">
        <f>IF(COUNTIFS(KPI_Element_Map!$A$2:$A$287,$A157,KPI_Element_Map!$G$2:$G$287,X$1)&gt;0,1,"")</f>
        <v/>
      </c>
      <c r="Y157" s="21" t="str">
        <f>IF(COUNTIFS(KPI_Element_Map!$A$2:$A$287,$A157,KPI_Element_Map!$G$2:$G$287,Y$1)&gt;0,1,"")</f>
        <v/>
      </c>
      <c r="Z157" s="21" t="str">
        <f>IF(COUNTIFS(KPI_Element_Map!$A$2:$A$287,$A157,KPI_Element_Map!$G$2:$G$287,Z$1)&gt;0,1,"")</f>
        <v/>
      </c>
      <c r="AA157" s="21" t="str">
        <f>IF(COUNTIFS(KPI_Element_Map!$A$2:$A$287,$A157,KPI_Element_Map!$G$2:$G$287,AA$1)&gt;0,1,"")</f>
        <v/>
      </c>
      <c r="AB157" s="21" t="str">
        <f>IF(COUNTIFS(KPI_Element_Map!$A$2:$A$287,$A157,KPI_Element_Map!$G$2:$G$287,AB$1)&gt;0,1,"")</f>
        <v/>
      </c>
      <c r="AC157" s="21" t="str">
        <f>IF(COUNTIFS(KPI_Element_Map!$A$2:$A$287,$A157,KPI_Element_Map!$G$2:$G$287,AC$1)&gt;0,1,"")</f>
        <v/>
      </c>
      <c r="AD157" s="21" t="str">
        <f>IF(COUNTIFS(KPI_Element_Map!$A$2:$A$287,$A157,KPI_Element_Map!$G$2:$G$287,AD$1)&gt;0,1,"")</f>
        <v/>
      </c>
      <c r="AE157" s="21" t="str">
        <f>IF(COUNTIFS(KPI_Element_Map!$A$2:$A$287,$A157,KPI_Element_Map!$G$2:$G$287,AE$1)&gt;0,1,"")</f>
        <v/>
      </c>
      <c r="AF157" s="21" t="str">
        <f>IF(COUNTIFS(KPI_Element_Map!$A$2:$A$287,$A157,KPI_Element_Map!$G$2:$G$287,AF$1)&gt;0,1,"")</f>
        <v/>
      </c>
      <c r="AG157" s="21">
        <f>IF(COUNTIFS(KPI_Element_Map!$A$2:$A$287,$A157,KPI_Element_Map!$G$2:$G$287,AG$1)&gt;0,1,"")</f>
        <v>1</v>
      </c>
      <c r="AH157" s="21" t="str">
        <f>IF(COUNTIFS(KPI_Element_Map!$A$2:$A$287,$A157,KPI_Element_Map!$G$2:$G$287,AH$1)&gt;0,1,"")</f>
        <v/>
      </c>
      <c r="AI157" s="21" t="str">
        <f>IF(COUNTIFS(KPI_Element_Map!$A$2:$A$287,$A157,KPI_Element_Map!$G$2:$G$287,AI$1)&gt;0,1,"")</f>
        <v/>
      </c>
      <c r="AJ157" s="21" t="str">
        <f>IF(COUNTIFS(KPI_Element_Map!$A$2:$A$287,$A157,KPI_Element_Map!$G$2:$G$287,AJ$1)&gt;0,1,"")</f>
        <v/>
      </c>
      <c r="AK157" s="21" t="str">
        <f>IF(COUNTIFS(KPI_Element_Map!$A$2:$A$287,$A157,KPI_Element_Map!$G$2:$G$287,AK$1)&gt;0,1,"")</f>
        <v/>
      </c>
    </row>
    <row r="158" spans="1:37">
      <c r="A158" s="21">
        <v>157</v>
      </c>
      <c r="B158" s="23" t="str">
        <f>INDEX(KPI_Master!$B:$B,MATCH($A158,KPI_Master!$A:$A,0))</f>
        <v>SALM-04</v>
      </c>
      <c r="C158" s="23" t="str">
        <f>INDEX(KPI_Master!$D:$D,MATCH($A158,KPI_Master!$A:$A,0))</f>
        <v>Lead to Move-In Conversion Rate</v>
      </c>
      <c r="D158" s="23" t="str">
        <f>INDEX(KPI_Master!$K:$K,MATCH($A158,KPI_Master!$A:$A,0))</f>
        <v>2 - Standard</v>
      </c>
      <c r="E158" s="23" t="str">
        <f t="array" ref="E158">_xlfn.TEXTJOIN(", ",TRUE(),IF(KPI_Element_Map!$A$2:$A$287=$A158,KPI_Element_Map!$E$2:$E$287,""))</f>
        <v>E07, E53</v>
      </c>
      <c r="F158" s="21">
        <f t="shared" si="4"/>
        <v>2</v>
      </c>
      <c r="G158" s="21">
        <f>IF(COUNTIFS(KPI_Element_Map!$A$2:$A$287,$A158,KPI_Element_Map!$G$2:$G$287,G$1)&gt;0,1,"")</f>
        <v>1</v>
      </c>
      <c r="H158" s="21" t="str">
        <f>IF(COUNTIFS(KPI_Element_Map!$A$2:$A$287,$A158,KPI_Element_Map!$G$2:$G$287,H$1)&gt;0,1,"")</f>
        <v/>
      </c>
      <c r="I158" s="21" t="str">
        <f>IF(COUNTIFS(KPI_Element_Map!$A$2:$A$287,$A158,KPI_Element_Map!$G$2:$G$287,I$1)&gt;0,1,"")</f>
        <v/>
      </c>
      <c r="J158" s="21" t="str">
        <f>IF(COUNTIFS(KPI_Element_Map!$A$2:$A$287,$A158,KPI_Element_Map!$G$2:$G$287,J$1)&gt;0,1,"")</f>
        <v/>
      </c>
      <c r="K158" s="21" t="str">
        <f>IF(COUNTIFS(KPI_Element_Map!$A$2:$A$287,$A158,KPI_Element_Map!$G$2:$G$287,K$1)&gt;0,1,"")</f>
        <v/>
      </c>
      <c r="L158" s="21" t="str">
        <f>IF(COUNTIFS(KPI_Element_Map!$A$2:$A$287,$A158,KPI_Element_Map!$G$2:$G$287,L$1)&gt;0,1,"")</f>
        <v/>
      </c>
      <c r="M158" s="21" t="str">
        <f>IF(COUNTIFS(KPI_Element_Map!$A$2:$A$287,$A158,KPI_Element_Map!$G$2:$G$287,M$1)&gt;0,1,"")</f>
        <v/>
      </c>
      <c r="N158" s="21" t="str">
        <f>IF(COUNTIFS(KPI_Element_Map!$A$2:$A$287,$A158,KPI_Element_Map!$G$2:$G$287,N$1)&gt;0,1,"")</f>
        <v/>
      </c>
      <c r="O158" s="21" t="str">
        <f>IF(COUNTIFS(KPI_Element_Map!$A$2:$A$287,$A158,KPI_Element_Map!$G$2:$G$287,O$1)&gt;0,1,"")</f>
        <v/>
      </c>
      <c r="P158" s="21" t="str">
        <f>IF(COUNTIFS(KPI_Element_Map!$A$2:$A$287,$A158,KPI_Element_Map!$G$2:$G$287,P$1)&gt;0,1,"")</f>
        <v/>
      </c>
      <c r="Q158" s="21" t="str">
        <f>IF(COUNTIFS(KPI_Element_Map!$A$2:$A$287,$A158,KPI_Element_Map!$G$2:$G$287,Q$1)&gt;0,1,"")</f>
        <v/>
      </c>
      <c r="R158" s="21" t="str">
        <f>IF(COUNTIFS(KPI_Element_Map!$A$2:$A$287,$A158,KPI_Element_Map!$G$2:$G$287,R$1)&gt;0,1,"")</f>
        <v/>
      </c>
      <c r="S158" s="21" t="str">
        <f>IF(COUNTIFS(KPI_Element_Map!$A$2:$A$287,$A158,KPI_Element_Map!$G$2:$G$287,S$1)&gt;0,1,"")</f>
        <v/>
      </c>
      <c r="T158" s="21" t="str">
        <f>IF(COUNTIFS(KPI_Element_Map!$A$2:$A$287,$A158,KPI_Element_Map!$G$2:$G$287,T$1)&gt;0,1,"")</f>
        <v/>
      </c>
      <c r="U158" s="21" t="str">
        <f>IF(COUNTIFS(KPI_Element_Map!$A$2:$A$287,$A158,KPI_Element_Map!$G$2:$G$287,U$1)&gt;0,1,"")</f>
        <v/>
      </c>
      <c r="V158" s="21" t="str">
        <f>IF(COUNTIFS(KPI_Element_Map!$A$2:$A$287,$A158,KPI_Element_Map!$G$2:$G$287,V$1)&gt;0,1,"")</f>
        <v/>
      </c>
      <c r="W158" s="21" t="str">
        <f>IF(COUNTIFS(KPI_Element_Map!$A$2:$A$287,$A158,KPI_Element_Map!$G$2:$G$287,W$1)&gt;0,1,"")</f>
        <v/>
      </c>
      <c r="X158" s="21" t="str">
        <f>IF(COUNTIFS(KPI_Element_Map!$A$2:$A$287,$A158,KPI_Element_Map!$G$2:$G$287,X$1)&gt;0,1,"")</f>
        <v/>
      </c>
      <c r="Y158" s="21" t="str">
        <f>IF(COUNTIFS(KPI_Element_Map!$A$2:$A$287,$A158,KPI_Element_Map!$G$2:$G$287,Y$1)&gt;0,1,"")</f>
        <v/>
      </c>
      <c r="Z158" s="21" t="str">
        <f>IF(COUNTIFS(KPI_Element_Map!$A$2:$A$287,$A158,KPI_Element_Map!$G$2:$G$287,Z$1)&gt;0,1,"")</f>
        <v/>
      </c>
      <c r="AA158" s="21" t="str">
        <f>IF(COUNTIFS(KPI_Element_Map!$A$2:$A$287,$A158,KPI_Element_Map!$G$2:$G$287,AA$1)&gt;0,1,"")</f>
        <v/>
      </c>
      <c r="AB158" s="21" t="str">
        <f>IF(COUNTIFS(KPI_Element_Map!$A$2:$A$287,$A158,KPI_Element_Map!$G$2:$G$287,AB$1)&gt;0,1,"")</f>
        <v/>
      </c>
      <c r="AC158" s="21" t="str">
        <f>IF(COUNTIFS(KPI_Element_Map!$A$2:$A$287,$A158,KPI_Element_Map!$G$2:$G$287,AC$1)&gt;0,1,"")</f>
        <v/>
      </c>
      <c r="AD158" s="21" t="str">
        <f>IF(COUNTIFS(KPI_Element_Map!$A$2:$A$287,$A158,KPI_Element_Map!$G$2:$G$287,AD$1)&gt;0,1,"")</f>
        <v/>
      </c>
      <c r="AE158" s="21" t="str">
        <f>IF(COUNTIFS(KPI_Element_Map!$A$2:$A$287,$A158,KPI_Element_Map!$G$2:$G$287,AE$1)&gt;0,1,"")</f>
        <v/>
      </c>
      <c r="AF158" s="21" t="str">
        <f>IF(COUNTIFS(KPI_Element_Map!$A$2:$A$287,$A158,KPI_Element_Map!$G$2:$G$287,AF$1)&gt;0,1,"")</f>
        <v/>
      </c>
      <c r="AG158" s="21">
        <f>IF(COUNTIFS(KPI_Element_Map!$A$2:$A$287,$A158,KPI_Element_Map!$G$2:$G$287,AG$1)&gt;0,1,"")</f>
        <v>1</v>
      </c>
      <c r="AH158" s="21" t="str">
        <f>IF(COUNTIFS(KPI_Element_Map!$A$2:$A$287,$A158,KPI_Element_Map!$G$2:$G$287,AH$1)&gt;0,1,"")</f>
        <v/>
      </c>
      <c r="AI158" s="21" t="str">
        <f>IF(COUNTIFS(KPI_Element_Map!$A$2:$A$287,$A158,KPI_Element_Map!$G$2:$G$287,AI$1)&gt;0,1,"")</f>
        <v/>
      </c>
      <c r="AJ158" s="21" t="str">
        <f>IF(COUNTIFS(KPI_Element_Map!$A$2:$A$287,$A158,KPI_Element_Map!$G$2:$G$287,AJ$1)&gt;0,1,"")</f>
        <v/>
      </c>
      <c r="AK158" s="21" t="str">
        <f>IF(COUNTIFS(KPI_Element_Map!$A$2:$A$287,$A158,KPI_Element_Map!$G$2:$G$287,AK$1)&gt;0,1,"")</f>
        <v/>
      </c>
    </row>
    <row r="159" spans="1:37">
      <c r="A159" s="21">
        <v>158</v>
      </c>
      <c r="B159" s="23" t="str">
        <f>INDEX(KPI_Master!$B:$B,MATCH($A159,KPI_Master!$A:$A,0))</f>
        <v>SALM-08</v>
      </c>
      <c r="C159" s="23" t="str">
        <f>INDEX(KPI_Master!$D:$D,MATCH($A159,KPI_Master!$A:$A,0))</f>
        <v>Net Move-Ins</v>
      </c>
      <c r="D159" s="23" t="str">
        <f>INDEX(KPI_Master!$K:$K,MATCH($A159,KPI_Master!$A:$A,0))</f>
        <v>1 - Core</v>
      </c>
      <c r="E159" s="23" t="str">
        <f t="array" ref="E159">_xlfn.TEXTJOIN(", ",TRUE(),IF(KPI_Element_Map!$A$2:$A$287=$A159,KPI_Element_Map!$E$2:$E$287,""))</f>
        <v>E07, E08</v>
      </c>
      <c r="F159" s="21">
        <f t="shared" si="4"/>
        <v>1</v>
      </c>
      <c r="G159" s="21">
        <f>IF(COUNTIFS(KPI_Element_Map!$A$2:$A$287,$A159,KPI_Element_Map!$G$2:$G$287,G$1)&gt;0,1,"")</f>
        <v>1</v>
      </c>
      <c r="H159" s="21" t="str">
        <f>IF(COUNTIFS(KPI_Element_Map!$A$2:$A$287,$A159,KPI_Element_Map!$G$2:$G$287,H$1)&gt;0,1,"")</f>
        <v/>
      </c>
      <c r="I159" s="21" t="str">
        <f>IF(COUNTIFS(KPI_Element_Map!$A$2:$A$287,$A159,KPI_Element_Map!$G$2:$G$287,I$1)&gt;0,1,"")</f>
        <v/>
      </c>
      <c r="J159" s="21" t="str">
        <f>IF(COUNTIFS(KPI_Element_Map!$A$2:$A$287,$A159,KPI_Element_Map!$G$2:$G$287,J$1)&gt;0,1,"")</f>
        <v/>
      </c>
      <c r="K159" s="21" t="str">
        <f>IF(COUNTIFS(KPI_Element_Map!$A$2:$A$287,$A159,KPI_Element_Map!$G$2:$G$287,K$1)&gt;0,1,"")</f>
        <v/>
      </c>
      <c r="L159" s="21" t="str">
        <f>IF(COUNTIFS(KPI_Element_Map!$A$2:$A$287,$A159,KPI_Element_Map!$G$2:$G$287,L$1)&gt;0,1,"")</f>
        <v/>
      </c>
      <c r="M159" s="21" t="str">
        <f>IF(COUNTIFS(KPI_Element_Map!$A$2:$A$287,$A159,KPI_Element_Map!$G$2:$G$287,M$1)&gt;0,1,"")</f>
        <v/>
      </c>
      <c r="N159" s="21" t="str">
        <f>IF(COUNTIFS(KPI_Element_Map!$A$2:$A$287,$A159,KPI_Element_Map!$G$2:$G$287,N$1)&gt;0,1,"")</f>
        <v/>
      </c>
      <c r="O159" s="21" t="str">
        <f>IF(COUNTIFS(KPI_Element_Map!$A$2:$A$287,$A159,KPI_Element_Map!$G$2:$G$287,O$1)&gt;0,1,"")</f>
        <v/>
      </c>
      <c r="P159" s="21" t="str">
        <f>IF(COUNTIFS(KPI_Element_Map!$A$2:$A$287,$A159,KPI_Element_Map!$G$2:$G$287,P$1)&gt;0,1,"")</f>
        <v/>
      </c>
      <c r="Q159" s="21" t="str">
        <f>IF(COUNTIFS(KPI_Element_Map!$A$2:$A$287,$A159,KPI_Element_Map!$G$2:$G$287,Q$1)&gt;0,1,"")</f>
        <v/>
      </c>
      <c r="R159" s="21" t="str">
        <f>IF(COUNTIFS(KPI_Element_Map!$A$2:$A$287,$A159,KPI_Element_Map!$G$2:$G$287,R$1)&gt;0,1,"")</f>
        <v/>
      </c>
      <c r="S159" s="21" t="str">
        <f>IF(COUNTIFS(KPI_Element_Map!$A$2:$A$287,$A159,KPI_Element_Map!$G$2:$G$287,S$1)&gt;0,1,"")</f>
        <v/>
      </c>
      <c r="T159" s="21" t="str">
        <f>IF(COUNTIFS(KPI_Element_Map!$A$2:$A$287,$A159,KPI_Element_Map!$G$2:$G$287,T$1)&gt;0,1,"")</f>
        <v/>
      </c>
      <c r="U159" s="21" t="str">
        <f>IF(COUNTIFS(KPI_Element_Map!$A$2:$A$287,$A159,KPI_Element_Map!$G$2:$G$287,U$1)&gt;0,1,"")</f>
        <v/>
      </c>
      <c r="V159" s="21" t="str">
        <f>IF(COUNTIFS(KPI_Element_Map!$A$2:$A$287,$A159,KPI_Element_Map!$G$2:$G$287,V$1)&gt;0,1,"")</f>
        <v/>
      </c>
      <c r="W159" s="21" t="str">
        <f>IF(COUNTIFS(KPI_Element_Map!$A$2:$A$287,$A159,KPI_Element_Map!$G$2:$G$287,W$1)&gt;0,1,"")</f>
        <v/>
      </c>
      <c r="X159" s="21" t="str">
        <f>IF(COUNTIFS(KPI_Element_Map!$A$2:$A$287,$A159,KPI_Element_Map!$G$2:$G$287,X$1)&gt;0,1,"")</f>
        <v/>
      </c>
      <c r="Y159" s="21" t="str">
        <f>IF(COUNTIFS(KPI_Element_Map!$A$2:$A$287,$A159,KPI_Element_Map!$G$2:$G$287,Y$1)&gt;0,1,"")</f>
        <v/>
      </c>
      <c r="Z159" s="21" t="str">
        <f>IF(COUNTIFS(KPI_Element_Map!$A$2:$A$287,$A159,KPI_Element_Map!$G$2:$G$287,Z$1)&gt;0,1,"")</f>
        <v/>
      </c>
      <c r="AA159" s="21" t="str">
        <f>IF(COUNTIFS(KPI_Element_Map!$A$2:$A$287,$A159,KPI_Element_Map!$G$2:$G$287,AA$1)&gt;0,1,"")</f>
        <v/>
      </c>
      <c r="AB159" s="21" t="str">
        <f>IF(COUNTIFS(KPI_Element_Map!$A$2:$A$287,$A159,KPI_Element_Map!$G$2:$G$287,AB$1)&gt;0,1,"")</f>
        <v/>
      </c>
      <c r="AC159" s="21" t="str">
        <f>IF(COUNTIFS(KPI_Element_Map!$A$2:$A$287,$A159,KPI_Element_Map!$G$2:$G$287,AC$1)&gt;0,1,"")</f>
        <v/>
      </c>
      <c r="AD159" s="21" t="str">
        <f>IF(COUNTIFS(KPI_Element_Map!$A$2:$A$287,$A159,KPI_Element_Map!$G$2:$G$287,AD$1)&gt;0,1,"")</f>
        <v/>
      </c>
      <c r="AE159" s="21" t="str">
        <f>IF(COUNTIFS(KPI_Element_Map!$A$2:$A$287,$A159,KPI_Element_Map!$G$2:$G$287,AE$1)&gt;0,1,"")</f>
        <v/>
      </c>
      <c r="AF159" s="21" t="str">
        <f>IF(COUNTIFS(KPI_Element_Map!$A$2:$A$287,$A159,KPI_Element_Map!$G$2:$G$287,AF$1)&gt;0,1,"")</f>
        <v/>
      </c>
      <c r="AG159" s="21" t="str">
        <f>IF(COUNTIFS(KPI_Element_Map!$A$2:$A$287,$A159,KPI_Element_Map!$G$2:$G$287,AG$1)&gt;0,1,"")</f>
        <v/>
      </c>
      <c r="AH159" s="21" t="str">
        <f>IF(COUNTIFS(KPI_Element_Map!$A$2:$A$287,$A159,KPI_Element_Map!$G$2:$G$287,AH$1)&gt;0,1,"")</f>
        <v/>
      </c>
      <c r="AI159" s="21" t="str">
        <f>IF(COUNTIFS(KPI_Element_Map!$A$2:$A$287,$A159,KPI_Element_Map!$G$2:$G$287,AI$1)&gt;0,1,"")</f>
        <v/>
      </c>
      <c r="AJ159" s="21" t="str">
        <f>IF(COUNTIFS(KPI_Element_Map!$A$2:$A$287,$A159,KPI_Element_Map!$G$2:$G$287,AJ$1)&gt;0,1,"")</f>
        <v/>
      </c>
      <c r="AK159" s="21" t="str">
        <f>IF(COUNTIFS(KPI_Element_Map!$A$2:$A$287,$A159,KPI_Element_Map!$G$2:$G$287,AK$1)&gt;0,1,"")</f>
        <v/>
      </c>
    </row>
    <row r="160" spans="1:37">
      <c r="A160" s="21">
        <v>159</v>
      </c>
      <c r="B160" s="23" t="str">
        <f>INDEX(KPI_Master!$B:$B,MATCH($A160,KPI_Master!$A:$A,0))</f>
        <v>SALM-09</v>
      </c>
      <c r="C160" s="23" t="str">
        <f>INDEX(KPI_Master!$D:$D,MATCH($A160,KPI_Master!$A:$A,0))</f>
        <v>Move-Out Rate (Attrition)</v>
      </c>
      <c r="D160" s="23" t="str">
        <f>INDEX(KPI_Master!$K:$K,MATCH($A160,KPI_Master!$A:$A,0))</f>
        <v>1 - Core</v>
      </c>
      <c r="E160" s="23" t="str">
        <f t="array" ref="E160">_xlfn.TEXTJOIN(", ",TRUE(),IF(KPI_Element_Map!$A$2:$A$287=$A160,KPI_Element_Map!$E$2:$E$287,""))</f>
        <v>E08, E02</v>
      </c>
      <c r="F160" s="21">
        <f t="shared" si="4"/>
        <v>1</v>
      </c>
      <c r="G160" s="21">
        <f>IF(COUNTIFS(KPI_Element_Map!$A$2:$A$287,$A160,KPI_Element_Map!$G$2:$G$287,G$1)&gt;0,1,"")</f>
        <v>1</v>
      </c>
      <c r="H160" s="21" t="str">
        <f>IF(COUNTIFS(KPI_Element_Map!$A$2:$A$287,$A160,KPI_Element_Map!$G$2:$G$287,H$1)&gt;0,1,"")</f>
        <v/>
      </c>
      <c r="I160" s="21" t="str">
        <f>IF(COUNTIFS(KPI_Element_Map!$A$2:$A$287,$A160,KPI_Element_Map!$G$2:$G$287,I$1)&gt;0,1,"")</f>
        <v/>
      </c>
      <c r="J160" s="21" t="str">
        <f>IF(COUNTIFS(KPI_Element_Map!$A$2:$A$287,$A160,KPI_Element_Map!$G$2:$G$287,J$1)&gt;0,1,"")</f>
        <v/>
      </c>
      <c r="K160" s="21" t="str">
        <f>IF(COUNTIFS(KPI_Element_Map!$A$2:$A$287,$A160,KPI_Element_Map!$G$2:$G$287,K$1)&gt;0,1,"")</f>
        <v/>
      </c>
      <c r="L160" s="21" t="str">
        <f>IF(COUNTIFS(KPI_Element_Map!$A$2:$A$287,$A160,KPI_Element_Map!$G$2:$G$287,L$1)&gt;0,1,"")</f>
        <v/>
      </c>
      <c r="M160" s="21" t="str">
        <f>IF(COUNTIFS(KPI_Element_Map!$A$2:$A$287,$A160,KPI_Element_Map!$G$2:$G$287,M$1)&gt;0,1,"")</f>
        <v/>
      </c>
      <c r="N160" s="21" t="str">
        <f>IF(COUNTIFS(KPI_Element_Map!$A$2:$A$287,$A160,KPI_Element_Map!$G$2:$G$287,N$1)&gt;0,1,"")</f>
        <v/>
      </c>
      <c r="O160" s="21" t="str">
        <f>IF(COUNTIFS(KPI_Element_Map!$A$2:$A$287,$A160,KPI_Element_Map!$G$2:$G$287,O$1)&gt;0,1,"")</f>
        <v/>
      </c>
      <c r="P160" s="21" t="str">
        <f>IF(COUNTIFS(KPI_Element_Map!$A$2:$A$287,$A160,KPI_Element_Map!$G$2:$G$287,P$1)&gt;0,1,"")</f>
        <v/>
      </c>
      <c r="Q160" s="21" t="str">
        <f>IF(COUNTIFS(KPI_Element_Map!$A$2:$A$287,$A160,KPI_Element_Map!$G$2:$G$287,Q$1)&gt;0,1,"")</f>
        <v/>
      </c>
      <c r="R160" s="21" t="str">
        <f>IF(COUNTIFS(KPI_Element_Map!$A$2:$A$287,$A160,KPI_Element_Map!$G$2:$G$287,R$1)&gt;0,1,"")</f>
        <v/>
      </c>
      <c r="S160" s="21" t="str">
        <f>IF(COUNTIFS(KPI_Element_Map!$A$2:$A$287,$A160,KPI_Element_Map!$G$2:$G$287,S$1)&gt;0,1,"")</f>
        <v/>
      </c>
      <c r="T160" s="21" t="str">
        <f>IF(COUNTIFS(KPI_Element_Map!$A$2:$A$287,$A160,KPI_Element_Map!$G$2:$G$287,T$1)&gt;0,1,"")</f>
        <v/>
      </c>
      <c r="U160" s="21" t="str">
        <f>IF(COUNTIFS(KPI_Element_Map!$A$2:$A$287,$A160,KPI_Element_Map!$G$2:$G$287,U$1)&gt;0,1,"")</f>
        <v/>
      </c>
      <c r="V160" s="21" t="str">
        <f>IF(COUNTIFS(KPI_Element_Map!$A$2:$A$287,$A160,KPI_Element_Map!$G$2:$G$287,V$1)&gt;0,1,"")</f>
        <v/>
      </c>
      <c r="W160" s="21" t="str">
        <f>IF(COUNTIFS(KPI_Element_Map!$A$2:$A$287,$A160,KPI_Element_Map!$G$2:$G$287,W$1)&gt;0,1,"")</f>
        <v/>
      </c>
      <c r="X160" s="21" t="str">
        <f>IF(COUNTIFS(KPI_Element_Map!$A$2:$A$287,$A160,KPI_Element_Map!$G$2:$G$287,X$1)&gt;0,1,"")</f>
        <v/>
      </c>
      <c r="Y160" s="21" t="str">
        <f>IF(COUNTIFS(KPI_Element_Map!$A$2:$A$287,$A160,KPI_Element_Map!$G$2:$G$287,Y$1)&gt;0,1,"")</f>
        <v/>
      </c>
      <c r="Z160" s="21" t="str">
        <f>IF(COUNTIFS(KPI_Element_Map!$A$2:$A$287,$A160,KPI_Element_Map!$G$2:$G$287,Z$1)&gt;0,1,"")</f>
        <v/>
      </c>
      <c r="AA160" s="21" t="str">
        <f>IF(COUNTIFS(KPI_Element_Map!$A$2:$A$287,$A160,KPI_Element_Map!$G$2:$G$287,AA$1)&gt;0,1,"")</f>
        <v/>
      </c>
      <c r="AB160" s="21" t="str">
        <f>IF(COUNTIFS(KPI_Element_Map!$A$2:$A$287,$A160,KPI_Element_Map!$G$2:$G$287,AB$1)&gt;0,1,"")</f>
        <v/>
      </c>
      <c r="AC160" s="21" t="str">
        <f>IF(COUNTIFS(KPI_Element_Map!$A$2:$A$287,$A160,KPI_Element_Map!$G$2:$G$287,AC$1)&gt;0,1,"")</f>
        <v/>
      </c>
      <c r="AD160" s="21" t="str">
        <f>IF(COUNTIFS(KPI_Element_Map!$A$2:$A$287,$A160,KPI_Element_Map!$G$2:$G$287,AD$1)&gt;0,1,"")</f>
        <v/>
      </c>
      <c r="AE160" s="21" t="str">
        <f>IF(COUNTIFS(KPI_Element_Map!$A$2:$A$287,$A160,KPI_Element_Map!$G$2:$G$287,AE$1)&gt;0,1,"")</f>
        <v/>
      </c>
      <c r="AF160" s="21" t="str">
        <f>IF(COUNTIFS(KPI_Element_Map!$A$2:$A$287,$A160,KPI_Element_Map!$G$2:$G$287,AF$1)&gt;0,1,"")</f>
        <v/>
      </c>
      <c r="AG160" s="21" t="str">
        <f>IF(COUNTIFS(KPI_Element_Map!$A$2:$A$287,$A160,KPI_Element_Map!$G$2:$G$287,AG$1)&gt;0,1,"")</f>
        <v/>
      </c>
      <c r="AH160" s="21" t="str">
        <f>IF(COUNTIFS(KPI_Element_Map!$A$2:$A$287,$A160,KPI_Element_Map!$G$2:$G$287,AH$1)&gt;0,1,"")</f>
        <v/>
      </c>
      <c r="AI160" s="21" t="str">
        <f>IF(COUNTIFS(KPI_Element_Map!$A$2:$A$287,$A160,KPI_Element_Map!$G$2:$G$287,AI$1)&gt;0,1,"")</f>
        <v/>
      </c>
      <c r="AJ160" s="21" t="str">
        <f>IF(COUNTIFS(KPI_Element_Map!$A$2:$A$287,$A160,KPI_Element_Map!$G$2:$G$287,AJ$1)&gt;0,1,"")</f>
        <v/>
      </c>
      <c r="AK160" s="21" t="str">
        <f>IF(COUNTIFS(KPI_Element_Map!$A$2:$A$287,$A160,KPI_Element_Map!$G$2:$G$287,AK$1)&gt;0,1,"")</f>
        <v/>
      </c>
    </row>
    <row r="161" spans="1:37">
      <c r="A161" s="21">
        <v>160</v>
      </c>
      <c r="B161" s="23" t="str">
        <f>INDEX(KPI_Master!$B:$B,MATCH($A161,KPI_Master!$A:$A,0))</f>
        <v>SALM-10</v>
      </c>
      <c r="C161" s="23" t="str">
        <f>INDEX(KPI_Master!$D:$D,MATCH($A161,KPI_Master!$A:$A,0))</f>
        <v>Occupancy Pipeline Coverage</v>
      </c>
      <c r="D161" s="23" t="str">
        <f>INDEX(KPI_Master!$K:$K,MATCH($A161,KPI_Master!$A:$A,0))</f>
        <v>2 - Standard</v>
      </c>
      <c r="E161" s="23" t="str">
        <f t="array" ref="E161">_xlfn.TEXTJOIN(", ",TRUE(),IF(KPI_Element_Map!$A$2:$A$287=$A161,KPI_Element_Map!$E$2:$E$287,""))</f>
        <v>E53, E11, E02</v>
      </c>
      <c r="F161" s="21">
        <f t="shared" si="4"/>
        <v>3</v>
      </c>
      <c r="G161" s="21">
        <f>IF(COUNTIFS(KPI_Element_Map!$A$2:$A$287,$A161,KPI_Element_Map!$G$2:$G$287,G$1)&gt;0,1,"")</f>
        <v>1</v>
      </c>
      <c r="H161" s="21">
        <f>IF(COUNTIFS(KPI_Element_Map!$A$2:$A$287,$A161,KPI_Element_Map!$G$2:$G$287,H$1)&gt;0,1,"")</f>
        <v>1</v>
      </c>
      <c r="I161" s="21" t="str">
        <f>IF(COUNTIFS(KPI_Element_Map!$A$2:$A$287,$A161,KPI_Element_Map!$G$2:$G$287,I$1)&gt;0,1,"")</f>
        <v/>
      </c>
      <c r="J161" s="21" t="str">
        <f>IF(COUNTIFS(KPI_Element_Map!$A$2:$A$287,$A161,KPI_Element_Map!$G$2:$G$287,J$1)&gt;0,1,"")</f>
        <v/>
      </c>
      <c r="K161" s="21" t="str">
        <f>IF(COUNTIFS(KPI_Element_Map!$A$2:$A$287,$A161,KPI_Element_Map!$G$2:$G$287,K$1)&gt;0,1,"")</f>
        <v/>
      </c>
      <c r="L161" s="21" t="str">
        <f>IF(COUNTIFS(KPI_Element_Map!$A$2:$A$287,$A161,KPI_Element_Map!$G$2:$G$287,L$1)&gt;0,1,"")</f>
        <v/>
      </c>
      <c r="M161" s="21" t="str">
        <f>IF(COUNTIFS(KPI_Element_Map!$A$2:$A$287,$A161,KPI_Element_Map!$G$2:$G$287,M$1)&gt;0,1,"")</f>
        <v/>
      </c>
      <c r="N161" s="21" t="str">
        <f>IF(COUNTIFS(KPI_Element_Map!$A$2:$A$287,$A161,KPI_Element_Map!$G$2:$G$287,N$1)&gt;0,1,"")</f>
        <v/>
      </c>
      <c r="O161" s="21" t="str">
        <f>IF(COUNTIFS(KPI_Element_Map!$A$2:$A$287,$A161,KPI_Element_Map!$G$2:$G$287,O$1)&gt;0,1,"")</f>
        <v/>
      </c>
      <c r="P161" s="21" t="str">
        <f>IF(COUNTIFS(KPI_Element_Map!$A$2:$A$287,$A161,KPI_Element_Map!$G$2:$G$287,P$1)&gt;0,1,"")</f>
        <v/>
      </c>
      <c r="Q161" s="21" t="str">
        <f>IF(COUNTIFS(KPI_Element_Map!$A$2:$A$287,$A161,KPI_Element_Map!$G$2:$G$287,Q$1)&gt;0,1,"")</f>
        <v/>
      </c>
      <c r="R161" s="21" t="str">
        <f>IF(COUNTIFS(KPI_Element_Map!$A$2:$A$287,$A161,KPI_Element_Map!$G$2:$G$287,R$1)&gt;0,1,"")</f>
        <v/>
      </c>
      <c r="S161" s="21" t="str">
        <f>IF(COUNTIFS(KPI_Element_Map!$A$2:$A$287,$A161,KPI_Element_Map!$G$2:$G$287,S$1)&gt;0,1,"")</f>
        <v/>
      </c>
      <c r="T161" s="21" t="str">
        <f>IF(COUNTIFS(KPI_Element_Map!$A$2:$A$287,$A161,KPI_Element_Map!$G$2:$G$287,T$1)&gt;0,1,"")</f>
        <v/>
      </c>
      <c r="U161" s="21" t="str">
        <f>IF(COUNTIFS(KPI_Element_Map!$A$2:$A$287,$A161,KPI_Element_Map!$G$2:$G$287,U$1)&gt;0,1,"")</f>
        <v/>
      </c>
      <c r="V161" s="21" t="str">
        <f>IF(COUNTIFS(KPI_Element_Map!$A$2:$A$287,$A161,KPI_Element_Map!$G$2:$G$287,V$1)&gt;0,1,"")</f>
        <v/>
      </c>
      <c r="W161" s="21" t="str">
        <f>IF(COUNTIFS(KPI_Element_Map!$A$2:$A$287,$A161,KPI_Element_Map!$G$2:$G$287,W$1)&gt;0,1,"")</f>
        <v/>
      </c>
      <c r="X161" s="21" t="str">
        <f>IF(COUNTIFS(KPI_Element_Map!$A$2:$A$287,$A161,KPI_Element_Map!$G$2:$G$287,X$1)&gt;0,1,"")</f>
        <v/>
      </c>
      <c r="Y161" s="21" t="str">
        <f>IF(COUNTIFS(KPI_Element_Map!$A$2:$A$287,$A161,KPI_Element_Map!$G$2:$G$287,Y$1)&gt;0,1,"")</f>
        <v/>
      </c>
      <c r="Z161" s="21" t="str">
        <f>IF(COUNTIFS(KPI_Element_Map!$A$2:$A$287,$A161,KPI_Element_Map!$G$2:$G$287,Z$1)&gt;0,1,"")</f>
        <v/>
      </c>
      <c r="AA161" s="21" t="str">
        <f>IF(COUNTIFS(KPI_Element_Map!$A$2:$A$287,$A161,KPI_Element_Map!$G$2:$G$287,AA$1)&gt;0,1,"")</f>
        <v/>
      </c>
      <c r="AB161" s="21" t="str">
        <f>IF(COUNTIFS(KPI_Element_Map!$A$2:$A$287,$A161,KPI_Element_Map!$G$2:$G$287,AB$1)&gt;0,1,"")</f>
        <v/>
      </c>
      <c r="AC161" s="21" t="str">
        <f>IF(COUNTIFS(KPI_Element_Map!$A$2:$A$287,$A161,KPI_Element_Map!$G$2:$G$287,AC$1)&gt;0,1,"")</f>
        <v/>
      </c>
      <c r="AD161" s="21" t="str">
        <f>IF(COUNTIFS(KPI_Element_Map!$A$2:$A$287,$A161,KPI_Element_Map!$G$2:$G$287,AD$1)&gt;0,1,"")</f>
        <v/>
      </c>
      <c r="AE161" s="21" t="str">
        <f>IF(COUNTIFS(KPI_Element_Map!$A$2:$A$287,$A161,KPI_Element_Map!$G$2:$G$287,AE$1)&gt;0,1,"")</f>
        <v/>
      </c>
      <c r="AF161" s="21" t="str">
        <f>IF(COUNTIFS(KPI_Element_Map!$A$2:$A$287,$A161,KPI_Element_Map!$G$2:$G$287,AF$1)&gt;0,1,"")</f>
        <v/>
      </c>
      <c r="AG161" s="21">
        <f>IF(COUNTIFS(KPI_Element_Map!$A$2:$A$287,$A161,KPI_Element_Map!$G$2:$G$287,AG$1)&gt;0,1,"")</f>
        <v>1</v>
      </c>
      <c r="AH161" s="21" t="str">
        <f>IF(COUNTIFS(KPI_Element_Map!$A$2:$A$287,$A161,KPI_Element_Map!$G$2:$G$287,AH$1)&gt;0,1,"")</f>
        <v/>
      </c>
      <c r="AI161" s="21" t="str">
        <f>IF(COUNTIFS(KPI_Element_Map!$A$2:$A$287,$A161,KPI_Element_Map!$G$2:$G$287,AI$1)&gt;0,1,"")</f>
        <v/>
      </c>
      <c r="AJ161" s="21" t="str">
        <f>IF(COUNTIFS(KPI_Element_Map!$A$2:$A$287,$A161,KPI_Element_Map!$G$2:$G$287,AJ$1)&gt;0,1,"")</f>
        <v/>
      </c>
      <c r="AK161" s="21" t="str">
        <f>IF(COUNTIFS(KPI_Element_Map!$A$2:$A$287,$A161,KPI_Element_Map!$G$2:$G$287,AK$1)&gt;0,1,"")</f>
        <v/>
      </c>
    </row>
    <row r="162" spans="1:37">
      <c r="A162" s="21">
        <v>161</v>
      </c>
      <c r="B162" s="23" t="str">
        <f>INDEX(KPI_Master!$B:$B,MATCH($A162,KPI_Master!$A:$A,0))</f>
        <v>SALM-14</v>
      </c>
      <c r="C162" s="23" t="str">
        <f>INDEX(KPI_Master!$D:$D,MATCH($A162,KPI_Master!$A:$A,0))</f>
        <v>Referral Source Contribution</v>
      </c>
      <c r="D162" s="23" t="str">
        <f>INDEX(KPI_Master!$K:$K,MATCH($A162,KPI_Master!$A:$A,0))</f>
        <v>2 - Standard</v>
      </c>
      <c r="E162" s="23" t="str">
        <f t="array" ref="E162">_xlfn.TEXTJOIN(", ",TRUE(),IF(KPI_Element_Map!$A$2:$A$287=$A162,KPI_Element_Map!$E$2:$E$287,""))</f>
        <v>E53, E07</v>
      </c>
      <c r="F162" s="21">
        <f t="shared" ref="F162:F172" si="5">SUM(G162:AK162)</f>
        <v>2</v>
      </c>
      <c r="G162" s="21">
        <f>IF(COUNTIFS(KPI_Element_Map!$A$2:$A$287,$A162,KPI_Element_Map!$G$2:$G$287,G$1)&gt;0,1,"")</f>
        <v>1</v>
      </c>
      <c r="H162" s="21" t="str">
        <f>IF(COUNTIFS(KPI_Element_Map!$A$2:$A$287,$A162,KPI_Element_Map!$G$2:$G$287,H$1)&gt;0,1,"")</f>
        <v/>
      </c>
      <c r="I162" s="21" t="str">
        <f>IF(COUNTIFS(KPI_Element_Map!$A$2:$A$287,$A162,KPI_Element_Map!$G$2:$G$287,I$1)&gt;0,1,"")</f>
        <v/>
      </c>
      <c r="J162" s="21" t="str">
        <f>IF(COUNTIFS(KPI_Element_Map!$A$2:$A$287,$A162,KPI_Element_Map!$G$2:$G$287,J$1)&gt;0,1,"")</f>
        <v/>
      </c>
      <c r="K162" s="21" t="str">
        <f>IF(COUNTIFS(KPI_Element_Map!$A$2:$A$287,$A162,KPI_Element_Map!$G$2:$G$287,K$1)&gt;0,1,"")</f>
        <v/>
      </c>
      <c r="L162" s="21" t="str">
        <f>IF(COUNTIFS(KPI_Element_Map!$A$2:$A$287,$A162,KPI_Element_Map!$G$2:$G$287,L$1)&gt;0,1,"")</f>
        <v/>
      </c>
      <c r="M162" s="21" t="str">
        <f>IF(COUNTIFS(KPI_Element_Map!$A$2:$A$287,$A162,KPI_Element_Map!$G$2:$G$287,M$1)&gt;0,1,"")</f>
        <v/>
      </c>
      <c r="N162" s="21" t="str">
        <f>IF(COUNTIFS(KPI_Element_Map!$A$2:$A$287,$A162,KPI_Element_Map!$G$2:$G$287,N$1)&gt;0,1,"")</f>
        <v/>
      </c>
      <c r="O162" s="21" t="str">
        <f>IF(COUNTIFS(KPI_Element_Map!$A$2:$A$287,$A162,KPI_Element_Map!$G$2:$G$287,O$1)&gt;0,1,"")</f>
        <v/>
      </c>
      <c r="P162" s="21" t="str">
        <f>IF(COUNTIFS(KPI_Element_Map!$A$2:$A$287,$A162,KPI_Element_Map!$G$2:$G$287,P$1)&gt;0,1,"")</f>
        <v/>
      </c>
      <c r="Q162" s="21" t="str">
        <f>IF(COUNTIFS(KPI_Element_Map!$A$2:$A$287,$A162,KPI_Element_Map!$G$2:$G$287,Q$1)&gt;0,1,"")</f>
        <v/>
      </c>
      <c r="R162" s="21" t="str">
        <f>IF(COUNTIFS(KPI_Element_Map!$A$2:$A$287,$A162,KPI_Element_Map!$G$2:$G$287,R$1)&gt;0,1,"")</f>
        <v/>
      </c>
      <c r="S162" s="21" t="str">
        <f>IF(COUNTIFS(KPI_Element_Map!$A$2:$A$287,$A162,KPI_Element_Map!$G$2:$G$287,S$1)&gt;0,1,"")</f>
        <v/>
      </c>
      <c r="T162" s="21" t="str">
        <f>IF(COUNTIFS(KPI_Element_Map!$A$2:$A$287,$A162,KPI_Element_Map!$G$2:$G$287,T$1)&gt;0,1,"")</f>
        <v/>
      </c>
      <c r="U162" s="21" t="str">
        <f>IF(COUNTIFS(KPI_Element_Map!$A$2:$A$287,$A162,KPI_Element_Map!$G$2:$G$287,U$1)&gt;0,1,"")</f>
        <v/>
      </c>
      <c r="V162" s="21" t="str">
        <f>IF(COUNTIFS(KPI_Element_Map!$A$2:$A$287,$A162,KPI_Element_Map!$G$2:$G$287,V$1)&gt;0,1,"")</f>
        <v/>
      </c>
      <c r="W162" s="21" t="str">
        <f>IF(COUNTIFS(KPI_Element_Map!$A$2:$A$287,$A162,KPI_Element_Map!$G$2:$G$287,W$1)&gt;0,1,"")</f>
        <v/>
      </c>
      <c r="X162" s="21" t="str">
        <f>IF(COUNTIFS(KPI_Element_Map!$A$2:$A$287,$A162,KPI_Element_Map!$G$2:$G$287,X$1)&gt;0,1,"")</f>
        <v/>
      </c>
      <c r="Y162" s="21" t="str">
        <f>IF(COUNTIFS(KPI_Element_Map!$A$2:$A$287,$A162,KPI_Element_Map!$G$2:$G$287,Y$1)&gt;0,1,"")</f>
        <v/>
      </c>
      <c r="Z162" s="21" t="str">
        <f>IF(COUNTIFS(KPI_Element_Map!$A$2:$A$287,$A162,KPI_Element_Map!$G$2:$G$287,Z$1)&gt;0,1,"")</f>
        <v/>
      </c>
      <c r="AA162" s="21" t="str">
        <f>IF(COUNTIFS(KPI_Element_Map!$A$2:$A$287,$A162,KPI_Element_Map!$G$2:$G$287,AA$1)&gt;0,1,"")</f>
        <v/>
      </c>
      <c r="AB162" s="21" t="str">
        <f>IF(COUNTIFS(KPI_Element_Map!$A$2:$A$287,$A162,KPI_Element_Map!$G$2:$G$287,AB$1)&gt;0,1,"")</f>
        <v/>
      </c>
      <c r="AC162" s="21" t="str">
        <f>IF(COUNTIFS(KPI_Element_Map!$A$2:$A$287,$A162,KPI_Element_Map!$G$2:$G$287,AC$1)&gt;0,1,"")</f>
        <v/>
      </c>
      <c r="AD162" s="21" t="str">
        <f>IF(COUNTIFS(KPI_Element_Map!$A$2:$A$287,$A162,KPI_Element_Map!$G$2:$G$287,AD$1)&gt;0,1,"")</f>
        <v/>
      </c>
      <c r="AE162" s="21" t="str">
        <f>IF(COUNTIFS(KPI_Element_Map!$A$2:$A$287,$A162,KPI_Element_Map!$G$2:$G$287,AE$1)&gt;0,1,"")</f>
        <v/>
      </c>
      <c r="AF162" s="21" t="str">
        <f>IF(COUNTIFS(KPI_Element_Map!$A$2:$A$287,$A162,KPI_Element_Map!$G$2:$G$287,AF$1)&gt;0,1,"")</f>
        <v/>
      </c>
      <c r="AG162" s="21">
        <f>IF(COUNTIFS(KPI_Element_Map!$A$2:$A$287,$A162,KPI_Element_Map!$G$2:$G$287,AG$1)&gt;0,1,"")</f>
        <v>1</v>
      </c>
      <c r="AH162" s="21" t="str">
        <f>IF(COUNTIFS(KPI_Element_Map!$A$2:$A$287,$A162,KPI_Element_Map!$G$2:$G$287,AH$1)&gt;0,1,"")</f>
        <v/>
      </c>
      <c r="AI162" s="21" t="str">
        <f>IF(COUNTIFS(KPI_Element_Map!$A$2:$A$287,$A162,KPI_Element_Map!$G$2:$G$287,AI$1)&gt;0,1,"")</f>
        <v/>
      </c>
      <c r="AJ162" s="21" t="str">
        <f>IF(COUNTIFS(KPI_Element_Map!$A$2:$A$287,$A162,KPI_Element_Map!$G$2:$G$287,AJ$1)&gt;0,1,"")</f>
        <v/>
      </c>
      <c r="AK162" s="21" t="str">
        <f>IF(COUNTIFS(KPI_Element_Map!$A$2:$A$287,$A162,KPI_Element_Map!$G$2:$G$287,AK$1)&gt;0,1,"")</f>
        <v/>
      </c>
    </row>
    <row r="163" spans="1:37">
      <c r="A163" s="21">
        <v>162</v>
      </c>
      <c r="B163" s="23" t="str">
        <f>INDEX(KPI_Master!$B:$B,MATCH($A163,KPI_Master!$A:$A,0))</f>
        <v>SALM-16</v>
      </c>
      <c r="C163" s="23" t="str">
        <f>INDEX(KPI_Master!$D:$D,MATCH($A163,KPI_Master!$A:$A,0))</f>
        <v>Move-Out Reason Distribution</v>
      </c>
      <c r="D163" s="23" t="str">
        <f>INDEX(KPI_Master!$K:$K,MATCH($A163,KPI_Master!$A:$A,0))</f>
        <v>2 - Standard</v>
      </c>
      <c r="E163" s="23" t="str">
        <f t="array" ref="E163">_xlfn.TEXTJOIN(", ",TRUE(),IF(KPI_Element_Map!$A$2:$A$287=$A163,KPI_Element_Map!$E$2:$E$287,""))</f>
        <v>E08</v>
      </c>
      <c r="F163" s="21">
        <f t="shared" si="5"/>
        <v>1</v>
      </c>
      <c r="G163" s="21">
        <f>IF(COUNTIFS(KPI_Element_Map!$A$2:$A$287,$A163,KPI_Element_Map!$G$2:$G$287,G$1)&gt;0,1,"")</f>
        <v>1</v>
      </c>
      <c r="H163" s="21" t="str">
        <f>IF(COUNTIFS(KPI_Element_Map!$A$2:$A$287,$A163,KPI_Element_Map!$G$2:$G$287,H$1)&gt;0,1,"")</f>
        <v/>
      </c>
      <c r="I163" s="21" t="str">
        <f>IF(COUNTIFS(KPI_Element_Map!$A$2:$A$287,$A163,KPI_Element_Map!$G$2:$G$287,I$1)&gt;0,1,"")</f>
        <v/>
      </c>
      <c r="J163" s="21" t="str">
        <f>IF(COUNTIFS(KPI_Element_Map!$A$2:$A$287,$A163,KPI_Element_Map!$G$2:$G$287,J$1)&gt;0,1,"")</f>
        <v/>
      </c>
      <c r="K163" s="21" t="str">
        <f>IF(COUNTIFS(KPI_Element_Map!$A$2:$A$287,$A163,KPI_Element_Map!$G$2:$G$287,K$1)&gt;0,1,"")</f>
        <v/>
      </c>
      <c r="L163" s="21" t="str">
        <f>IF(COUNTIFS(KPI_Element_Map!$A$2:$A$287,$A163,KPI_Element_Map!$G$2:$G$287,L$1)&gt;0,1,"")</f>
        <v/>
      </c>
      <c r="M163" s="21" t="str">
        <f>IF(COUNTIFS(KPI_Element_Map!$A$2:$A$287,$A163,KPI_Element_Map!$G$2:$G$287,M$1)&gt;0,1,"")</f>
        <v/>
      </c>
      <c r="N163" s="21" t="str">
        <f>IF(COUNTIFS(KPI_Element_Map!$A$2:$A$287,$A163,KPI_Element_Map!$G$2:$G$287,N$1)&gt;0,1,"")</f>
        <v/>
      </c>
      <c r="O163" s="21" t="str">
        <f>IF(COUNTIFS(KPI_Element_Map!$A$2:$A$287,$A163,KPI_Element_Map!$G$2:$G$287,O$1)&gt;0,1,"")</f>
        <v/>
      </c>
      <c r="P163" s="21" t="str">
        <f>IF(COUNTIFS(KPI_Element_Map!$A$2:$A$287,$A163,KPI_Element_Map!$G$2:$G$287,P$1)&gt;0,1,"")</f>
        <v/>
      </c>
      <c r="Q163" s="21" t="str">
        <f>IF(COUNTIFS(KPI_Element_Map!$A$2:$A$287,$A163,KPI_Element_Map!$G$2:$G$287,Q$1)&gt;0,1,"")</f>
        <v/>
      </c>
      <c r="R163" s="21" t="str">
        <f>IF(COUNTIFS(KPI_Element_Map!$A$2:$A$287,$A163,KPI_Element_Map!$G$2:$G$287,R$1)&gt;0,1,"")</f>
        <v/>
      </c>
      <c r="S163" s="21" t="str">
        <f>IF(COUNTIFS(KPI_Element_Map!$A$2:$A$287,$A163,KPI_Element_Map!$G$2:$G$287,S$1)&gt;0,1,"")</f>
        <v/>
      </c>
      <c r="T163" s="21" t="str">
        <f>IF(COUNTIFS(KPI_Element_Map!$A$2:$A$287,$A163,KPI_Element_Map!$G$2:$G$287,T$1)&gt;0,1,"")</f>
        <v/>
      </c>
      <c r="U163" s="21" t="str">
        <f>IF(COUNTIFS(KPI_Element_Map!$A$2:$A$287,$A163,KPI_Element_Map!$G$2:$G$287,U$1)&gt;0,1,"")</f>
        <v/>
      </c>
      <c r="V163" s="21" t="str">
        <f>IF(COUNTIFS(KPI_Element_Map!$A$2:$A$287,$A163,KPI_Element_Map!$G$2:$G$287,V$1)&gt;0,1,"")</f>
        <v/>
      </c>
      <c r="W163" s="21" t="str">
        <f>IF(COUNTIFS(KPI_Element_Map!$A$2:$A$287,$A163,KPI_Element_Map!$G$2:$G$287,W$1)&gt;0,1,"")</f>
        <v/>
      </c>
      <c r="X163" s="21" t="str">
        <f>IF(COUNTIFS(KPI_Element_Map!$A$2:$A$287,$A163,KPI_Element_Map!$G$2:$G$287,X$1)&gt;0,1,"")</f>
        <v/>
      </c>
      <c r="Y163" s="21" t="str">
        <f>IF(COUNTIFS(KPI_Element_Map!$A$2:$A$287,$A163,KPI_Element_Map!$G$2:$G$287,Y$1)&gt;0,1,"")</f>
        <v/>
      </c>
      <c r="Z163" s="21" t="str">
        <f>IF(COUNTIFS(KPI_Element_Map!$A$2:$A$287,$A163,KPI_Element_Map!$G$2:$G$287,Z$1)&gt;0,1,"")</f>
        <v/>
      </c>
      <c r="AA163" s="21" t="str">
        <f>IF(COUNTIFS(KPI_Element_Map!$A$2:$A$287,$A163,KPI_Element_Map!$G$2:$G$287,AA$1)&gt;0,1,"")</f>
        <v/>
      </c>
      <c r="AB163" s="21" t="str">
        <f>IF(COUNTIFS(KPI_Element_Map!$A$2:$A$287,$A163,KPI_Element_Map!$G$2:$G$287,AB$1)&gt;0,1,"")</f>
        <v/>
      </c>
      <c r="AC163" s="21" t="str">
        <f>IF(COUNTIFS(KPI_Element_Map!$A$2:$A$287,$A163,KPI_Element_Map!$G$2:$G$287,AC$1)&gt;0,1,"")</f>
        <v/>
      </c>
      <c r="AD163" s="21" t="str">
        <f>IF(COUNTIFS(KPI_Element_Map!$A$2:$A$287,$A163,KPI_Element_Map!$G$2:$G$287,AD$1)&gt;0,1,"")</f>
        <v/>
      </c>
      <c r="AE163" s="21" t="str">
        <f>IF(COUNTIFS(KPI_Element_Map!$A$2:$A$287,$A163,KPI_Element_Map!$G$2:$G$287,AE$1)&gt;0,1,"")</f>
        <v/>
      </c>
      <c r="AF163" s="21" t="str">
        <f>IF(COUNTIFS(KPI_Element_Map!$A$2:$A$287,$A163,KPI_Element_Map!$G$2:$G$287,AF$1)&gt;0,1,"")</f>
        <v/>
      </c>
      <c r="AG163" s="21" t="str">
        <f>IF(COUNTIFS(KPI_Element_Map!$A$2:$A$287,$A163,KPI_Element_Map!$G$2:$G$287,AG$1)&gt;0,1,"")</f>
        <v/>
      </c>
      <c r="AH163" s="21" t="str">
        <f>IF(COUNTIFS(KPI_Element_Map!$A$2:$A$287,$A163,KPI_Element_Map!$G$2:$G$287,AH$1)&gt;0,1,"")</f>
        <v/>
      </c>
      <c r="AI163" s="21" t="str">
        <f>IF(COUNTIFS(KPI_Element_Map!$A$2:$A$287,$A163,KPI_Element_Map!$G$2:$G$287,AI$1)&gt;0,1,"")</f>
        <v/>
      </c>
      <c r="AJ163" s="21" t="str">
        <f>IF(COUNTIFS(KPI_Element_Map!$A$2:$A$287,$A163,KPI_Element_Map!$G$2:$G$287,AJ$1)&gt;0,1,"")</f>
        <v/>
      </c>
      <c r="AK163" s="21" t="str">
        <f>IF(COUNTIFS(KPI_Element_Map!$A$2:$A$287,$A163,KPI_Element_Map!$G$2:$G$287,AK$1)&gt;0,1,"")</f>
        <v/>
      </c>
    </row>
    <row r="164" spans="1:37">
      <c r="A164" s="21">
        <v>163</v>
      </c>
      <c r="B164" s="23" t="str">
        <f>INDEX(KPI_Master!$B:$B,MATCH($A164,KPI_Master!$A:$A,0))</f>
        <v>SALM-17</v>
      </c>
      <c r="C164" s="23" t="str">
        <f>INDEX(KPI_Master!$D:$D,MATCH($A164,KPI_Master!$A:$A,0))</f>
        <v>Online Reputation Score</v>
      </c>
      <c r="D164" s="23" t="str">
        <f>INDEX(KPI_Master!$K:$K,MATCH($A164,KPI_Master!$A:$A,0))</f>
        <v>2 - Standard</v>
      </c>
      <c r="E164" s="23" t="str">
        <f t="array" ref="E164">_xlfn.TEXTJOIN(", ",TRUE(),IF(KPI_Element_Map!$A$2:$A$287=$A164,KPI_Element_Map!$E$2:$E$287,""))</f>
        <v>E54</v>
      </c>
      <c r="F164" s="21">
        <f t="shared" si="5"/>
        <v>1</v>
      </c>
      <c r="G164" s="21" t="str">
        <f>IF(COUNTIFS(KPI_Element_Map!$A$2:$A$287,$A164,KPI_Element_Map!$G$2:$G$287,G$1)&gt;0,1,"")</f>
        <v/>
      </c>
      <c r="H164" s="21" t="str">
        <f>IF(COUNTIFS(KPI_Element_Map!$A$2:$A$287,$A164,KPI_Element_Map!$G$2:$G$287,H$1)&gt;0,1,"")</f>
        <v/>
      </c>
      <c r="I164" s="21" t="str">
        <f>IF(COUNTIFS(KPI_Element_Map!$A$2:$A$287,$A164,KPI_Element_Map!$G$2:$G$287,I$1)&gt;0,1,"")</f>
        <v/>
      </c>
      <c r="J164" s="21" t="str">
        <f>IF(COUNTIFS(KPI_Element_Map!$A$2:$A$287,$A164,KPI_Element_Map!$G$2:$G$287,J$1)&gt;0,1,"")</f>
        <v/>
      </c>
      <c r="K164" s="21" t="str">
        <f>IF(COUNTIFS(KPI_Element_Map!$A$2:$A$287,$A164,KPI_Element_Map!$G$2:$G$287,K$1)&gt;0,1,"")</f>
        <v/>
      </c>
      <c r="L164" s="21" t="str">
        <f>IF(COUNTIFS(KPI_Element_Map!$A$2:$A$287,$A164,KPI_Element_Map!$G$2:$G$287,L$1)&gt;0,1,"")</f>
        <v/>
      </c>
      <c r="M164" s="21" t="str">
        <f>IF(COUNTIFS(KPI_Element_Map!$A$2:$A$287,$A164,KPI_Element_Map!$G$2:$G$287,M$1)&gt;0,1,"")</f>
        <v/>
      </c>
      <c r="N164" s="21" t="str">
        <f>IF(COUNTIFS(KPI_Element_Map!$A$2:$A$287,$A164,KPI_Element_Map!$G$2:$G$287,N$1)&gt;0,1,"")</f>
        <v/>
      </c>
      <c r="O164" s="21" t="str">
        <f>IF(COUNTIFS(KPI_Element_Map!$A$2:$A$287,$A164,KPI_Element_Map!$G$2:$G$287,O$1)&gt;0,1,"")</f>
        <v/>
      </c>
      <c r="P164" s="21" t="str">
        <f>IF(COUNTIFS(KPI_Element_Map!$A$2:$A$287,$A164,KPI_Element_Map!$G$2:$G$287,P$1)&gt;0,1,"")</f>
        <v/>
      </c>
      <c r="Q164" s="21" t="str">
        <f>IF(COUNTIFS(KPI_Element_Map!$A$2:$A$287,$A164,KPI_Element_Map!$G$2:$G$287,Q$1)&gt;0,1,"")</f>
        <v/>
      </c>
      <c r="R164" s="21" t="str">
        <f>IF(COUNTIFS(KPI_Element_Map!$A$2:$A$287,$A164,KPI_Element_Map!$G$2:$G$287,R$1)&gt;0,1,"")</f>
        <v/>
      </c>
      <c r="S164" s="21" t="str">
        <f>IF(COUNTIFS(KPI_Element_Map!$A$2:$A$287,$A164,KPI_Element_Map!$G$2:$G$287,S$1)&gt;0,1,"")</f>
        <v/>
      </c>
      <c r="T164" s="21" t="str">
        <f>IF(COUNTIFS(KPI_Element_Map!$A$2:$A$287,$A164,KPI_Element_Map!$G$2:$G$287,T$1)&gt;0,1,"")</f>
        <v/>
      </c>
      <c r="U164" s="21" t="str">
        <f>IF(COUNTIFS(KPI_Element_Map!$A$2:$A$287,$A164,KPI_Element_Map!$G$2:$G$287,U$1)&gt;0,1,"")</f>
        <v/>
      </c>
      <c r="V164" s="21" t="str">
        <f>IF(COUNTIFS(KPI_Element_Map!$A$2:$A$287,$A164,KPI_Element_Map!$G$2:$G$287,V$1)&gt;0,1,"")</f>
        <v/>
      </c>
      <c r="W164" s="21" t="str">
        <f>IF(COUNTIFS(KPI_Element_Map!$A$2:$A$287,$A164,KPI_Element_Map!$G$2:$G$287,W$1)&gt;0,1,"")</f>
        <v/>
      </c>
      <c r="X164" s="21" t="str">
        <f>IF(COUNTIFS(KPI_Element_Map!$A$2:$A$287,$A164,KPI_Element_Map!$G$2:$G$287,X$1)&gt;0,1,"")</f>
        <v/>
      </c>
      <c r="Y164" s="21" t="str">
        <f>IF(COUNTIFS(KPI_Element_Map!$A$2:$A$287,$A164,KPI_Element_Map!$G$2:$G$287,Y$1)&gt;0,1,"")</f>
        <v/>
      </c>
      <c r="Z164" s="21" t="str">
        <f>IF(COUNTIFS(KPI_Element_Map!$A$2:$A$287,$A164,KPI_Element_Map!$G$2:$G$287,Z$1)&gt;0,1,"")</f>
        <v/>
      </c>
      <c r="AA164" s="21" t="str">
        <f>IF(COUNTIFS(KPI_Element_Map!$A$2:$A$287,$A164,KPI_Element_Map!$G$2:$G$287,AA$1)&gt;0,1,"")</f>
        <v/>
      </c>
      <c r="AB164" s="21" t="str">
        <f>IF(COUNTIFS(KPI_Element_Map!$A$2:$A$287,$A164,KPI_Element_Map!$G$2:$G$287,AB$1)&gt;0,1,"")</f>
        <v/>
      </c>
      <c r="AC164" s="21" t="str">
        <f>IF(COUNTIFS(KPI_Element_Map!$A$2:$A$287,$A164,KPI_Element_Map!$G$2:$G$287,AC$1)&gt;0,1,"")</f>
        <v/>
      </c>
      <c r="AD164" s="21" t="str">
        <f>IF(COUNTIFS(KPI_Element_Map!$A$2:$A$287,$A164,KPI_Element_Map!$G$2:$G$287,AD$1)&gt;0,1,"")</f>
        <v/>
      </c>
      <c r="AE164" s="21" t="str">
        <f>IF(COUNTIFS(KPI_Element_Map!$A$2:$A$287,$A164,KPI_Element_Map!$G$2:$G$287,AE$1)&gt;0,1,"")</f>
        <v/>
      </c>
      <c r="AF164" s="21" t="str">
        <f>IF(COUNTIFS(KPI_Element_Map!$A$2:$A$287,$A164,KPI_Element_Map!$G$2:$G$287,AF$1)&gt;0,1,"")</f>
        <v/>
      </c>
      <c r="AG164" s="21" t="str">
        <f>IF(COUNTIFS(KPI_Element_Map!$A$2:$A$287,$A164,KPI_Element_Map!$G$2:$G$287,AG$1)&gt;0,1,"")</f>
        <v/>
      </c>
      <c r="AH164" s="21">
        <f>IF(COUNTIFS(KPI_Element_Map!$A$2:$A$287,$A164,KPI_Element_Map!$G$2:$G$287,AH$1)&gt;0,1,"")</f>
        <v>1</v>
      </c>
      <c r="AI164" s="21" t="str">
        <f>IF(COUNTIFS(KPI_Element_Map!$A$2:$A$287,$A164,KPI_Element_Map!$G$2:$G$287,AI$1)&gt;0,1,"")</f>
        <v/>
      </c>
      <c r="AJ164" s="21" t="str">
        <f>IF(COUNTIFS(KPI_Element_Map!$A$2:$A$287,$A164,KPI_Element_Map!$G$2:$G$287,AJ$1)&gt;0,1,"")</f>
        <v/>
      </c>
      <c r="AK164" s="21" t="str">
        <f>IF(COUNTIFS(KPI_Element_Map!$A$2:$A$287,$A164,KPI_Element_Map!$G$2:$G$287,AK$1)&gt;0,1,"")</f>
        <v/>
      </c>
    </row>
    <row r="165" spans="1:37">
      <c r="A165" s="21">
        <v>164</v>
      </c>
      <c r="B165" s="23" t="str">
        <f>INDEX(KPI_Master!$B:$B,MATCH($A165,KPI_Master!$A:$A,0))</f>
        <v>SALM-18</v>
      </c>
      <c r="C165" s="23" t="str">
        <f>INDEX(KPI_Master!$D:$D,MATCH($A165,KPI_Master!$A:$A,0))</f>
        <v>Marketing Cost as % of Operating Expense</v>
      </c>
      <c r="D165" s="23" t="str">
        <f>INDEX(KPI_Master!$K:$K,MATCH($A165,KPI_Master!$A:$A,0))</f>
        <v>3 - Optional</v>
      </c>
      <c r="E165" s="23" t="str">
        <f t="array" ref="E165">_xlfn.TEXTJOIN(", ",TRUE(),IF(KPI_Element_Map!$A$2:$A$287=$A165,KPI_Element_Map!$E$2:$E$287,""))</f>
        <v>E57, E27, E16</v>
      </c>
      <c r="F165" s="21">
        <f t="shared" si="5"/>
        <v>3</v>
      </c>
      <c r="G165" s="21" t="str">
        <f>IF(COUNTIFS(KPI_Element_Map!$A$2:$A$287,$A165,KPI_Element_Map!$G$2:$G$287,G$1)&gt;0,1,"")</f>
        <v/>
      </c>
      <c r="H165" s="21" t="str">
        <f>IF(COUNTIFS(KPI_Element_Map!$A$2:$A$287,$A165,KPI_Element_Map!$G$2:$G$287,H$1)&gt;0,1,"")</f>
        <v/>
      </c>
      <c r="I165" s="21">
        <f>IF(COUNTIFS(KPI_Element_Map!$A$2:$A$287,$A165,KPI_Element_Map!$G$2:$G$287,I$1)&gt;0,1,"")</f>
        <v>1</v>
      </c>
      <c r="J165" s="21" t="str">
        <f>IF(COUNTIFS(KPI_Element_Map!$A$2:$A$287,$A165,KPI_Element_Map!$G$2:$G$287,J$1)&gt;0,1,"")</f>
        <v/>
      </c>
      <c r="K165" s="21" t="str">
        <f>IF(COUNTIFS(KPI_Element_Map!$A$2:$A$287,$A165,KPI_Element_Map!$G$2:$G$287,K$1)&gt;0,1,"")</f>
        <v/>
      </c>
      <c r="L165" s="21">
        <f>IF(COUNTIFS(KPI_Element_Map!$A$2:$A$287,$A165,KPI_Element_Map!$G$2:$G$287,L$1)&gt;0,1,"")</f>
        <v>1</v>
      </c>
      <c r="M165" s="21" t="str">
        <f>IF(COUNTIFS(KPI_Element_Map!$A$2:$A$287,$A165,KPI_Element_Map!$G$2:$G$287,M$1)&gt;0,1,"")</f>
        <v/>
      </c>
      <c r="N165" s="21" t="str">
        <f>IF(COUNTIFS(KPI_Element_Map!$A$2:$A$287,$A165,KPI_Element_Map!$G$2:$G$287,N$1)&gt;0,1,"")</f>
        <v/>
      </c>
      <c r="O165" s="21" t="str">
        <f>IF(COUNTIFS(KPI_Element_Map!$A$2:$A$287,$A165,KPI_Element_Map!$G$2:$G$287,O$1)&gt;0,1,"")</f>
        <v/>
      </c>
      <c r="P165" s="21" t="str">
        <f>IF(COUNTIFS(KPI_Element_Map!$A$2:$A$287,$A165,KPI_Element_Map!$G$2:$G$287,P$1)&gt;0,1,"")</f>
        <v/>
      </c>
      <c r="Q165" s="21" t="str">
        <f>IF(COUNTIFS(KPI_Element_Map!$A$2:$A$287,$A165,KPI_Element_Map!$G$2:$G$287,Q$1)&gt;0,1,"")</f>
        <v/>
      </c>
      <c r="R165" s="21" t="str">
        <f>IF(COUNTIFS(KPI_Element_Map!$A$2:$A$287,$A165,KPI_Element_Map!$G$2:$G$287,R$1)&gt;0,1,"")</f>
        <v/>
      </c>
      <c r="S165" s="21" t="str">
        <f>IF(COUNTIFS(KPI_Element_Map!$A$2:$A$287,$A165,KPI_Element_Map!$G$2:$G$287,S$1)&gt;0,1,"")</f>
        <v/>
      </c>
      <c r="T165" s="21" t="str">
        <f>IF(COUNTIFS(KPI_Element_Map!$A$2:$A$287,$A165,KPI_Element_Map!$G$2:$G$287,T$1)&gt;0,1,"")</f>
        <v/>
      </c>
      <c r="U165" s="21" t="str">
        <f>IF(COUNTIFS(KPI_Element_Map!$A$2:$A$287,$A165,KPI_Element_Map!$G$2:$G$287,U$1)&gt;0,1,"")</f>
        <v/>
      </c>
      <c r="V165" s="21" t="str">
        <f>IF(COUNTIFS(KPI_Element_Map!$A$2:$A$287,$A165,KPI_Element_Map!$G$2:$G$287,V$1)&gt;0,1,"")</f>
        <v/>
      </c>
      <c r="W165" s="21" t="str">
        <f>IF(COUNTIFS(KPI_Element_Map!$A$2:$A$287,$A165,KPI_Element_Map!$G$2:$G$287,W$1)&gt;0,1,"")</f>
        <v/>
      </c>
      <c r="X165" s="21" t="str">
        <f>IF(COUNTIFS(KPI_Element_Map!$A$2:$A$287,$A165,KPI_Element_Map!$G$2:$G$287,X$1)&gt;0,1,"")</f>
        <v/>
      </c>
      <c r="Y165" s="21" t="str">
        <f>IF(COUNTIFS(KPI_Element_Map!$A$2:$A$287,$A165,KPI_Element_Map!$G$2:$G$287,Y$1)&gt;0,1,"")</f>
        <v/>
      </c>
      <c r="Z165" s="21" t="str">
        <f>IF(COUNTIFS(KPI_Element_Map!$A$2:$A$287,$A165,KPI_Element_Map!$G$2:$G$287,Z$1)&gt;0,1,"")</f>
        <v/>
      </c>
      <c r="AA165" s="21" t="str">
        <f>IF(COUNTIFS(KPI_Element_Map!$A$2:$A$287,$A165,KPI_Element_Map!$G$2:$G$287,AA$1)&gt;0,1,"")</f>
        <v/>
      </c>
      <c r="AB165" s="21" t="str">
        <f>IF(COUNTIFS(KPI_Element_Map!$A$2:$A$287,$A165,KPI_Element_Map!$G$2:$G$287,AB$1)&gt;0,1,"")</f>
        <v/>
      </c>
      <c r="AC165" s="21" t="str">
        <f>IF(COUNTIFS(KPI_Element_Map!$A$2:$A$287,$A165,KPI_Element_Map!$G$2:$G$287,AC$1)&gt;0,1,"")</f>
        <v/>
      </c>
      <c r="AD165" s="21" t="str">
        <f>IF(COUNTIFS(KPI_Element_Map!$A$2:$A$287,$A165,KPI_Element_Map!$G$2:$G$287,AD$1)&gt;0,1,"")</f>
        <v/>
      </c>
      <c r="AE165" s="21" t="str">
        <f>IF(COUNTIFS(KPI_Element_Map!$A$2:$A$287,$A165,KPI_Element_Map!$G$2:$G$287,AE$1)&gt;0,1,"")</f>
        <v/>
      </c>
      <c r="AF165" s="21" t="str">
        <f>IF(COUNTIFS(KPI_Element_Map!$A$2:$A$287,$A165,KPI_Element_Map!$G$2:$G$287,AF$1)&gt;0,1,"")</f>
        <v/>
      </c>
      <c r="AG165" s="21" t="str">
        <f>IF(COUNTIFS(KPI_Element_Map!$A$2:$A$287,$A165,KPI_Element_Map!$G$2:$G$287,AG$1)&gt;0,1,"")</f>
        <v/>
      </c>
      <c r="AH165" s="21" t="str">
        <f>IF(COUNTIFS(KPI_Element_Map!$A$2:$A$287,$A165,KPI_Element_Map!$G$2:$G$287,AH$1)&gt;0,1,"")</f>
        <v/>
      </c>
      <c r="AI165" s="21" t="str">
        <f>IF(COUNTIFS(KPI_Element_Map!$A$2:$A$287,$A165,KPI_Element_Map!$G$2:$G$287,AI$1)&gt;0,1,"")</f>
        <v/>
      </c>
      <c r="AJ165" s="21" t="str">
        <f>IF(COUNTIFS(KPI_Element_Map!$A$2:$A$287,$A165,KPI_Element_Map!$G$2:$G$287,AJ$1)&gt;0,1,"")</f>
        <v/>
      </c>
      <c r="AK165" s="21">
        <f>IF(COUNTIFS(KPI_Element_Map!$A$2:$A$287,$A165,KPI_Element_Map!$G$2:$G$287,AK$1)&gt;0,1,"")</f>
        <v>1</v>
      </c>
    </row>
    <row r="166" spans="1:37">
      <c r="A166" s="21">
        <v>165</v>
      </c>
      <c r="B166" s="23" t="str">
        <f>INDEX(KPI_Master!$B:$B,MATCH($A166,KPI_Master!$A:$A,0))</f>
        <v>SALM-19</v>
      </c>
      <c r="C166" s="23" t="str">
        <f>INDEX(KPI_Master!$D:$D,MATCH($A166,KPI_Master!$A:$A,0))</f>
        <v>Rate Realization (Achieved vs Published Rate)</v>
      </c>
      <c r="D166" s="23" t="str">
        <f>INDEX(KPI_Master!$K:$K,MATCH($A166,KPI_Master!$A:$A,0))</f>
        <v>2 - Standard</v>
      </c>
      <c r="E166" s="23" t="str">
        <f t="array" ref="E166">_xlfn.TEXTJOIN(", ",TRUE(),IF(KPI_Element_Map!$A$2:$A$287=$A166,KPI_Element_Map!$E$2:$E$287,""))</f>
        <v>E24, E14</v>
      </c>
      <c r="F166" s="21">
        <f t="shared" si="5"/>
        <v>2</v>
      </c>
      <c r="G166" s="21" t="str">
        <f>IF(COUNTIFS(KPI_Element_Map!$A$2:$A$287,$A166,KPI_Element_Map!$G$2:$G$287,G$1)&gt;0,1,"")</f>
        <v/>
      </c>
      <c r="H166" s="21">
        <f>IF(COUNTIFS(KPI_Element_Map!$A$2:$A$287,$A166,KPI_Element_Map!$G$2:$G$287,H$1)&gt;0,1,"")</f>
        <v>1</v>
      </c>
      <c r="I166" s="21" t="str">
        <f>IF(COUNTIFS(KPI_Element_Map!$A$2:$A$287,$A166,KPI_Element_Map!$G$2:$G$287,I$1)&gt;0,1,"")</f>
        <v/>
      </c>
      <c r="J166" s="21">
        <f>IF(COUNTIFS(KPI_Element_Map!$A$2:$A$287,$A166,KPI_Element_Map!$G$2:$G$287,J$1)&gt;0,1,"")</f>
        <v>1</v>
      </c>
      <c r="K166" s="21" t="str">
        <f>IF(COUNTIFS(KPI_Element_Map!$A$2:$A$287,$A166,KPI_Element_Map!$G$2:$G$287,K$1)&gt;0,1,"")</f>
        <v/>
      </c>
      <c r="L166" s="21" t="str">
        <f>IF(COUNTIFS(KPI_Element_Map!$A$2:$A$287,$A166,KPI_Element_Map!$G$2:$G$287,L$1)&gt;0,1,"")</f>
        <v/>
      </c>
      <c r="M166" s="21" t="str">
        <f>IF(COUNTIFS(KPI_Element_Map!$A$2:$A$287,$A166,KPI_Element_Map!$G$2:$G$287,M$1)&gt;0,1,"")</f>
        <v/>
      </c>
      <c r="N166" s="21" t="str">
        <f>IF(COUNTIFS(KPI_Element_Map!$A$2:$A$287,$A166,KPI_Element_Map!$G$2:$G$287,N$1)&gt;0,1,"")</f>
        <v/>
      </c>
      <c r="O166" s="21" t="str">
        <f>IF(COUNTIFS(KPI_Element_Map!$A$2:$A$287,$A166,KPI_Element_Map!$G$2:$G$287,O$1)&gt;0,1,"")</f>
        <v/>
      </c>
      <c r="P166" s="21" t="str">
        <f>IF(COUNTIFS(KPI_Element_Map!$A$2:$A$287,$A166,KPI_Element_Map!$G$2:$G$287,P$1)&gt;0,1,"")</f>
        <v/>
      </c>
      <c r="Q166" s="21" t="str">
        <f>IF(COUNTIFS(KPI_Element_Map!$A$2:$A$287,$A166,KPI_Element_Map!$G$2:$G$287,Q$1)&gt;0,1,"")</f>
        <v/>
      </c>
      <c r="R166" s="21" t="str">
        <f>IF(COUNTIFS(KPI_Element_Map!$A$2:$A$287,$A166,KPI_Element_Map!$G$2:$G$287,R$1)&gt;0,1,"")</f>
        <v/>
      </c>
      <c r="S166" s="21" t="str">
        <f>IF(COUNTIFS(KPI_Element_Map!$A$2:$A$287,$A166,KPI_Element_Map!$G$2:$G$287,S$1)&gt;0,1,"")</f>
        <v/>
      </c>
      <c r="T166" s="21" t="str">
        <f>IF(COUNTIFS(KPI_Element_Map!$A$2:$A$287,$A166,KPI_Element_Map!$G$2:$G$287,T$1)&gt;0,1,"")</f>
        <v/>
      </c>
      <c r="U166" s="21" t="str">
        <f>IF(COUNTIFS(KPI_Element_Map!$A$2:$A$287,$A166,KPI_Element_Map!$G$2:$G$287,U$1)&gt;0,1,"")</f>
        <v/>
      </c>
      <c r="V166" s="21" t="str">
        <f>IF(COUNTIFS(KPI_Element_Map!$A$2:$A$287,$A166,KPI_Element_Map!$G$2:$G$287,V$1)&gt;0,1,"")</f>
        <v/>
      </c>
      <c r="W166" s="21" t="str">
        <f>IF(COUNTIFS(KPI_Element_Map!$A$2:$A$287,$A166,KPI_Element_Map!$G$2:$G$287,W$1)&gt;0,1,"")</f>
        <v/>
      </c>
      <c r="X166" s="21" t="str">
        <f>IF(COUNTIFS(KPI_Element_Map!$A$2:$A$287,$A166,KPI_Element_Map!$G$2:$G$287,X$1)&gt;0,1,"")</f>
        <v/>
      </c>
      <c r="Y166" s="21" t="str">
        <f>IF(COUNTIFS(KPI_Element_Map!$A$2:$A$287,$A166,KPI_Element_Map!$G$2:$G$287,Y$1)&gt;0,1,"")</f>
        <v/>
      </c>
      <c r="Z166" s="21" t="str">
        <f>IF(COUNTIFS(KPI_Element_Map!$A$2:$A$287,$A166,KPI_Element_Map!$G$2:$G$287,Z$1)&gt;0,1,"")</f>
        <v/>
      </c>
      <c r="AA166" s="21" t="str">
        <f>IF(COUNTIFS(KPI_Element_Map!$A$2:$A$287,$A166,KPI_Element_Map!$G$2:$G$287,AA$1)&gt;0,1,"")</f>
        <v/>
      </c>
      <c r="AB166" s="21" t="str">
        <f>IF(COUNTIFS(KPI_Element_Map!$A$2:$A$287,$A166,KPI_Element_Map!$G$2:$G$287,AB$1)&gt;0,1,"")</f>
        <v/>
      </c>
      <c r="AC166" s="21" t="str">
        <f>IF(COUNTIFS(KPI_Element_Map!$A$2:$A$287,$A166,KPI_Element_Map!$G$2:$G$287,AC$1)&gt;0,1,"")</f>
        <v/>
      </c>
      <c r="AD166" s="21" t="str">
        <f>IF(COUNTIFS(KPI_Element_Map!$A$2:$A$287,$A166,KPI_Element_Map!$G$2:$G$287,AD$1)&gt;0,1,"")</f>
        <v/>
      </c>
      <c r="AE166" s="21" t="str">
        <f>IF(COUNTIFS(KPI_Element_Map!$A$2:$A$287,$A166,KPI_Element_Map!$G$2:$G$287,AE$1)&gt;0,1,"")</f>
        <v/>
      </c>
      <c r="AF166" s="21" t="str">
        <f>IF(COUNTIFS(KPI_Element_Map!$A$2:$A$287,$A166,KPI_Element_Map!$G$2:$G$287,AF$1)&gt;0,1,"")</f>
        <v/>
      </c>
      <c r="AG166" s="21" t="str">
        <f>IF(COUNTIFS(KPI_Element_Map!$A$2:$A$287,$A166,KPI_Element_Map!$G$2:$G$287,AG$1)&gt;0,1,"")</f>
        <v/>
      </c>
      <c r="AH166" s="21" t="str">
        <f>IF(COUNTIFS(KPI_Element_Map!$A$2:$A$287,$A166,KPI_Element_Map!$G$2:$G$287,AH$1)&gt;0,1,"")</f>
        <v/>
      </c>
      <c r="AI166" s="21" t="str">
        <f>IF(COUNTIFS(KPI_Element_Map!$A$2:$A$287,$A166,KPI_Element_Map!$G$2:$G$287,AI$1)&gt;0,1,"")</f>
        <v/>
      </c>
      <c r="AJ166" s="21" t="str">
        <f>IF(COUNTIFS(KPI_Element_Map!$A$2:$A$287,$A166,KPI_Element_Map!$G$2:$G$287,AJ$1)&gt;0,1,"")</f>
        <v/>
      </c>
      <c r="AK166" s="21" t="str">
        <f>IF(COUNTIFS(KPI_Element_Map!$A$2:$A$287,$A166,KPI_Element_Map!$G$2:$G$287,AK$1)&gt;0,1,"")</f>
        <v/>
      </c>
    </row>
    <row r="167" spans="1:37">
      <c r="A167" s="21">
        <v>166</v>
      </c>
      <c r="B167" s="23" t="str">
        <f>INDEX(KPI_Master!$B:$B,MATCH($A167,KPI_Master!$A:$A,0))</f>
        <v>SALM-20</v>
      </c>
      <c r="C167" s="23" t="str">
        <f>INDEX(KPI_Master!$D:$D,MATCH($A167,KPI_Master!$A:$A,0))</f>
        <v>Tours per 100 Units per Month</v>
      </c>
      <c r="D167" s="23" t="str">
        <f>INDEX(KPI_Master!$K:$K,MATCH($A167,KPI_Master!$A:$A,0))</f>
        <v>2 - Standard</v>
      </c>
      <c r="E167" s="23" t="str">
        <f t="array" ref="E167">_xlfn.TEXTJOIN(", ",TRUE(),IF(KPI_Element_Map!$A$2:$A$287=$A167,KPI_Element_Map!$E$2:$E$287,""))</f>
        <v>E53, E11</v>
      </c>
      <c r="F167" s="21">
        <f t="shared" si="5"/>
        <v>2</v>
      </c>
      <c r="G167" s="21" t="str">
        <f>IF(COUNTIFS(KPI_Element_Map!$A$2:$A$287,$A167,KPI_Element_Map!$G$2:$G$287,G$1)&gt;0,1,"")</f>
        <v/>
      </c>
      <c r="H167" s="21">
        <f>IF(COUNTIFS(KPI_Element_Map!$A$2:$A$287,$A167,KPI_Element_Map!$G$2:$G$287,H$1)&gt;0,1,"")</f>
        <v>1</v>
      </c>
      <c r="I167" s="21" t="str">
        <f>IF(COUNTIFS(KPI_Element_Map!$A$2:$A$287,$A167,KPI_Element_Map!$G$2:$G$287,I$1)&gt;0,1,"")</f>
        <v/>
      </c>
      <c r="J167" s="21" t="str">
        <f>IF(COUNTIFS(KPI_Element_Map!$A$2:$A$287,$A167,KPI_Element_Map!$G$2:$G$287,J$1)&gt;0,1,"")</f>
        <v/>
      </c>
      <c r="K167" s="21" t="str">
        <f>IF(COUNTIFS(KPI_Element_Map!$A$2:$A$287,$A167,KPI_Element_Map!$G$2:$G$287,K$1)&gt;0,1,"")</f>
        <v/>
      </c>
      <c r="L167" s="21" t="str">
        <f>IF(COUNTIFS(KPI_Element_Map!$A$2:$A$287,$A167,KPI_Element_Map!$G$2:$G$287,L$1)&gt;0,1,"")</f>
        <v/>
      </c>
      <c r="M167" s="21" t="str">
        <f>IF(COUNTIFS(KPI_Element_Map!$A$2:$A$287,$A167,KPI_Element_Map!$G$2:$G$287,M$1)&gt;0,1,"")</f>
        <v/>
      </c>
      <c r="N167" s="21" t="str">
        <f>IF(COUNTIFS(KPI_Element_Map!$A$2:$A$287,$A167,KPI_Element_Map!$G$2:$G$287,N$1)&gt;0,1,"")</f>
        <v/>
      </c>
      <c r="O167" s="21" t="str">
        <f>IF(COUNTIFS(KPI_Element_Map!$A$2:$A$287,$A167,KPI_Element_Map!$G$2:$G$287,O$1)&gt;0,1,"")</f>
        <v/>
      </c>
      <c r="P167" s="21" t="str">
        <f>IF(COUNTIFS(KPI_Element_Map!$A$2:$A$287,$A167,KPI_Element_Map!$G$2:$G$287,P$1)&gt;0,1,"")</f>
        <v/>
      </c>
      <c r="Q167" s="21" t="str">
        <f>IF(COUNTIFS(KPI_Element_Map!$A$2:$A$287,$A167,KPI_Element_Map!$G$2:$G$287,Q$1)&gt;0,1,"")</f>
        <v/>
      </c>
      <c r="R167" s="21" t="str">
        <f>IF(COUNTIFS(KPI_Element_Map!$A$2:$A$287,$A167,KPI_Element_Map!$G$2:$G$287,R$1)&gt;0,1,"")</f>
        <v/>
      </c>
      <c r="S167" s="21" t="str">
        <f>IF(COUNTIFS(KPI_Element_Map!$A$2:$A$287,$A167,KPI_Element_Map!$G$2:$G$287,S$1)&gt;0,1,"")</f>
        <v/>
      </c>
      <c r="T167" s="21" t="str">
        <f>IF(COUNTIFS(KPI_Element_Map!$A$2:$A$287,$A167,KPI_Element_Map!$G$2:$G$287,T$1)&gt;0,1,"")</f>
        <v/>
      </c>
      <c r="U167" s="21" t="str">
        <f>IF(COUNTIFS(KPI_Element_Map!$A$2:$A$287,$A167,KPI_Element_Map!$G$2:$G$287,U$1)&gt;0,1,"")</f>
        <v/>
      </c>
      <c r="V167" s="21" t="str">
        <f>IF(COUNTIFS(KPI_Element_Map!$A$2:$A$287,$A167,KPI_Element_Map!$G$2:$G$287,V$1)&gt;0,1,"")</f>
        <v/>
      </c>
      <c r="W167" s="21" t="str">
        <f>IF(COUNTIFS(KPI_Element_Map!$A$2:$A$287,$A167,KPI_Element_Map!$G$2:$G$287,W$1)&gt;0,1,"")</f>
        <v/>
      </c>
      <c r="X167" s="21" t="str">
        <f>IF(COUNTIFS(KPI_Element_Map!$A$2:$A$287,$A167,KPI_Element_Map!$G$2:$G$287,X$1)&gt;0,1,"")</f>
        <v/>
      </c>
      <c r="Y167" s="21" t="str">
        <f>IF(COUNTIFS(KPI_Element_Map!$A$2:$A$287,$A167,KPI_Element_Map!$G$2:$G$287,Y$1)&gt;0,1,"")</f>
        <v/>
      </c>
      <c r="Z167" s="21" t="str">
        <f>IF(COUNTIFS(KPI_Element_Map!$A$2:$A$287,$A167,KPI_Element_Map!$G$2:$G$287,Z$1)&gt;0,1,"")</f>
        <v/>
      </c>
      <c r="AA167" s="21" t="str">
        <f>IF(COUNTIFS(KPI_Element_Map!$A$2:$A$287,$A167,KPI_Element_Map!$G$2:$G$287,AA$1)&gt;0,1,"")</f>
        <v/>
      </c>
      <c r="AB167" s="21" t="str">
        <f>IF(COUNTIFS(KPI_Element_Map!$A$2:$A$287,$A167,KPI_Element_Map!$G$2:$G$287,AB$1)&gt;0,1,"")</f>
        <v/>
      </c>
      <c r="AC167" s="21" t="str">
        <f>IF(COUNTIFS(KPI_Element_Map!$A$2:$A$287,$A167,KPI_Element_Map!$G$2:$G$287,AC$1)&gt;0,1,"")</f>
        <v/>
      </c>
      <c r="AD167" s="21" t="str">
        <f>IF(COUNTIFS(KPI_Element_Map!$A$2:$A$287,$A167,KPI_Element_Map!$G$2:$G$287,AD$1)&gt;0,1,"")</f>
        <v/>
      </c>
      <c r="AE167" s="21" t="str">
        <f>IF(COUNTIFS(KPI_Element_Map!$A$2:$A$287,$A167,KPI_Element_Map!$G$2:$G$287,AE$1)&gt;0,1,"")</f>
        <v/>
      </c>
      <c r="AF167" s="21" t="str">
        <f>IF(COUNTIFS(KPI_Element_Map!$A$2:$A$287,$A167,KPI_Element_Map!$G$2:$G$287,AF$1)&gt;0,1,"")</f>
        <v/>
      </c>
      <c r="AG167" s="21">
        <f>IF(COUNTIFS(KPI_Element_Map!$A$2:$A$287,$A167,KPI_Element_Map!$G$2:$G$287,AG$1)&gt;0,1,"")</f>
        <v>1</v>
      </c>
      <c r="AH167" s="21" t="str">
        <f>IF(COUNTIFS(KPI_Element_Map!$A$2:$A$287,$A167,KPI_Element_Map!$G$2:$G$287,AH$1)&gt;0,1,"")</f>
        <v/>
      </c>
      <c r="AI167" s="21" t="str">
        <f>IF(COUNTIFS(KPI_Element_Map!$A$2:$A$287,$A167,KPI_Element_Map!$G$2:$G$287,AI$1)&gt;0,1,"")</f>
        <v/>
      </c>
      <c r="AJ167" s="21" t="str">
        <f>IF(COUNTIFS(KPI_Element_Map!$A$2:$A$287,$A167,KPI_Element_Map!$G$2:$G$287,AJ$1)&gt;0,1,"")</f>
        <v/>
      </c>
      <c r="AK167" s="21" t="str">
        <f>IF(COUNTIFS(KPI_Element_Map!$A$2:$A$287,$A167,KPI_Element_Map!$G$2:$G$287,AK$1)&gt;0,1,"")</f>
        <v/>
      </c>
    </row>
    <row r="168" spans="1:37">
      <c r="A168" s="21">
        <v>167</v>
      </c>
      <c r="B168" s="23" t="str">
        <f>INDEX(KPI_Master!$B:$B,MATCH($A168,KPI_Master!$A:$A,0))</f>
        <v>SALM-21</v>
      </c>
      <c r="C168" s="23" t="str">
        <f>INDEX(KPI_Master!$D:$D,MATCH($A168,KPI_Master!$A:$A,0))</f>
        <v>Move-Ins per 100 Units per Month</v>
      </c>
      <c r="D168" s="23" t="str">
        <f>INDEX(KPI_Master!$K:$K,MATCH($A168,KPI_Master!$A:$A,0))</f>
        <v>2 - Standard</v>
      </c>
      <c r="E168" s="23" t="str">
        <f t="array" ref="E168">_xlfn.TEXTJOIN(", ",TRUE(),IF(KPI_Element_Map!$A$2:$A$287=$A168,KPI_Element_Map!$E$2:$E$287,""))</f>
        <v>E07, E11</v>
      </c>
      <c r="F168" s="21">
        <f t="shared" si="5"/>
        <v>2</v>
      </c>
      <c r="G168" s="21">
        <f>IF(COUNTIFS(KPI_Element_Map!$A$2:$A$287,$A168,KPI_Element_Map!$G$2:$G$287,G$1)&gt;0,1,"")</f>
        <v>1</v>
      </c>
      <c r="H168" s="21">
        <f>IF(COUNTIFS(KPI_Element_Map!$A$2:$A$287,$A168,KPI_Element_Map!$G$2:$G$287,H$1)&gt;0,1,"")</f>
        <v>1</v>
      </c>
      <c r="I168" s="21" t="str">
        <f>IF(COUNTIFS(KPI_Element_Map!$A$2:$A$287,$A168,KPI_Element_Map!$G$2:$G$287,I$1)&gt;0,1,"")</f>
        <v/>
      </c>
      <c r="J168" s="21" t="str">
        <f>IF(COUNTIFS(KPI_Element_Map!$A$2:$A$287,$A168,KPI_Element_Map!$G$2:$G$287,J$1)&gt;0,1,"")</f>
        <v/>
      </c>
      <c r="K168" s="21" t="str">
        <f>IF(COUNTIFS(KPI_Element_Map!$A$2:$A$287,$A168,KPI_Element_Map!$G$2:$G$287,K$1)&gt;0,1,"")</f>
        <v/>
      </c>
      <c r="L168" s="21" t="str">
        <f>IF(COUNTIFS(KPI_Element_Map!$A$2:$A$287,$A168,KPI_Element_Map!$G$2:$G$287,L$1)&gt;0,1,"")</f>
        <v/>
      </c>
      <c r="M168" s="21" t="str">
        <f>IF(COUNTIFS(KPI_Element_Map!$A$2:$A$287,$A168,KPI_Element_Map!$G$2:$G$287,M$1)&gt;0,1,"")</f>
        <v/>
      </c>
      <c r="N168" s="21" t="str">
        <f>IF(COUNTIFS(KPI_Element_Map!$A$2:$A$287,$A168,KPI_Element_Map!$G$2:$G$287,N$1)&gt;0,1,"")</f>
        <v/>
      </c>
      <c r="O168" s="21" t="str">
        <f>IF(COUNTIFS(KPI_Element_Map!$A$2:$A$287,$A168,KPI_Element_Map!$G$2:$G$287,O$1)&gt;0,1,"")</f>
        <v/>
      </c>
      <c r="P168" s="21" t="str">
        <f>IF(COUNTIFS(KPI_Element_Map!$A$2:$A$287,$A168,KPI_Element_Map!$G$2:$G$287,P$1)&gt;0,1,"")</f>
        <v/>
      </c>
      <c r="Q168" s="21" t="str">
        <f>IF(COUNTIFS(KPI_Element_Map!$A$2:$A$287,$A168,KPI_Element_Map!$G$2:$G$287,Q$1)&gt;0,1,"")</f>
        <v/>
      </c>
      <c r="R168" s="21" t="str">
        <f>IF(COUNTIFS(KPI_Element_Map!$A$2:$A$287,$A168,KPI_Element_Map!$G$2:$G$287,R$1)&gt;0,1,"")</f>
        <v/>
      </c>
      <c r="S168" s="21" t="str">
        <f>IF(COUNTIFS(KPI_Element_Map!$A$2:$A$287,$A168,KPI_Element_Map!$G$2:$G$287,S$1)&gt;0,1,"")</f>
        <v/>
      </c>
      <c r="T168" s="21" t="str">
        <f>IF(COUNTIFS(KPI_Element_Map!$A$2:$A$287,$A168,KPI_Element_Map!$G$2:$G$287,T$1)&gt;0,1,"")</f>
        <v/>
      </c>
      <c r="U168" s="21" t="str">
        <f>IF(COUNTIFS(KPI_Element_Map!$A$2:$A$287,$A168,KPI_Element_Map!$G$2:$G$287,U$1)&gt;0,1,"")</f>
        <v/>
      </c>
      <c r="V168" s="21" t="str">
        <f>IF(COUNTIFS(KPI_Element_Map!$A$2:$A$287,$A168,KPI_Element_Map!$G$2:$G$287,V$1)&gt;0,1,"")</f>
        <v/>
      </c>
      <c r="W168" s="21" t="str">
        <f>IF(COUNTIFS(KPI_Element_Map!$A$2:$A$287,$A168,KPI_Element_Map!$G$2:$G$287,W$1)&gt;0,1,"")</f>
        <v/>
      </c>
      <c r="X168" s="21" t="str">
        <f>IF(COUNTIFS(KPI_Element_Map!$A$2:$A$287,$A168,KPI_Element_Map!$G$2:$G$287,X$1)&gt;0,1,"")</f>
        <v/>
      </c>
      <c r="Y168" s="21" t="str">
        <f>IF(COUNTIFS(KPI_Element_Map!$A$2:$A$287,$A168,KPI_Element_Map!$G$2:$G$287,Y$1)&gt;0,1,"")</f>
        <v/>
      </c>
      <c r="Z168" s="21" t="str">
        <f>IF(COUNTIFS(KPI_Element_Map!$A$2:$A$287,$A168,KPI_Element_Map!$G$2:$G$287,Z$1)&gt;0,1,"")</f>
        <v/>
      </c>
      <c r="AA168" s="21" t="str">
        <f>IF(COUNTIFS(KPI_Element_Map!$A$2:$A$287,$A168,KPI_Element_Map!$G$2:$G$287,AA$1)&gt;0,1,"")</f>
        <v/>
      </c>
      <c r="AB168" s="21" t="str">
        <f>IF(COUNTIFS(KPI_Element_Map!$A$2:$A$287,$A168,KPI_Element_Map!$G$2:$G$287,AB$1)&gt;0,1,"")</f>
        <v/>
      </c>
      <c r="AC168" s="21" t="str">
        <f>IF(COUNTIFS(KPI_Element_Map!$A$2:$A$287,$A168,KPI_Element_Map!$G$2:$G$287,AC$1)&gt;0,1,"")</f>
        <v/>
      </c>
      <c r="AD168" s="21" t="str">
        <f>IF(COUNTIFS(KPI_Element_Map!$A$2:$A$287,$A168,KPI_Element_Map!$G$2:$G$287,AD$1)&gt;0,1,"")</f>
        <v/>
      </c>
      <c r="AE168" s="21" t="str">
        <f>IF(COUNTIFS(KPI_Element_Map!$A$2:$A$287,$A168,KPI_Element_Map!$G$2:$G$287,AE$1)&gt;0,1,"")</f>
        <v/>
      </c>
      <c r="AF168" s="21" t="str">
        <f>IF(COUNTIFS(KPI_Element_Map!$A$2:$A$287,$A168,KPI_Element_Map!$G$2:$G$287,AF$1)&gt;0,1,"")</f>
        <v/>
      </c>
      <c r="AG168" s="21" t="str">
        <f>IF(COUNTIFS(KPI_Element_Map!$A$2:$A$287,$A168,KPI_Element_Map!$G$2:$G$287,AG$1)&gt;0,1,"")</f>
        <v/>
      </c>
      <c r="AH168" s="21" t="str">
        <f>IF(COUNTIFS(KPI_Element_Map!$A$2:$A$287,$A168,KPI_Element_Map!$G$2:$G$287,AH$1)&gt;0,1,"")</f>
        <v/>
      </c>
      <c r="AI168" s="21" t="str">
        <f>IF(COUNTIFS(KPI_Element_Map!$A$2:$A$287,$A168,KPI_Element_Map!$G$2:$G$287,AI$1)&gt;0,1,"")</f>
        <v/>
      </c>
      <c r="AJ168" s="21" t="str">
        <f>IF(COUNTIFS(KPI_Element_Map!$A$2:$A$287,$A168,KPI_Element_Map!$G$2:$G$287,AJ$1)&gt;0,1,"")</f>
        <v/>
      </c>
      <c r="AK168" s="21" t="str">
        <f>IF(COUNTIFS(KPI_Element_Map!$A$2:$A$287,$A168,KPI_Element_Map!$G$2:$G$287,AK$1)&gt;0,1,"")</f>
        <v/>
      </c>
    </row>
    <row r="169" spans="1:37">
      <c r="A169" s="21">
        <v>168</v>
      </c>
      <c r="B169" s="23" t="str">
        <f>INDEX(KPI_Master!$B:$B,MATCH($A169,KPI_Master!$A:$A,0))</f>
        <v>SALM-22</v>
      </c>
      <c r="C169" s="23" t="str">
        <f>INDEX(KPI_Master!$D:$D,MATCH($A169,KPI_Master!$A:$A,0))</f>
        <v>Deposit to Move-In Conversion Rate</v>
      </c>
      <c r="D169" s="23" t="str">
        <f>INDEX(KPI_Master!$K:$K,MATCH($A169,KPI_Master!$A:$A,0))</f>
        <v>2 - Standard</v>
      </c>
      <c r="E169" s="23" t="str">
        <f t="array" ref="E169">_xlfn.TEXTJOIN(", ",TRUE(),IF(KPI_Element_Map!$A$2:$A$287=$A169,KPI_Element_Map!$E$2:$E$287,""))</f>
        <v>E53</v>
      </c>
      <c r="F169" s="21">
        <f t="shared" si="5"/>
        <v>1</v>
      </c>
      <c r="G169" s="21" t="str">
        <f>IF(COUNTIFS(KPI_Element_Map!$A$2:$A$287,$A169,KPI_Element_Map!$G$2:$G$287,G$1)&gt;0,1,"")</f>
        <v/>
      </c>
      <c r="H169" s="21" t="str">
        <f>IF(COUNTIFS(KPI_Element_Map!$A$2:$A$287,$A169,KPI_Element_Map!$G$2:$G$287,H$1)&gt;0,1,"")</f>
        <v/>
      </c>
      <c r="I169" s="21" t="str">
        <f>IF(COUNTIFS(KPI_Element_Map!$A$2:$A$287,$A169,KPI_Element_Map!$G$2:$G$287,I$1)&gt;0,1,"")</f>
        <v/>
      </c>
      <c r="J169" s="21" t="str">
        <f>IF(COUNTIFS(KPI_Element_Map!$A$2:$A$287,$A169,KPI_Element_Map!$G$2:$G$287,J$1)&gt;0,1,"")</f>
        <v/>
      </c>
      <c r="K169" s="21" t="str">
        <f>IF(COUNTIFS(KPI_Element_Map!$A$2:$A$287,$A169,KPI_Element_Map!$G$2:$G$287,K$1)&gt;0,1,"")</f>
        <v/>
      </c>
      <c r="L169" s="21" t="str">
        <f>IF(COUNTIFS(KPI_Element_Map!$A$2:$A$287,$A169,KPI_Element_Map!$G$2:$G$287,L$1)&gt;0,1,"")</f>
        <v/>
      </c>
      <c r="M169" s="21" t="str">
        <f>IF(COUNTIFS(KPI_Element_Map!$A$2:$A$287,$A169,KPI_Element_Map!$G$2:$G$287,M$1)&gt;0,1,"")</f>
        <v/>
      </c>
      <c r="N169" s="21" t="str">
        <f>IF(COUNTIFS(KPI_Element_Map!$A$2:$A$287,$A169,KPI_Element_Map!$G$2:$G$287,N$1)&gt;0,1,"")</f>
        <v/>
      </c>
      <c r="O169" s="21" t="str">
        <f>IF(COUNTIFS(KPI_Element_Map!$A$2:$A$287,$A169,KPI_Element_Map!$G$2:$G$287,O$1)&gt;0,1,"")</f>
        <v/>
      </c>
      <c r="P169" s="21" t="str">
        <f>IF(COUNTIFS(KPI_Element_Map!$A$2:$A$287,$A169,KPI_Element_Map!$G$2:$G$287,P$1)&gt;0,1,"")</f>
        <v/>
      </c>
      <c r="Q169" s="21" t="str">
        <f>IF(COUNTIFS(KPI_Element_Map!$A$2:$A$287,$A169,KPI_Element_Map!$G$2:$G$287,Q$1)&gt;0,1,"")</f>
        <v/>
      </c>
      <c r="R169" s="21" t="str">
        <f>IF(COUNTIFS(KPI_Element_Map!$A$2:$A$287,$A169,KPI_Element_Map!$G$2:$G$287,R$1)&gt;0,1,"")</f>
        <v/>
      </c>
      <c r="S169" s="21" t="str">
        <f>IF(COUNTIFS(KPI_Element_Map!$A$2:$A$287,$A169,KPI_Element_Map!$G$2:$G$287,S$1)&gt;0,1,"")</f>
        <v/>
      </c>
      <c r="T169" s="21" t="str">
        <f>IF(COUNTIFS(KPI_Element_Map!$A$2:$A$287,$A169,KPI_Element_Map!$G$2:$G$287,T$1)&gt;0,1,"")</f>
        <v/>
      </c>
      <c r="U169" s="21" t="str">
        <f>IF(COUNTIFS(KPI_Element_Map!$A$2:$A$287,$A169,KPI_Element_Map!$G$2:$G$287,U$1)&gt;0,1,"")</f>
        <v/>
      </c>
      <c r="V169" s="21" t="str">
        <f>IF(COUNTIFS(KPI_Element_Map!$A$2:$A$287,$A169,KPI_Element_Map!$G$2:$G$287,V$1)&gt;0,1,"")</f>
        <v/>
      </c>
      <c r="W169" s="21" t="str">
        <f>IF(COUNTIFS(KPI_Element_Map!$A$2:$A$287,$A169,KPI_Element_Map!$G$2:$G$287,W$1)&gt;0,1,"")</f>
        <v/>
      </c>
      <c r="X169" s="21" t="str">
        <f>IF(COUNTIFS(KPI_Element_Map!$A$2:$A$287,$A169,KPI_Element_Map!$G$2:$G$287,X$1)&gt;0,1,"")</f>
        <v/>
      </c>
      <c r="Y169" s="21" t="str">
        <f>IF(COUNTIFS(KPI_Element_Map!$A$2:$A$287,$A169,KPI_Element_Map!$G$2:$G$287,Y$1)&gt;0,1,"")</f>
        <v/>
      </c>
      <c r="Z169" s="21" t="str">
        <f>IF(COUNTIFS(KPI_Element_Map!$A$2:$A$287,$A169,KPI_Element_Map!$G$2:$G$287,Z$1)&gt;0,1,"")</f>
        <v/>
      </c>
      <c r="AA169" s="21" t="str">
        <f>IF(COUNTIFS(KPI_Element_Map!$A$2:$A$287,$A169,KPI_Element_Map!$G$2:$G$287,AA$1)&gt;0,1,"")</f>
        <v/>
      </c>
      <c r="AB169" s="21" t="str">
        <f>IF(COUNTIFS(KPI_Element_Map!$A$2:$A$287,$A169,KPI_Element_Map!$G$2:$G$287,AB$1)&gt;0,1,"")</f>
        <v/>
      </c>
      <c r="AC169" s="21" t="str">
        <f>IF(COUNTIFS(KPI_Element_Map!$A$2:$A$287,$A169,KPI_Element_Map!$G$2:$G$287,AC$1)&gt;0,1,"")</f>
        <v/>
      </c>
      <c r="AD169" s="21" t="str">
        <f>IF(COUNTIFS(KPI_Element_Map!$A$2:$A$287,$A169,KPI_Element_Map!$G$2:$G$287,AD$1)&gt;0,1,"")</f>
        <v/>
      </c>
      <c r="AE169" s="21" t="str">
        <f>IF(COUNTIFS(KPI_Element_Map!$A$2:$A$287,$A169,KPI_Element_Map!$G$2:$G$287,AE$1)&gt;0,1,"")</f>
        <v/>
      </c>
      <c r="AF169" s="21" t="str">
        <f>IF(COUNTIFS(KPI_Element_Map!$A$2:$A$287,$A169,KPI_Element_Map!$G$2:$G$287,AF$1)&gt;0,1,"")</f>
        <v/>
      </c>
      <c r="AG169" s="21">
        <f>IF(COUNTIFS(KPI_Element_Map!$A$2:$A$287,$A169,KPI_Element_Map!$G$2:$G$287,AG$1)&gt;0,1,"")</f>
        <v>1</v>
      </c>
      <c r="AH169" s="21" t="str">
        <f>IF(COUNTIFS(KPI_Element_Map!$A$2:$A$287,$A169,KPI_Element_Map!$G$2:$G$287,AH$1)&gt;0,1,"")</f>
        <v/>
      </c>
      <c r="AI169" s="21" t="str">
        <f>IF(COUNTIFS(KPI_Element_Map!$A$2:$A$287,$A169,KPI_Element_Map!$G$2:$G$287,AI$1)&gt;0,1,"")</f>
        <v/>
      </c>
      <c r="AJ169" s="21" t="str">
        <f>IF(COUNTIFS(KPI_Element_Map!$A$2:$A$287,$A169,KPI_Element_Map!$G$2:$G$287,AJ$1)&gt;0,1,"")</f>
        <v/>
      </c>
      <c r="AK169" s="21" t="str">
        <f>IF(COUNTIFS(KPI_Element_Map!$A$2:$A$287,$A169,KPI_Element_Map!$G$2:$G$287,AK$1)&gt;0,1,"")</f>
        <v/>
      </c>
    </row>
    <row r="170" spans="1:37">
      <c r="A170" s="21">
        <v>169</v>
      </c>
      <c r="B170" s="23" t="str">
        <f>INDEX(KPI_Master!$B:$B,MATCH($A170,KPI_Master!$A:$A,0))</f>
        <v>SEC-01</v>
      </c>
      <c r="C170" s="23" t="str">
        <f>INDEX(KPI_Master!$D:$D,MATCH($A170,KPI_Master!$A:$A,0))</f>
        <v>Security Incident Rate</v>
      </c>
      <c r="D170" s="23" t="str">
        <f>INDEX(KPI_Master!$K:$K,MATCH($A170,KPI_Master!$A:$A,0))</f>
        <v>2 - Standard</v>
      </c>
      <c r="E170" s="23" t="str">
        <f t="array" ref="E170">_xlfn.TEXTJOIN(", ",TRUE(),IF(KPI_Element_Map!$A$2:$A$287=$A170,KPI_Element_Map!$E$2:$E$287,""))</f>
        <v>E37, E01</v>
      </c>
      <c r="F170" s="21">
        <f t="shared" si="5"/>
        <v>2</v>
      </c>
      <c r="G170" s="21">
        <f>IF(COUNTIFS(KPI_Element_Map!$A$2:$A$287,$A170,KPI_Element_Map!$G$2:$G$287,G$1)&gt;0,1,"")</f>
        <v>1</v>
      </c>
      <c r="H170" s="21" t="str">
        <f>IF(COUNTIFS(KPI_Element_Map!$A$2:$A$287,$A170,KPI_Element_Map!$G$2:$G$287,H$1)&gt;0,1,"")</f>
        <v/>
      </c>
      <c r="I170" s="21" t="str">
        <f>IF(COUNTIFS(KPI_Element_Map!$A$2:$A$287,$A170,KPI_Element_Map!$G$2:$G$287,I$1)&gt;0,1,"")</f>
        <v/>
      </c>
      <c r="J170" s="21" t="str">
        <f>IF(COUNTIFS(KPI_Element_Map!$A$2:$A$287,$A170,KPI_Element_Map!$G$2:$G$287,J$1)&gt;0,1,"")</f>
        <v/>
      </c>
      <c r="K170" s="21" t="str">
        <f>IF(COUNTIFS(KPI_Element_Map!$A$2:$A$287,$A170,KPI_Element_Map!$G$2:$G$287,K$1)&gt;0,1,"")</f>
        <v/>
      </c>
      <c r="L170" s="21" t="str">
        <f>IF(COUNTIFS(KPI_Element_Map!$A$2:$A$287,$A170,KPI_Element_Map!$G$2:$G$287,L$1)&gt;0,1,"")</f>
        <v/>
      </c>
      <c r="M170" s="21" t="str">
        <f>IF(COUNTIFS(KPI_Element_Map!$A$2:$A$287,$A170,KPI_Element_Map!$G$2:$G$287,M$1)&gt;0,1,"")</f>
        <v/>
      </c>
      <c r="N170" s="21" t="str">
        <f>IF(COUNTIFS(KPI_Element_Map!$A$2:$A$287,$A170,KPI_Element_Map!$G$2:$G$287,N$1)&gt;0,1,"")</f>
        <v/>
      </c>
      <c r="O170" s="21" t="str">
        <f>IF(COUNTIFS(KPI_Element_Map!$A$2:$A$287,$A170,KPI_Element_Map!$G$2:$G$287,O$1)&gt;0,1,"")</f>
        <v/>
      </c>
      <c r="P170" s="21" t="str">
        <f>IF(COUNTIFS(KPI_Element_Map!$A$2:$A$287,$A170,KPI_Element_Map!$G$2:$G$287,P$1)&gt;0,1,"")</f>
        <v/>
      </c>
      <c r="Q170" s="21" t="str">
        <f>IF(COUNTIFS(KPI_Element_Map!$A$2:$A$287,$A170,KPI_Element_Map!$G$2:$G$287,Q$1)&gt;0,1,"")</f>
        <v/>
      </c>
      <c r="R170" s="21" t="str">
        <f>IF(COUNTIFS(KPI_Element_Map!$A$2:$A$287,$A170,KPI_Element_Map!$G$2:$G$287,R$1)&gt;0,1,"")</f>
        <v/>
      </c>
      <c r="S170" s="21">
        <f>IF(COUNTIFS(KPI_Element_Map!$A$2:$A$287,$A170,KPI_Element_Map!$G$2:$G$287,S$1)&gt;0,1,"")</f>
        <v>1</v>
      </c>
      <c r="T170" s="21" t="str">
        <f>IF(COUNTIFS(KPI_Element_Map!$A$2:$A$287,$A170,KPI_Element_Map!$G$2:$G$287,T$1)&gt;0,1,"")</f>
        <v/>
      </c>
      <c r="U170" s="21" t="str">
        <f>IF(COUNTIFS(KPI_Element_Map!$A$2:$A$287,$A170,KPI_Element_Map!$G$2:$G$287,U$1)&gt;0,1,"")</f>
        <v/>
      </c>
      <c r="V170" s="21" t="str">
        <f>IF(COUNTIFS(KPI_Element_Map!$A$2:$A$287,$A170,KPI_Element_Map!$G$2:$G$287,V$1)&gt;0,1,"")</f>
        <v/>
      </c>
      <c r="W170" s="21" t="str">
        <f>IF(COUNTIFS(KPI_Element_Map!$A$2:$A$287,$A170,KPI_Element_Map!$G$2:$G$287,W$1)&gt;0,1,"")</f>
        <v/>
      </c>
      <c r="X170" s="21" t="str">
        <f>IF(COUNTIFS(KPI_Element_Map!$A$2:$A$287,$A170,KPI_Element_Map!$G$2:$G$287,X$1)&gt;0,1,"")</f>
        <v/>
      </c>
      <c r="Y170" s="21" t="str">
        <f>IF(COUNTIFS(KPI_Element_Map!$A$2:$A$287,$A170,KPI_Element_Map!$G$2:$G$287,Y$1)&gt;0,1,"")</f>
        <v/>
      </c>
      <c r="Z170" s="21" t="str">
        <f>IF(COUNTIFS(KPI_Element_Map!$A$2:$A$287,$A170,KPI_Element_Map!$G$2:$G$287,Z$1)&gt;0,1,"")</f>
        <v/>
      </c>
      <c r="AA170" s="21" t="str">
        <f>IF(COUNTIFS(KPI_Element_Map!$A$2:$A$287,$A170,KPI_Element_Map!$G$2:$G$287,AA$1)&gt;0,1,"")</f>
        <v/>
      </c>
      <c r="AB170" s="21" t="str">
        <f>IF(COUNTIFS(KPI_Element_Map!$A$2:$A$287,$A170,KPI_Element_Map!$G$2:$G$287,AB$1)&gt;0,1,"")</f>
        <v/>
      </c>
      <c r="AC170" s="21" t="str">
        <f>IF(COUNTIFS(KPI_Element_Map!$A$2:$A$287,$A170,KPI_Element_Map!$G$2:$G$287,AC$1)&gt;0,1,"")</f>
        <v/>
      </c>
      <c r="AD170" s="21" t="str">
        <f>IF(COUNTIFS(KPI_Element_Map!$A$2:$A$287,$A170,KPI_Element_Map!$G$2:$G$287,AD$1)&gt;0,1,"")</f>
        <v/>
      </c>
      <c r="AE170" s="21" t="str">
        <f>IF(COUNTIFS(KPI_Element_Map!$A$2:$A$287,$A170,KPI_Element_Map!$G$2:$G$287,AE$1)&gt;0,1,"")</f>
        <v/>
      </c>
      <c r="AF170" s="21" t="str">
        <f>IF(COUNTIFS(KPI_Element_Map!$A$2:$A$287,$A170,KPI_Element_Map!$G$2:$G$287,AF$1)&gt;0,1,"")</f>
        <v/>
      </c>
      <c r="AG170" s="21" t="str">
        <f>IF(COUNTIFS(KPI_Element_Map!$A$2:$A$287,$A170,KPI_Element_Map!$G$2:$G$287,AG$1)&gt;0,1,"")</f>
        <v/>
      </c>
      <c r="AH170" s="21" t="str">
        <f>IF(COUNTIFS(KPI_Element_Map!$A$2:$A$287,$A170,KPI_Element_Map!$G$2:$G$287,AH$1)&gt;0,1,"")</f>
        <v/>
      </c>
      <c r="AI170" s="21" t="str">
        <f>IF(COUNTIFS(KPI_Element_Map!$A$2:$A$287,$A170,KPI_Element_Map!$G$2:$G$287,AI$1)&gt;0,1,"")</f>
        <v/>
      </c>
      <c r="AJ170" s="21" t="str">
        <f>IF(COUNTIFS(KPI_Element_Map!$A$2:$A$287,$A170,KPI_Element_Map!$G$2:$G$287,AJ$1)&gt;0,1,"")</f>
        <v/>
      </c>
      <c r="AK170" s="21" t="str">
        <f>IF(COUNTIFS(KPI_Element_Map!$A$2:$A$287,$A170,KPI_Element_Map!$G$2:$G$287,AK$1)&gt;0,1,"")</f>
        <v/>
      </c>
    </row>
    <row r="171" spans="1:37">
      <c r="A171" s="21">
        <v>170</v>
      </c>
      <c r="B171" s="23" t="str">
        <f>INDEX(KPI_Master!$B:$B,MATCH($A171,KPI_Master!$A:$A,0))</f>
        <v>SEC-02</v>
      </c>
      <c r="C171" s="23" t="str">
        <f>INDEX(KPI_Master!$D:$D,MATCH($A171,KPI_Master!$A:$A,0))</f>
        <v>Elopement / Wandering Incident Count</v>
      </c>
      <c r="D171" s="23" t="str">
        <f>INDEX(KPI_Master!$K:$K,MATCH($A171,KPI_Master!$A:$A,0))</f>
        <v>1 - Core</v>
      </c>
      <c r="E171" s="23" t="str">
        <f t="array" ref="E171">_xlfn.TEXTJOIN(", ",TRUE(),IF(KPI_Element_Map!$A$2:$A$287=$A171,KPI_Element_Map!$E$2:$E$287,""))</f>
        <v>E37</v>
      </c>
      <c r="F171" s="21">
        <f t="shared" si="5"/>
        <v>1</v>
      </c>
      <c r="G171" s="21" t="str">
        <f>IF(COUNTIFS(KPI_Element_Map!$A$2:$A$287,$A171,KPI_Element_Map!$G$2:$G$287,G$1)&gt;0,1,"")</f>
        <v/>
      </c>
      <c r="H171" s="21" t="str">
        <f>IF(COUNTIFS(KPI_Element_Map!$A$2:$A$287,$A171,KPI_Element_Map!$G$2:$G$287,H$1)&gt;0,1,"")</f>
        <v/>
      </c>
      <c r="I171" s="21" t="str">
        <f>IF(COUNTIFS(KPI_Element_Map!$A$2:$A$287,$A171,KPI_Element_Map!$G$2:$G$287,I$1)&gt;0,1,"")</f>
        <v/>
      </c>
      <c r="J171" s="21" t="str">
        <f>IF(COUNTIFS(KPI_Element_Map!$A$2:$A$287,$A171,KPI_Element_Map!$G$2:$G$287,J$1)&gt;0,1,"")</f>
        <v/>
      </c>
      <c r="K171" s="21" t="str">
        <f>IF(COUNTIFS(KPI_Element_Map!$A$2:$A$287,$A171,KPI_Element_Map!$G$2:$G$287,K$1)&gt;0,1,"")</f>
        <v/>
      </c>
      <c r="L171" s="21" t="str">
        <f>IF(COUNTIFS(KPI_Element_Map!$A$2:$A$287,$A171,KPI_Element_Map!$G$2:$G$287,L$1)&gt;0,1,"")</f>
        <v/>
      </c>
      <c r="M171" s="21" t="str">
        <f>IF(COUNTIFS(KPI_Element_Map!$A$2:$A$287,$A171,KPI_Element_Map!$G$2:$G$287,M$1)&gt;0,1,"")</f>
        <v/>
      </c>
      <c r="N171" s="21" t="str">
        <f>IF(COUNTIFS(KPI_Element_Map!$A$2:$A$287,$A171,KPI_Element_Map!$G$2:$G$287,N$1)&gt;0,1,"")</f>
        <v/>
      </c>
      <c r="O171" s="21" t="str">
        <f>IF(COUNTIFS(KPI_Element_Map!$A$2:$A$287,$A171,KPI_Element_Map!$G$2:$G$287,O$1)&gt;0,1,"")</f>
        <v/>
      </c>
      <c r="P171" s="21" t="str">
        <f>IF(COUNTIFS(KPI_Element_Map!$A$2:$A$287,$A171,KPI_Element_Map!$G$2:$G$287,P$1)&gt;0,1,"")</f>
        <v/>
      </c>
      <c r="Q171" s="21" t="str">
        <f>IF(COUNTIFS(KPI_Element_Map!$A$2:$A$287,$A171,KPI_Element_Map!$G$2:$G$287,Q$1)&gt;0,1,"")</f>
        <v/>
      </c>
      <c r="R171" s="21" t="str">
        <f>IF(COUNTIFS(KPI_Element_Map!$A$2:$A$287,$A171,KPI_Element_Map!$G$2:$G$287,R$1)&gt;0,1,"")</f>
        <v/>
      </c>
      <c r="S171" s="21">
        <f>IF(COUNTIFS(KPI_Element_Map!$A$2:$A$287,$A171,KPI_Element_Map!$G$2:$G$287,S$1)&gt;0,1,"")</f>
        <v>1</v>
      </c>
      <c r="T171" s="21" t="str">
        <f>IF(COUNTIFS(KPI_Element_Map!$A$2:$A$287,$A171,KPI_Element_Map!$G$2:$G$287,T$1)&gt;0,1,"")</f>
        <v/>
      </c>
      <c r="U171" s="21" t="str">
        <f>IF(COUNTIFS(KPI_Element_Map!$A$2:$A$287,$A171,KPI_Element_Map!$G$2:$G$287,U$1)&gt;0,1,"")</f>
        <v/>
      </c>
      <c r="V171" s="21" t="str">
        <f>IF(COUNTIFS(KPI_Element_Map!$A$2:$A$287,$A171,KPI_Element_Map!$G$2:$G$287,V$1)&gt;0,1,"")</f>
        <v/>
      </c>
      <c r="W171" s="21" t="str">
        <f>IF(COUNTIFS(KPI_Element_Map!$A$2:$A$287,$A171,KPI_Element_Map!$G$2:$G$287,W$1)&gt;0,1,"")</f>
        <v/>
      </c>
      <c r="X171" s="21" t="str">
        <f>IF(COUNTIFS(KPI_Element_Map!$A$2:$A$287,$A171,KPI_Element_Map!$G$2:$G$287,X$1)&gt;0,1,"")</f>
        <v/>
      </c>
      <c r="Y171" s="21" t="str">
        <f>IF(COUNTIFS(KPI_Element_Map!$A$2:$A$287,$A171,KPI_Element_Map!$G$2:$G$287,Y$1)&gt;0,1,"")</f>
        <v/>
      </c>
      <c r="Z171" s="21" t="str">
        <f>IF(COUNTIFS(KPI_Element_Map!$A$2:$A$287,$A171,KPI_Element_Map!$G$2:$G$287,Z$1)&gt;0,1,"")</f>
        <v/>
      </c>
      <c r="AA171" s="21" t="str">
        <f>IF(COUNTIFS(KPI_Element_Map!$A$2:$A$287,$A171,KPI_Element_Map!$G$2:$G$287,AA$1)&gt;0,1,"")</f>
        <v/>
      </c>
      <c r="AB171" s="21" t="str">
        <f>IF(COUNTIFS(KPI_Element_Map!$A$2:$A$287,$A171,KPI_Element_Map!$G$2:$G$287,AB$1)&gt;0,1,"")</f>
        <v/>
      </c>
      <c r="AC171" s="21" t="str">
        <f>IF(COUNTIFS(KPI_Element_Map!$A$2:$A$287,$A171,KPI_Element_Map!$G$2:$G$287,AC$1)&gt;0,1,"")</f>
        <v/>
      </c>
      <c r="AD171" s="21" t="str">
        <f>IF(COUNTIFS(KPI_Element_Map!$A$2:$A$287,$A171,KPI_Element_Map!$G$2:$G$287,AD$1)&gt;0,1,"")</f>
        <v/>
      </c>
      <c r="AE171" s="21" t="str">
        <f>IF(COUNTIFS(KPI_Element_Map!$A$2:$A$287,$A171,KPI_Element_Map!$G$2:$G$287,AE$1)&gt;0,1,"")</f>
        <v/>
      </c>
      <c r="AF171" s="21" t="str">
        <f>IF(COUNTIFS(KPI_Element_Map!$A$2:$A$287,$A171,KPI_Element_Map!$G$2:$G$287,AF$1)&gt;0,1,"")</f>
        <v/>
      </c>
      <c r="AG171" s="21" t="str">
        <f>IF(COUNTIFS(KPI_Element_Map!$A$2:$A$287,$A171,KPI_Element_Map!$G$2:$G$287,AG$1)&gt;0,1,"")</f>
        <v/>
      </c>
      <c r="AH171" s="21" t="str">
        <f>IF(COUNTIFS(KPI_Element_Map!$A$2:$A$287,$A171,KPI_Element_Map!$G$2:$G$287,AH$1)&gt;0,1,"")</f>
        <v/>
      </c>
      <c r="AI171" s="21" t="str">
        <f>IF(COUNTIFS(KPI_Element_Map!$A$2:$A$287,$A171,KPI_Element_Map!$G$2:$G$287,AI$1)&gt;0,1,"")</f>
        <v/>
      </c>
      <c r="AJ171" s="21" t="str">
        <f>IF(COUNTIFS(KPI_Element_Map!$A$2:$A$287,$A171,KPI_Element_Map!$G$2:$G$287,AJ$1)&gt;0,1,"")</f>
        <v/>
      </c>
      <c r="AK171" s="21" t="str">
        <f>IF(COUNTIFS(KPI_Element_Map!$A$2:$A$287,$A171,KPI_Element_Map!$G$2:$G$287,AK$1)&gt;0,1,"")</f>
        <v/>
      </c>
    </row>
    <row r="172" spans="1:37">
      <c r="A172" s="21">
        <v>171</v>
      </c>
      <c r="B172" s="23" t="str">
        <f>INDEX(KPI_Master!$B:$B,MATCH($A172,KPI_Master!$A:$A,0))</f>
        <v>TRA-07</v>
      </c>
      <c r="C172" s="23" t="str">
        <f>INDEX(KPI_Master!$D:$D,MATCH($A172,KPI_Master!$A:$A,0))</f>
        <v>Vehicle Preventive Maintenance Compliance</v>
      </c>
      <c r="D172" s="23" t="str">
        <f>INDEX(KPI_Master!$K:$K,MATCH($A172,KPI_Master!$A:$A,0))</f>
        <v>2 - Standard</v>
      </c>
      <c r="E172" s="23" t="str">
        <f t="array" ref="E172">_xlfn.TEXTJOIN(", ",TRUE(),IF(KPI_Element_Map!$A$2:$A$287=$A172,KPI_Element_Map!$E$2:$E$287,""))</f>
        <v>E55</v>
      </c>
      <c r="F172" s="21">
        <f t="shared" si="5"/>
        <v>1</v>
      </c>
      <c r="G172" s="21" t="str">
        <f>IF(COUNTIFS(KPI_Element_Map!$A$2:$A$287,$A172,KPI_Element_Map!$G$2:$G$287,G$1)&gt;0,1,"")</f>
        <v/>
      </c>
      <c r="H172" s="21" t="str">
        <f>IF(COUNTIFS(KPI_Element_Map!$A$2:$A$287,$A172,KPI_Element_Map!$G$2:$G$287,H$1)&gt;0,1,"")</f>
        <v/>
      </c>
      <c r="I172" s="21" t="str">
        <f>IF(COUNTIFS(KPI_Element_Map!$A$2:$A$287,$A172,KPI_Element_Map!$G$2:$G$287,I$1)&gt;0,1,"")</f>
        <v/>
      </c>
      <c r="J172" s="21" t="str">
        <f>IF(COUNTIFS(KPI_Element_Map!$A$2:$A$287,$A172,KPI_Element_Map!$G$2:$G$287,J$1)&gt;0,1,"")</f>
        <v/>
      </c>
      <c r="K172" s="21" t="str">
        <f>IF(COUNTIFS(KPI_Element_Map!$A$2:$A$287,$A172,KPI_Element_Map!$G$2:$G$287,K$1)&gt;0,1,"")</f>
        <v/>
      </c>
      <c r="L172" s="21" t="str">
        <f>IF(COUNTIFS(KPI_Element_Map!$A$2:$A$287,$A172,KPI_Element_Map!$G$2:$G$287,L$1)&gt;0,1,"")</f>
        <v/>
      </c>
      <c r="M172" s="21" t="str">
        <f>IF(COUNTIFS(KPI_Element_Map!$A$2:$A$287,$A172,KPI_Element_Map!$G$2:$G$287,M$1)&gt;0,1,"")</f>
        <v/>
      </c>
      <c r="N172" s="21" t="str">
        <f>IF(COUNTIFS(KPI_Element_Map!$A$2:$A$287,$A172,KPI_Element_Map!$G$2:$G$287,N$1)&gt;0,1,"")</f>
        <v/>
      </c>
      <c r="O172" s="21" t="str">
        <f>IF(COUNTIFS(KPI_Element_Map!$A$2:$A$287,$A172,KPI_Element_Map!$G$2:$G$287,O$1)&gt;0,1,"")</f>
        <v/>
      </c>
      <c r="P172" s="21" t="str">
        <f>IF(COUNTIFS(KPI_Element_Map!$A$2:$A$287,$A172,KPI_Element_Map!$G$2:$G$287,P$1)&gt;0,1,"")</f>
        <v/>
      </c>
      <c r="Q172" s="21" t="str">
        <f>IF(COUNTIFS(KPI_Element_Map!$A$2:$A$287,$A172,KPI_Element_Map!$G$2:$G$287,Q$1)&gt;0,1,"")</f>
        <v/>
      </c>
      <c r="R172" s="21" t="str">
        <f>IF(COUNTIFS(KPI_Element_Map!$A$2:$A$287,$A172,KPI_Element_Map!$G$2:$G$287,R$1)&gt;0,1,"")</f>
        <v/>
      </c>
      <c r="S172" s="21" t="str">
        <f>IF(COUNTIFS(KPI_Element_Map!$A$2:$A$287,$A172,KPI_Element_Map!$G$2:$G$287,S$1)&gt;0,1,"")</f>
        <v/>
      </c>
      <c r="T172" s="21" t="str">
        <f>IF(COUNTIFS(KPI_Element_Map!$A$2:$A$287,$A172,KPI_Element_Map!$G$2:$G$287,T$1)&gt;0,1,"")</f>
        <v/>
      </c>
      <c r="U172" s="21" t="str">
        <f>IF(COUNTIFS(KPI_Element_Map!$A$2:$A$287,$A172,KPI_Element_Map!$G$2:$G$287,U$1)&gt;0,1,"")</f>
        <v/>
      </c>
      <c r="V172" s="21" t="str">
        <f>IF(COUNTIFS(KPI_Element_Map!$A$2:$A$287,$A172,KPI_Element_Map!$G$2:$G$287,V$1)&gt;0,1,"")</f>
        <v/>
      </c>
      <c r="W172" s="21" t="str">
        <f>IF(COUNTIFS(KPI_Element_Map!$A$2:$A$287,$A172,KPI_Element_Map!$G$2:$G$287,W$1)&gt;0,1,"")</f>
        <v/>
      </c>
      <c r="X172" s="21" t="str">
        <f>IF(COUNTIFS(KPI_Element_Map!$A$2:$A$287,$A172,KPI_Element_Map!$G$2:$G$287,X$1)&gt;0,1,"")</f>
        <v/>
      </c>
      <c r="Y172" s="21" t="str">
        <f>IF(COUNTIFS(KPI_Element_Map!$A$2:$A$287,$A172,KPI_Element_Map!$G$2:$G$287,Y$1)&gt;0,1,"")</f>
        <v/>
      </c>
      <c r="Z172" s="21" t="str">
        <f>IF(COUNTIFS(KPI_Element_Map!$A$2:$A$287,$A172,KPI_Element_Map!$G$2:$G$287,Z$1)&gt;0,1,"")</f>
        <v/>
      </c>
      <c r="AA172" s="21" t="str">
        <f>IF(COUNTIFS(KPI_Element_Map!$A$2:$A$287,$A172,KPI_Element_Map!$G$2:$G$287,AA$1)&gt;0,1,"")</f>
        <v/>
      </c>
      <c r="AB172" s="21" t="str">
        <f>IF(COUNTIFS(KPI_Element_Map!$A$2:$A$287,$A172,KPI_Element_Map!$G$2:$G$287,AB$1)&gt;0,1,"")</f>
        <v/>
      </c>
      <c r="AC172" s="21" t="str">
        <f>IF(COUNTIFS(KPI_Element_Map!$A$2:$A$287,$A172,KPI_Element_Map!$G$2:$G$287,AC$1)&gt;0,1,"")</f>
        <v/>
      </c>
      <c r="AD172" s="21" t="str">
        <f>IF(COUNTIFS(KPI_Element_Map!$A$2:$A$287,$A172,KPI_Element_Map!$G$2:$G$287,AD$1)&gt;0,1,"")</f>
        <v/>
      </c>
      <c r="AE172" s="21" t="str">
        <f>IF(COUNTIFS(KPI_Element_Map!$A$2:$A$287,$A172,KPI_Element_Map!$G$2:$G$287,AE$1)&gt;0,1,"")</f>
        <v/>
      </c>
      <c r="AF172" s="21" t="str">
        <f>IF(COUNTIFS(KPI_Element_Map!$A$2:$A$287,$A172,KPI_Element_Map!$G$2:$G$287,AF$1)&gt;0,1,"")</f>
        <v/>
      </c>
      <c r="AG172" s="21" t="str">
        <f>IF(COUNTIFS(KPI_Element_Map!$A$2:$A$287,$A172,KPI_Element_Map!$G$2:$G$287,AG$1)&gt;0,1,"")</f>
        <v/>
      </c>
      <c r="AH172" s="21" t="str">
        <f>IF(COUNTIFS(KPI_Element_Map!$A$2:$A$287,$A172,KPI_Element_Map!$G$2:$G$287,AH$1)&gt;0,1,"")</f>
        <v/>
      </c>
      <c r="AI172" s="21">
        <f>IF(COUNTIFS(KPI_Element_Map!$A$2:$A$287,$A172,KPI_Element_Map!$G$2:$G$287,AI$1)&gt;0,1,"")</f>
        <v>1</v>
      </c>
      <c r="AJ172" s="21" t="str">
        <f>IF(COUNTIFS(KPI_Element_Map!$A$2:$A$287,$A172,KPI_Element_Map!$G$2:$G$287,AJ$1)&gt;0,1,"")</f>
        <v/>
      </c>
      <c r="AK172" s="21" t="str">
        <f>IF(COUNTIFS(KPI_Element_Map!$A$2:$A$287,$A172,KPI_Element_Map!$G$2:$G$287,AK$1)&gt;0,1,"")</f>
        <v/>
      </c>
    </row>
    <row r="174" spans="1:37">
      <c r="C174" s="29" t="s">
        <v>1265</v>
      </c>
      <c r="G174" s="32">
        <f t="shared" ref="G174:AK174" si="6">SUM(G2:G172)</f>
        <v>43</v>
      </c>
      <c r="H174" s="32">
        <f t="shared" si="6"/>
        <v>17</v>
      </c>
      <c r="I174" s="32">
        <f t="shared" si="6"/>
        <v>33</v>
      </c>
      <c r="J174" s="32">
        <f t="shared" si="6"/>
        <v>5</v>
      </c>
      <c r="K174" s="32">
        <f t="shared" si="6"/>
        <v>2</v>
      </c>
      <c r="L174" s="32">
        <f t="shared" si="6"/>
        <v>26</v>
      </c>
      <c r="M174" s="32">
        <f t="shared" si="6"/>
        <v>4</v>
      </c>
      <c r="N174" s="32">
        <f t="shared" si="6"/>
        <v>7</v>
      </c>
      <c r="O174" s="32">
        <f t="shared" si="6"/>
        <v>3</v>
      </c>
      <c r="P174" s="32">
        <f t="shared" si="6"/>
        <v>2</v>
      </c>
      <c r="Q174" s="32">
        <f t="shared" si="6"/>
        <v>1</v>
      </c>
      <c r="R174" s="32">
        <f t="shared" si="6"/>
        <v>5</v>
      </c>
      <c r="S174" s="32">
        <f t="shared" si="6"/>
        <v>6</v>
      </c>
      <c r="T174" s="32">
        <f t="shared" si="6"/>
        <v>3</v>
      </c>
      <c r="U174" s="32">
        <f t="shared" si="6"/>
        <v>9</v>
      </c>
      <c r="V174" s="32">
        <f t="shared" si="6"/>
        <v>2</v>
      </c>
      <c r="W174" s="32">
        <f t="shared" si="6"/>
        <v>21</v>
      </c>
      <c r="X174" s="32">
        <f t="shared" si="6"/>
        <v>4</v>
      </c>
      <c r="Y174" s="32">
        <f t="shared" si="6"/>
        <v>2</v>
      </c>
      <c r="Z174" s="32">
        <f t="shared" si="6"/>
        <v>3</v>
      </c>
      <c r="AA174" s="32">
        <f t="shared" si="6"/>
        <v>1</v>
      </c>
      <c r="AB174" s="32">
        <f t="shared" si="6"/>
        <v>3</v>
      </c>
      <c r="AC174" s="32">
        <f t="shared" si="6"/>
        <v>1</v>
      </c>
      <c r="AD174" s="32">
        <f t="shared" si="6"/>
        <v>6</v>
      </c>
      <c r="AE174" s="32">
        <f t="shared" si="6"/>
        <v>3</v>
      </c>
      <c r="AF174" s="32">
        <f t="shared" si="6"/>
        <v>1</v>
      </c>
      <c r="AG174" s="32">
        <f t="shared" si="6"/>
        <v>8</v>
      </c>
      <c r="AH174" s="32">
        <f t="shared" si="6"/>
        <v>1</v>
      </c>
      <c r="AI174" s="32">
        <f t="shared" si="6"/>
        <v>11</v>
      </c>
      <c r="AJ174" s="32">
        <f t="shared" si="6"/>
        <v>1</v>
      </c>
      <c r="AK174" s="32">
        <f t="shared" si="6"/>
        <v>6</v>
      </c>
    </row>
    <row r="175" spans="1:37">
      <c r="C175" s="29" t="s">
        <v>1266</v>
      </c>
      <c r="G175" s="32">
        <f t="shared" ref="G175:AK175" si="7">COUNTIFS(G2:G172,1,$D$2:$D$172,"1 - Core")</f>
        <v>10</v>
      </c>
      <c r="H175" s="32">
        <f t="shared" si="7"/>
        <v>1</v>
      </c>
      <c r="I175" s="32">
        <f t="shared" si="7"/>
        <v>6</v>
      </c>
      <c r="J175" s="32">
        <f t="shared" si="7"/>
        <v>3</v>
      </c>
      <c r="K175" s="32">
        <f t="shared" si="7"/>
        <v>1</v>
      </c>
      <c r="L175" s="32">
        <f t="shared" si="7"/>
        <v>2</v>
      </c>
      <c r="M175" s="32">
        <f t="shared" si="7"/>
        <v>0</v>
      </c>
      <c r="N175" s="32">
        <f t="shared" si="7"/>
        <v>2</v>
      </c>
      <c r="O175" s="32">
        <f t="shared" si="7"/>
        <v>0</v>
      </c>
      <c r="P175" s="32">
        <f t="shared" si="7"/>
        <v>0</v>
      </c>
      <c r="Q175" s="32">
        <f t="shared" si="7"/>
        <v>1</v>
      </c>
      <c r="R175" s="32">
        <f t="shared" si="7"/>
        <v>3</v>
      </c>
      <c r="S175" s="32">
        <f t="shared" si="7"/>
        <v>3</v>
      </c>
      <c r="T175" s="32">
        <f t="shared" si="7"/>
        <v>1</v>
      </c>
      <c r="U175" s="32">
        <f t="shared" si="7"/>
        <v>1</v>
      </c>
      <c r="V175" s="32">
        <f t="shared" si="7"/>
        <v>0</v>
      </c>
      <c r="W175" s="32">
        <f t="shared" si="7"/>
        <v>2</v>
      </c>
      <c r="X175" s="32">
        <f t="shared" si="7"/>
        <v>3</v>
      </c>
      <c r="Y175" s="32">
        <f t="shared" si="7"/>
        <v>0</v>
      </c>
      <c r="Z175" s="32">
        <f t="shared" si="7"/>
        <v>0</v>
      </c>
      <c r="AA175" s="32">
        <f t="shared" si="7"/>
        <v>1</v>
      </c>
      <c r="AB175" s="32">
        <f t="shared" si="7"/>
        <v>0</v>
      </c>
      <c r="AC175" s="32">
        <f t="shared" si="7"/>
        <v>0</v>
      </c>
      <c r="AD175" s="32">
        <f t="shared" si="7"/>
        <v>1</v>
      </c>
      <c r="AE175" s="32">
        <f t="shared" si="7"/>
        <v>1</v>
      </c>
      <c r="AF175" s="32">
        <f t="shared" si="7"/>
        <v>0</v>
      </c>
      <c r="AG175" s="32">
        <f t="shared" si="7"/>
        <v>2</v>
      </c>
      <c r="AH175" s="32">
        <f t="shared" si="7"/>
        <v>0</v>
      </c>
      <c r="AI175" s="32">
        <f t="shared" si="7"/>
        <v>3</v>
      </c>
      <c r="AJ175" s="32">
        <f t="shared" si="7"/>
        <v>0</v>
      </c>
      <c r="AK175" s="32">
        <f t="shared" si="7"/>
        <v>0</v>
      </c>
    </row>
  </sheetData>
  <autoFilter ref="A1:AK172" xr:uid="{00000000-0009-0000-0000-000004000000}"/>
  <conditionalFormatting sqref="G2:AK172">
    <cfRule type="cellIs" dxfId="1" priority="2" operator="equal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9" customWidth="1"/>
    <col min="2" max="2" width="11" customWidth="1"/>
    <col min="3" max="3" width="44" customWidth="1"/>
    <col min="4" max="4" width="15" customWidth="1"/>
    <col min="5" max="5" width="11" customWidth="1"/>
    <col min="6" max="6" width="40" customWidth="1"/>
    <col min="7" max="7" width="9" customWidth="1"/>
    <col min="8" max="8" width="55" customWidth="1"/>
  </cols>
  <sheetData>
    <row r="1" spans="1:8" ht="31.5" customHeight="1">
      <c r="A1" s="20" t="s">
        <v>0</v>
      </c>
      <c r="B1" s="20" t="s">
        <v>1</v>
      </c>
      <c r="C1" s="20" t="s">
        <v>3</v>
      </c>
      <c r="D1" s="20" t="s">
        <v>10</v>
      </c>
      <c r="E1" s="20" t="s">
        <v>919</v>
      </c>
      <c r="F1" s="20" t="s">
        <v>1267</v>
      </c>
      <c r="G1" s="20" t="s">
        <v>925</v>
      </c>
      <c r="H1" s="20" t="s">
        <v>926</v>
      </c>
    </row>
    <row r="2" spans="1:8" ht="42.75" customHeight="1">
      <c r="A2" s="21">
        <v>1</v>
      </c>
      <c r="B2" s="23" t="str">
        <f>INDEX(KPI_Master!$B:$B,MATCH($A2,KPI_Master!$A:$A,0))</f>
        <v>DINF-01</v>
      </c>
      <c r="C2" s="23" t="str">
        <f>INDEX(KPI_Master!$D:$D,MATCH($A2,KPI_Master!$A:$A,0))</f>
        <v>Raw Food Cost per Resident Day (PRD)</v>
      </c>
      <c r="D2" s="23" t="str">
        <f>INDEX(KPI_Master!$K:$K,MATCH($A2,KPI_Master!$A:$A,0))</f>
        <v>1 - Core</v>
      </c>
      <c r="E2" s="24" t="s">
        <v>1130</v>
      </c>
      <c r="F2" s="23" t="str">
        <f>INDEX(Common_Formula_Elements!$B:$B,MATCH($E2,Common_Formula_Elements!$A:$A,0))</f>
        <v>Food Purchase Cost</v>
      </c>
      <c r="G2" s="21" t="str">
        <f>INDEX(Common_Formula_Elements!$G:$G,MATCH($E2,Common_Formula_Elements!$A:$A,0))</f>
        <v>D03</v>
      </c>
      <c r="H2" s="23" t="str">
        <f>INDEX(Minimum_Documents!$B:$B,MATCH($G2,Minimum_Documents!$A:$A,0))</f>
        <v>Monthly Financial Statement Package - consolidated (P&amp;L with budget, balance sheet, cash flow, trial balance; no department split needed)</v>
      </c>
    </row>
    <row r="3" spans="1:8">
      <c r="A3" s="21">
        <v>1</v>
      </c>
      <c r="B3" s="23" t="str">
        <f>INDEX(KPI_Master!$B:$B,MATCH($A3,KPI_Master!$A:$A,0))</f>
        <v>DINF-01</v>
      </c>
      <c r="C3" s="23" t="str">
        <f>INDEX(KPI_Master!$D:$D,MATCH($A3,KPI_Master!$A:$A,0))</f>
        <v>Raw Food Cost per Resident Day (PRD)</v>
      </c>
      <c r="D3" s="23" t="str">
        <f>INDEX(KPI_Master!$K:$K,MATCH($A3,KPI_Master!$A:$A,0))</f>
        <v>1 - Core</v>
      </c>
      <c r="E3" s="24" t="s">
        <v>928</v>
      </c>
      <c r="F3" s="23" t="str">
        <f>INDEX(Common_Formula_Elements!$B:$B,MATCH($E3,Common_Formula_Elements!$A:$A,0))</f>
        <v>Total Resident Days</v>
      </c>
      <c r="G3" s="21" t="str">
        <f>INDEX(Common_Formula_Elements!$G:$G,MATCH($E3,Common_Formula_Elements!$A:$A,0))</f>
        <v>D01</v>
      </c>
      <c r="H3" s="23" t="str">
        <f>INDEX(Minimum_Documents!$B:$B,MATCH($G3,Minimum_Documents!$A:$A,0))</f>
        <v>Census &amp; ADT Register</v>
      </c>
    </row>
    <row r="4" spans="1:8" ht="42.75" customHeight="1">
      <c r="A4" s="21">
        <v>2</v>
      </c>
      <c r="B4" s="23" t="str">
        <f>INDEX(KPI_Master!$B:$B,MATCH($A4,KPI_Master!$A:$A,0))</f>
        <v>DINF-02</v>
      </c>
      <c r="C4" s="23" t="str">
        <f>INDEX(KPI_Master!$D:$D,MATCH($A4,KPI_Master!$A:$A,0))</f>
        <v>Total Dining Cost per Resident Day</v>
      </c>
      <c r="D4" s="23" t="str">
        <f>INDEX(KPI_Master!$K:$K,MATCH($A4,KPI_Master!$A:$A,0))</f>
        <v>2 - Standard</v>
      </c>
      <c r="E4" s="24" t="s">
        <v>1130</v>
      </c>
      <c r="F4" s="23" t="str">
        <f>INDEX(Common_Formula_Elements!$B:$B,MATCH($E4,Common_Formula_Elements!$A:$A,0))</f>
        <v>Food Purchase Cost</v>
      </c>
      <c r="G4" s="21" t="str">
        <f>INDEX(Common_Formula_Elements!$G:$G,MATCH($E4,Common_Formula_Elements!$A:$A,0))</f>
        <v>D03</v>
      </c>
      <c r="H4" s="23" t="str">
        <f>INDEX(Minimum_Documents!$B:$B,MATCH($G4,Minimum_Documents!$A:$A,0))</f>
        <v>Monthly Financial Statement Package - consolidated (P&amp;L with budget, balance sheet, cash flow, trial balance; no department split needed)</v>
      </c>
    </row>
    <row r="5" spans="1:8" ht="28.5" customHeight="1">
      <c r="A5" s="21">
        <v>2</v>
      </c>
      <c r="B5" s="23" t="str">
        <f>INDEX(KPI_Master!$B:$B,MATCH($A5,KPI_Master!$A:$A,0))</f>
        <v>DINF-02</v>
      </c>
      <c r="C5" s="23" t="str">
        <f>INDEX(KPI_Master!$D:$D,MATCH($A5,KPI_Master!$A:$A,0))</f>
        <v>Total Dining Cost per Resident Day</v>
      </c>
      <c r="D5" s="23" t="str">
        <f>INDEX(KPI_Master!$K:$K,MATCH($A5,KPI_Master!$A:$A,0))</f>
        <v>2 - Standard</v>
      </c>
      <c r="E5" s="24" t="s">
        <v>1012</v>
      </c>
      <c r="F5" s="23" t="str">
        <f>INDEX(Common_Formula_Elements!$B:$B,MATCH($E5,Common_Formula_Elements!$A:$A,0))</f>
        <v>Wages by Job Class / Department</v>
      </c>
      <c r="G5" s="21" t="str">
        <f>INDEX(Common_Formula_Elements!$G:$G,MATCH($E5,Common_Formula_Elements!$A:$A,0))</f>
        <v>D06</v>
      </c>
      <c r="H5" s="23" t="str">
        <f>INDEX(Minimum_Documents!$B:$B,MATCH($G5,Minimum_Documents!$A:$A,0))</f>
        <v>Payroll Register (hours and wages by employee, job class and department)</v>
      </c>
    </row>
    <row r="6" spans="1:8">
      <c r="A6" s="21">
        <v>2</v>
      </c>
      <c r="B6" s="23" t="str">
        <f>INDEX(KPI_Master!$B:$B,MATCH($A6,KPI_Master!$A:$A,0))</f>
        <v>DINF-02</v>
      </c>
      <c r="C6" s="23" t="str">
        <f>INDEX(KPI_Master!$D:$D,MATCH($A6,KPI_Master!$A:$A,0))</f>
        <v>Total Dining Cost per Resident Day</v>
      </c>
      <c r="D6" s="23" t="str">
        <f>INDEX(KPI_Master!$K:$K,MATCH($A6,KPI_Master!$A:$A,0))</f>
        <v>2 - Standard</v>
      </c>
      <c r="E6" s="24" t="s">
        <v>1126</v>
      </c>
      <c r="F6" s="23" t="str">
        <f>INDEX(Common_Formula_Elements!$B:$B,MATCH($E6,Common_Formula_Elements!$A:$A,0))</f>
        <v>Department Non-Labor Expense</v>
      </c>
      <c r="G6" s="21" t="str">
        <f>INDEX(Common_Formula_Elements!$G:$G,MATCH($E6,Common_Formula_Elements!$A:$A,0))</f>
        <v>D31</v>
      </c>
      <c r="H6" s="23" t="str">
        <f>INDEX(Minimum_Documents!$B:$B,MATCH($G6,Minimum_Documents!$A:$A,0))</f>
        <v>AP Invoice Register coded by Department / Cost Centre</v>
      </c>
    </row>
    <row r="7" spans="1:8">
      <c r="A7" s="21">
        <v>2</v>
      </c>
      <c r="B7" s="23" t="str">
        <f>INDEX(KPI_Master!$B:$B,MATCH($A7,KPI_Master!$A:$A,0))</f>
        <v>DINF-02</v>
      </c>
      <c r="C7" s="23" t="str">
        <f>INDEX(KPI_Master!$D:$D,MATCH($A7,KPI_Master!$A:$A,0))</f>
        <v>Total Dining Cost per Resident Day</v>
      </c>
      <c r="D7" s="23" t="str">
        <f>INDEX(KPI_Master!$K:$K,MATCH($A7,KPI_Master!$A:$A,0))</f>
        <v>2 - Standard</v>
      </c>
      <c r="E7" s="24" t="s">
        <v>928</v>
      </c>
      <c r="F7" s="23" t="str">
        <f>INDEX(Common_Formula_Elements!$B:$B,MATCH($E7,Common_Formula_Elements!$A:$A,0))</f>
        <v>Total Resident Days</v>
      </c>
      <c r="G7" s="21" t="str">
        <f>INDEX(Common_Formula_Elements!$G:$G,MATCH($E7,Common_Formula_Elements!$A:$A,0))</f>
        <v>D01</v>
      </c>
      <c r="H7" s="23" t="str">
        <f>INDEX(Minimum_Documents!$B:$B,MATCH($G7,Minimum_Documents!$A:$A,0))</f>
        <v>Census &amp; ADT Register</v>
      </c>
    </row>
    <row r="8" spans="1:8" ht="28.5" customHeight="1">
      <c r="A8" s="21">
        <v>3</v>
      </c>
      <c r="B8" s="23" t="str">
        <f>INDEX(KPI_Master!$B:$B,MATCH($A8,KPI_Master!$A:$A,0))</f>
        <v>DINF-03</v>
      </c>
      <c r="C8" s="23" t="str">
        <f>INDEX(KPI_Master!$D:$D,MATCH($A8,KPI_Master!$A:$A,0))</f>
        <v>Dining Labor as % of Dining Expense</v>
      </c>
      <c r="D8" s="23" t="str">
        <f>INDEX(KPI_Master!$K:$K,MATCH($A8,KPI_Master!$A:$A,0))</f>
        <v>2 - Standard</v>
      </c>
      <c r="E8" s="24" t="s">
        <v>1012</v>
      </c>
      <c r="F8" s="23" t="str">
        <f>INDEX(Common_Formula_Elements!$B:$B,MATCH($E8,Common_Formula_Elements!$A:$A,0))</f>
        <v>Wages by Job Class / Department</v>
      </c>
      <c r="G8" s="21" t="str">
        <f>INDEX(Common_Formula_Elements!$G:$G,MATCH($E8,Common_Formula_Elements!$A:$A,0))</f>
        <v>D06</v>
      </c>
      <c r="H8" s="23" t="str">
        <f>INDEX(Minimum_Documents!$B:$B,MATCH($G8,Minimum_Documents!$A:$A,0))</f>
        <v>Payroll Register (hours and wages by employee, job class and department)</v>
      </c>
    </row>
    <row r="9" spans="1:8" ht="42.75" customHeight="1">
      <c r="A9" s="21">
        <v>3</v>
      </c>
      <c r="B9" s="23" t="str">
        <f>INDEX(KPI_Master!$B:$B,MATCH($A9,KPI_Master!$A:$A,0))</f>
        <v>DINF-03</v>
      </c>
      <c r="C9" s="23" t="str">
        <f>INDEX(KPI_Master!$D:$D,MATCH($A9,KPI_Master!$A:$A,0))</f>
        <v>Dining Labor as % of Dining Expense</v>
      </c>
      <c r="D9" s="23" t="str">
        <f>INDEX(KPI_Master!$K:$K,MATCH($A9,KPI_Master!$A:$A,0))</f>
        <v>2 - Standard</v>
      </c>
      <c r="E9" s="24" t="s">
        <v>1130</v>
      </c>
      <c r="F9" s="23" t="str">
        <f>INDEX(Common_Formula_Elements!$B:$B,MATCH($E9,Common_Formula_Elements!$A:$A,0))</f>
        <v>Food Purchase Cost</v>
      </c>
      <c r="G9" s="21" t="str">
        <f>INDEX(Common_Formula_Elements!$G:$G,MATCH($E9,Common_Formula_Elements!$A:$A,0))</f>
        <v>D03</v>
      </c>
      <c r="H9" s="23" t="str">
        <f>INDEX(Minimum_Documents!$B:$B,MATCH($G9,Minimum_Documents!$A:$A,0))</f>
        <v>Monthly Financial Statement Package - consolidated (P&amp;L with budget, balance sheet, cash flow, trial balance; no department split needed)</v>
      </c>
    </row>
    <row r="10" spans="1:8">
      <c r="A10" s="21">
        <v>3</v>
      </c>
      <c r="B10" s="23" t="str">
        <f>INDEX(KPI_Master!$B:$B,MATCH($A10,KPI_Master!$A:$A,0))</f>
        <v>DINF-03</v>
      </c>
      <c r="C10" s="23" t="str">
        <f>INDEX(KPI_Master!$D:$D,MATCH($A10,KPI_Master!$A:$A,0))</f>
        <v>Dining Labor as % of Dining Expense</v>
      </c>
      <c r="D10" s="23" t="str">
        <f>INDEX(KPI_Master!$K:$K,MATCH($A10,KPI_Master!$A:$A,0))</f>
        <v>2 - Standard</v>
      </c>
      <c r="E10" s="24" t="s">
        <v>1126</v>
      </c>
      <c r="F10" s="23" t="str">
        <f>INDEX(Common_Formula_Elements!$B:$B,MATCH($E10,Common_Formula_Elements!$A:$A,0))</f>
        <v>Department Non-Labor Expense</v>
      </c>
      <c r="G10" s="21" t="str">
        <f>INDEX(Common_Formula_Elements!$G:$G,MATCH($E10,Common_Formula_Elements!$A:$A,0))</f>
        <v>D31</v>
      </c>
      <c r="H10" s="23" t="str">
        <f>INDEX(Minimum_Documents!$B:$B,MATCH($G10,Minimum_Documents!$A:$A,0))</f>
        <v>AP Invoice Register coded by Department / Cost Centre</v>
      </c>
    </row>
    <row r="11" spans="1:8">
      <c r="A11" s="21">
        <v>4</v>
      </c>
      <c r="B11" s="23" t="str">
        <f>INDEX(KPI_Master!$B:$B,MATCH($A11,KPI_Master!$A:$A,0))</f>
        <v>DINF-04</v>
      </c>
      <c r="C11" s="23" t="str">
        <f>INDEX(KPI_Master!$D:$D,MATCH($A11,KPI_Master!$A:$A,0))</f>
        <v>Meal Participation Rate</v>
      </c>
      <c r="D11" s="23" t="str">
        <f>INDEX(KPI_Master!$K:$K,MATCH($A11,KPI_Master!$A:$A,0))</f>
        <v>2 - Standard</v>
      </c>
      <c r="E11" s="24" t="s">
        <v>1087</v>
      </c>
      <c r="F11" s="23" t="str">
        <f>INDEX(Common_Formula_Elements!$B:$B,MATCH($E11,Common_Formula_Elements!$A:$A,0))</f>
        <v>Meals Served</v>
      </c>
      <c r="G11" s="21" t="str">
        <f>INDEX(Common_Formula_Elements!$G:$G,MATCH($E11,Common_Formula_Elements!$A:$A,0))</f>
        <v>D22</v>
      </c>
      <c r="H11" s="23" t="str">
        <f>INDEX(Minimum_Documents!$B:$B,MATCH($G11,Minimum_Documents!$A:$A,0))</f>
        <v>Meal Count / POS Report</v>
      </c>
    </row>
    <row r="12" spans="1:8">
      <c r="A12" s="21">
        <v>4</v>
      </c>
      <c r="B12" s="23" t="str">
        <f>INDEX(KPI_Master!$B:$B,MATCH($A12,KPI_Master!$A:$A,0))</f>
        <v>DINF-04</v>
      </c>
      <c r="C12" s="23" t="str">
        <f>INDEX(KPI_Master!$D:$D,MATCH($A12,KPI_Master!$A:$A,0))</f>
        <v>Meal Participation Rate</v>
      </c>
      <c r="D12" s="23" t="str">
        <f>INDEX(KPI_Master!$K:$K,MATCH($A12,KPI_Master!$A:$A,0))</f>
        <v>2 - Standard</v>
      </c>
      <c r="E12" s="24" t="s">
        <v>928</v>
      </c>
      <c r="F12" s="23" t="str">
        <f>INDEX(Common_Formula_Elements!$B:$B,MATCH($E12,Common_Formula_Elements!$A:$A,0))</f>
        <v>Total Resident Days</v>
      </c>
      <c r="G12" s="21" t="str">
        <f>INDEX(Common_Formula_Elements!$G:$G,MATCH($E12,Common_Formula_Elements!$A:$A,0))</f>
        <v>D01</v>
      </c>
      <c r="H12" s="23" t="str">
        <f>INDEX(Minimum_Documents!$B:$B,MATCH($G12,Minimum_Documents!$A:$A,0))</f>
        <v>Census &amp; ADT Register</v>
      </c>
    </row>
    <row r="13" spans="1:8" ht="28.5" customHeight="1">
      <c r="A13" s="21">
        <v>5</v>
      </c>
      <c r="B13" s="23" t="str">
        <f>INDEX(KPI_Master!$B:$B,MATCH($A13,KPI_Master!$A:$A,0))</f>
        <v>DINF-06</v>
      </c>
      <c r="C13" s="23" t="str">
        <f>INDEX(KPI_Master!$D:$D,MATCH($A13,KPI_Master!$A:$A,0))</f>
        <v>Resident Dining Satisfaction Score</v>
      </c>
      <c r="D13" s="23" t="str">
        <f>INDEX(KPI_Master!$K:$K,MATCH($A13,KPI_Master!$A:$A,0))</f>
        <v>1 - Core</v>
      </c>
      <c r="E13" s="24" t="s">
        <v>1044</v>
      </c>
      <c r="F13" s="23" t="str">
        <f>INDEX(Common_Formula_Elements!$B:$B,MATCH($E13,Common_Formula_Elements!$A:$A,0))</f>
        <v>Survey Ratings &amp; Response Counts</v>
      </c>
      <c r="G13" s="21" t="str">
        <f>INDEX(Common_Formula_Elements!$G:$G,MATCH($E13,Common_Formula_Elements!$A:$A,0))</f>
        <v>D12</v>
      </c>
      <c r="H13" s="23" t="str">
        <f>INDEX(Minimum_Documents!$B:$B,MATCH($G13,Minimum_Documents!$A:$A,0))</f>
        <v>Satisfaction &amp; Engagement Survey Results (resident, family, employee)</v>
      </c>
    </row>
    <row r="14" spans="1:8">
      <c r="A14" s="21">
        <v>6</v>
      </c>
      <c r="B14" s="23" t="str">
        <f>INDEX(KPI_Master!$B:$B,MATCH($A14,KPI_Master!$A:$A,0))</f>
        <v>DINF-07</v>
      </c>
      <c r="C14" s="23" t="str">
        <f>INDEX(KPI_Master!$D:$D,MATCH($A14,KPI_Master!$A:$A,0))</f>
        <v>Therapeutic Diet Accuracy Rate</v>
      </c>
      <c r="D14" s="23" t="str">
        <f>INDEX(KPI_Master!$K:$K,MATCH($A14,KPI_Master!$A:$A,0))</f>
        <v>2 - Standard</v>
      </c>
      <c r="E14" s="24" t="s">
        <v>1079</v>
      </c>
      <c r="F14" s="23" t="str">
        <f>INDEX(Common_Formula_Elements!$B:$B,MATCH($E14,Common_Formula_Elements!$A:$A,0))</f>
        <v>Audit Points Earned / Possible</v>
      </c>
      <c r="G14" s="21" t="str">
        <f>INDEX(Common_Formula_Elements!$G:$G,MATCH($E14,Common_Formula_Elements!$A:$A,0))</f>
        <v>D20</v>
      </c>
      <c r="H14" s="23" t="str">
        <f>INDEX(Minimum_Documents!$B:$B,MATCH($G14,Minimum_Documents!$A:$A,0))</f>
        <v>Quality Audit Tool Export (IP, sanitation, tray-line audits)</v>
      </c>
    </row>
    <row r="15" spans="1:8">
      <c r="A15" s="21">
        <v>7</v>
      </c>
      <c r="B15" s="23" t="str">
        <f>INDEX(KPI_Master!$B:$B,MATCH($A15,KPI_Master!$A:$A,0))</f>
        <v>DINF-08</v>
      </c>
      <c r="C15" s="23" t="str">
        <f>INDEX(KPI_Master!$D:$D,MATCH($A15,KPI_Master!$A:$A,0))</f>
        <v>Food Safety / Sanitation Audit Score</v>
      </c>
      <c r="D15" s="23" t="str">
        <f>INDEX(KPI_Master!$K:$K,MATCH($A15,KPI_Master!$A:$A,0))</f>
        <v>2 - Standard</v>
      </c>
      <c r="E15" s="24" t="s">
        <v>1079</v>
      </c>
      <c r="F15" s="23" t="str">
        <f>INDEX(Common_Formula_Elements!$B:$B,MATCH($E15,Common_Formula_Elements!$A:$A,0))</f>
        <v>Audit Points Earned / Possible</v>
      </c>
      <c r="G15" s="21" t="str">
        <f>INDEX(Common_Formula_Elements!$G:$G,MATCH($E15,Common_Formula_Elements!$A:$A,0))</f>
        <v>D20</v>
      </c>
      <c r="H15" s="23" t="str">
        <f>INDEX(Minimum_Documents!$B:$B,MATCH($G15,Minimum_Documents!$A:$A,0))</f>
        <v>Quality Audit Tool Export (IP, sanitation, tray-line audits)</v>
      </c>
    </row>
    <row r="16" spans="1:8">
      <c r="A16" s="21">
        <v>8</v>
      </c>
      <c r="B16" s="23" t="str">
        <f>INDEX(KPI_Master!$B:$B,MATCH($A16,KPI_Master!$A:$A,0))</f>
        <v>DINF-12</v>
      </c>
      <c r="C16" s="23" t="str">
        <f>INDEX(KPI_Master!$D:$D,MATCH($A16,KPI_Master!$A:$A,0))</f>
        <v>Nutritional Assessment Completion Rate</v>
      </c>
      <c r="D16" s="23" t="str">
        <f>INDEX(KPI_Master!$K:$K,MATCH($A16,KPI_Master!$A:$A,0))</f>
        <v>2 - Standard</v>
      </c>
      <c r="E16" s="24" t="s">
        <v>1060</v>
      </c>
      <c r="F16" s="23" t="str">
        <f>INDEX(Common_Formula_Elements!$B:$B,MATCH($E16,Common_Formula_Elements!$A:$A,0))</f>
        <v>Care Plan &amp; Assessment Schedule</v>
      </c>
      <c r="G16" s="21" t="str">
        <f>INDEX(Common_Formula_Elements!$G:$G,MATCH($E16,Common_Formula_Elements!$A:$A,0))</f>
        <v>D15</v>
      </c>
      <c r="H16" s="23" t="str">
        <f>INDEX(Minimum_Documents!$B:$B,MATCH($G16,Minimum_Documents!$A:$A,0))</f>
        <v>EHR Clinical Assessment &amp; Care Plan Report</v>
      </c>
    </row>
    <row r="17" spans="1:8">
      <c r="A17" s="21">
        <v>9</v>
      </c>
      <c r="B17" s="23" t="str">
        <f>INDEX(KPI_Master!$B:$B,MATCH($A17,KPI_Master!$A:$A,0))</f>
        <v>DINF-13</v>
      </c>
      <c r="C17" s="23" t="str">
        <f>INDEX(KPI_Master!$D:$D,MATCH($A17,KPI_Master!$A:$A,0))</f>
        <v>Hydration Monitoring Compliance Rate</v>
      </c>
      <c r="D17" s="23" t="str">
        <f>INDEX(KPI_Master!$K:$K,MATCH($A17,KPI_Master!$A:$A,0))</f>
        <v>2 - Standard</v>
      </c>
      <c r="E17" s="24" t="s">
        <v>1056</v>
      </c>
      <c r="F17" s="23" t="str">
        <f>INDEX(Common_Formula_Elements!$B:$B,MATCH($E17,Common_Formula_Elements!$A:$A,0))</f>
        <v>Clinical Assessment Results</v>
      </c>
      <c r="G17" s="21" t="str">
        <f>INDEX(Common_Formula_Elements!$G:$G,MATCH($E17,Common_Formula_Elements!$A:$A,0))</f>
        <v>D15</v>
      </c>
      <c r="H17" s="23" t="str">
        <f>INDEX(Minimum_Documents!$B:$B,MATCH($G17,Minimum_Documents!$A:$A,0))</f>
        <v>EHR Clinical Assessment &amp; Care Plan Report</v>
      </c>
    </row>
    <row r="18" spans="1:8" ht="42.75" customHeight="1">
      <c r="A18" s="21">
        <v>10</v>
      </c>
      <c r="B18" s="23" t="str">
        <f>INDEX(KPI_Master!$B:$B,MATCH($A18,KPI_Master!$A:$A,0))</f>
        <v>DINF-14</v>
      </c>
      <c r="C18" s="23" t="str">
        <f>INDEX(KPI_Master!$D:$D,MATCH($A18,KPI_Master!$A:$A,0))</f>
        <v>Raw Food Cost per Meal</v>
      </c>
      <c r="D18" s="23" t="str">
        <f>INDEX(KPI_Master!$K:$K,MATCH($A18,KPI_Master!$A:$A,0))</f>
        <v>2 - Standard</v>
      </c>
      <c r="E18" s="24" t="s">
        <v>1130</v>
      </c>
      <c r="F18" s="23" t="str">
        <f>INDEX(Common_Formula_Elements!$B:$B,MATCH($E18,Common_Formula_Elements!$A:$A,0))</f>
        <v>Food Purchase Cost</v>
      </c>
      <c r="G18" s="21" t="str">
        <f>INDEX(Common_Formula_Elements!$G:$G,MATCH($E18,Common_Formula_Elements!$A:$A,0))</f>
        <v>D03</v>
      </c>
      <c r="H18" s="23" t="str">
        <f>INDEX(Minimum_Documents!$B:$B,MATCH($G18,Minimum_Documents!$A:$A,0))</f>
        <v>Monthly Financial Statement Package - consolidated (P&amp;L with budget, balance sheet, cash flow, trial balance; no department split needed)</v>
      </c>
    </row>
    <row r="19" spans="1:8">
      <c r="A19" s="21">
        <v>10</v>
      </c>
      <c r="B19" s="23" t="str">
        <f>INDEX(KPI_Master!$B:$B,MATCH($A19,KPI_Master!$A:$A,0))</f>
        <v>DINF-14</v>
      </c>
      <c r="C19" s="23" t="str">
        <f>INDEX(KPI_Master!$D:$D,MATCH($A19,KPI_Master!$A:$A,0))</f>
        <v>Raw Food Cost per Meal</v>
      </c>
      <c r="D19" s="23" t="str">
        <f>INDEX(KPI_Master!$K:$K,MATCH($A19,KPI_Master!$A:$A,0))</f>
        <v>2 - Standard</v>
      </c>
      <c r="E19" s="24" t="s">
        <v>1087</v>
      </c>
      <c r="F19" s="23" t="str">
        <f>INDEX(Common_Formula_Elements!$B:$B,MATCH($E19,Common_Formula_Elements!$A:$A,0))</f>
        <v>Meals Served</v>
      </c>
      <c r="G19" s="21" t="str">
        <f>INDEX(Common_Formula_Elements!$G:$G,MATCH($E19,Common_Formula_Elements!$A:$A,0))</f>
        <v>D22</v>
      </c>
      <c r="H19" s="23" t="str">
        <f>INDEX(Minimum_Documents!$B:$B,MATCH($G19,Minimum_Documents!$A:$A,0))</f>
        <v>Meal Count / POS Report</v>
      </c>
    </row>
    <row r="20" spans="1:8">
      <c r="A20" s="21">
        <v>11</v>
      </c>
      <c r="B20" s="23" t="str">
        <f>INDEX(KPI_Master!$B:$B,MATCH($A20,KPI_Master!$A:$A,0))</f>
        <v>DINF-15</v>
      </c>
      <c r="C20" s="23" t="str">
        <f>INDEX(KPI_Master!$D:$D,MATCH($A20,KPI_Master!$A:$A,0))</f>
        <v>Meals per Labor Hour</v>
      </c>
      <c r="D20" s="23" t="str">
        <f>INDEX(KPI_Master!$K:$K,MATCH($A20,KPI_Master!$A:$A,0))</f>
        <v>2 - Standard</v>
      </c>
      <c r="E20" s="24" t="s">
        <v>1087</v>
      </c>
      <c r="F20" s="23" t="str">
        <f>INDEX(Common_Formula_Elements!$B:$B,MATCH($E20,Common_Formula_Elements!$A:$A,0))</f>
        <v>Meals Served</v>
      </c>
      <c r="G20" s="21" t="str">
        <f>INDEX(Common_Formula_Elements!$G:$G,MATCH($E20,Common_Formula_Elements!$A:$A,0))</f>
        <v>D22</v>
      </c>
      <c r="H20" s="23" t="str">
        <f>INDEX(Minimum_Documents!$B:$B,MATCH($G20,Minimum_Documents!$A:$A,0))</f>
        <v>Meal Count / POS Report</v>
      </c>
    </row>
    <row r="21" spans="1:8" ht="28.5" customHeight="1">
      <c r="A21" s="21">
        <v>11</v>
      </c>
      <c r="B21" s="23" t="str">
        <f>INDEX(KPI_Master!$B:$B,MATCH($A21,KPI_Master!$A:$A,0))</f>
        <v>DINF-15</v>
      </c>
      <c r="C21" s="23" t="str">
        <f>INDEX(KPI_Master!$D:$D,MATCH($A21,KPI_Master!$A:$A,0))</f>
        <v>Meals per Labor Hour</v>
      </c>
      <c r="D21" s="23" t="str">
        <f>INDEX(KPI_Master!$K:$K,MATCH($A21,KPI_Master!$A:$A,0))</f>
        <v>2 - Standard</v>
      </c>
      <c r="E21" s="24" t="s">
        <v>1008</v>
      </c>
      <c r="F21" s="23" t="str">
        <f>INDEX(Common_Formula_Elements!$B:$B,MATCH($E21,Common_Formula_Elements!$A:$A,0))</f>
        <v>Hours Worked (regular / OT, by department &amp; job class)</v>
      </c>
      <c r="G21" s="21" t="str">
        <f>INDEX(Common_Formula_Elements!$G:$G,MATCH($E21,Common_Formula_Elements!$A:$A,0))</f>
        <v>D06</v>
      </c>
      <c r="H21" s="23" t="str">
        <f>INDEX(Minimum_Documents!$B:$B,MATCH($G21,Minimum_Documents!$A:$A,0))</f>
        <v>Payroll Register (hours and wages by employee, job class and department)</v>
      </c>
    </row>
    <row r="22" spans="1:8">
      <c r="A22" s="21">
        <v>12</v>
      </c>
      <c r="B22" s="23" t="str">
        <f>INDEX(KPI_Master!$B:$B,MATCH($A22,KPI_Master!$A:$A,0))</f>
        <v>FINA-01</v>
      </c>
      <c r="C22" s="23" t="str">
        <f>INDEX(KPI_Master!$D:$D,MATCH($A22,KPI_Master!$A:$A,0))</f>
        <v>Occupancy Rate</v>
      </c>
      <c r="D22" s="23" t="str">
        <f>INDEX(KPI_Master!$K:$K,MATCH($A22,KPI_Master!$A:$A,0))</f>
        <v>1 - Core</v>
      </c>
      <c r="E22" s="24" t="s">
        <v>932</v>
      </c>
      <c r="F22" s="23" t="str">
        <f>INDEX(Common_Formula_Elements!$B:$B,MATCH($E22,Common_Formula_Elements!$A:$A,0))</f>
        <v>Occupied Units / Beds</v>
      </c>
      <c r="G22" s="21" t="str">
        <f>INDEX(Common_Formula_Elements!$G:$G,MATCH($E22,Common_Formula_Elements!$A:$A,0))</f>
        <v>D01</v>
      </c>
      <c r="H22" s="23" t="str">
        <f>INDEX(Minimum_Documents!$B:$B,MATCH($G22,Minimum_Documents!$A:$A,0))</f>
        <v>Census &amp; ADT Register</v>
      </c>
    </row>
    <row r="23" spans="1:8">
      <c r="A23" s="21">
        <v>12</v>
      </c>
      <c r="B23" s="23" t="str">
        <f>INDEX(KPI_Master!$B:$B,MATCH($A23,KPI_Master!$A:$A,0))</f>
        <v>FINA-01</v>
      </c>
      <c r="C23" s="23" t="str">
        <f>INDEX(KPI_Master!$D:$D,MATCH($A23,KPI_Master!$A:$A,0))</f>
        <v>Occupancy Rate</v>
      </c>
      <c r="D23" s="23" t="str">
        <f>INDEX(KPI_Master!$K:$K,MATCH($A23,KPI_Master!$A:$A,0))</f>
        <v>1 - Core</v>
      </c>
      <c r="E23" s="24" t="s">
        <v>959</v>
      </c>
      <c r="F23" s="23" t="str">
        <f>INDEX(Common_Formula_Elements!$B:$B,MATCH($E23,Common_Formula_Elements!$A:$A,0))</f>
        <v>Total Available Units / Licensed Beds</v>
      </c>
      <c r="G23" s="21" t="str">
        <f>INDEX(Common_Formula_Elements!$G:$G,MATCH($E23,Common_Formula_Elements!$A:$A,0))</f>
        <v>D02</v>
      </c>
      <c r="H23" s="23" t="str">
        <f>INDEX(Minimum_Documents!$B:$B,MATCH($G23,Minimum_Documents!$A:$A,0))</f>
        <v>Property &amp; Unit Master Schedule</v>
      </c>
    </row>
    <row r="24" spans="1:8" ht="28.5" customHeight="1">
      <c r="A24" s="21">
        <v>13</v>
      </c>
      <c r="B24" s="23" t="str">
        <f>INDEX(KPI_Master!$B:$B,MATCH($A24,KPI_Master!$A:$A,0))</f>
        <v>FINA-03</v>
      </c>
      <c r="C24" s="23" t="str">
        <f>INDEX(KPI_Master!$D:$D,MATCH($A24,KPI_Master!$A:$A,0))</f>
        <v>Revenue per Occupied Unit (RevPOU)</v>
      </c>
      <c r="D24" s="23" t="str">
        <f>INDEX(KPI_Master!$K:$K,MATCH($A24,KPI_Master!$A:$A,0))</f>
        <v>1 - Core</v>
      </c>
      <c r="E24" s="24" t="s">
        <v>1000</v>
      </c>
      <c r="F24" s="23" t="str">
        <f>INDEX(Common_Formula_Elements!$B:$B,MATCH($E24,Common_Formula_Elements!$A:$A,0))</f>
        <v>Resident Revenue Detail</v>
      </c>
      <c r="G24" s="21" t="str">
        <f>INDEX(Common_Formula_Elements!$G:$G,MATCH($E24,Common_Formula_Elements!$A:$A,0))</f>
        <v>D04</v>
      </c>
      <c r="H24" s="23" t="str">
        <f>INDEX(Minimum_Documents!$B:$B,MATCH($G24,Minimum_Documents!$A:$A,0))</f>
        <v>Resident Billing Register / Rent Roll (by resident, payer and charge code)</v>
      </c>
    </row>
    <row r="25" spans="1:8">
      <c r="A25" s="21">
        <v>13</v>
      </c>
      <c r="B25" s="23" t="str">
        <f>INDEX(KPI_Master!$B:$B,MATCH($A25,KPI_Master!$A:$A,0))</f>
        <v>FINA-03</v>
      </c>
      <c r="C25" s="23" t="str">
        <f>INDEX(KPI_Master!$D:$D,MATCH($A25,KPI_Master!$A:$A,0))</f>
        <v>Revenue per Occupied Unit (RevPOU)</v>
      </c>
      <c r="D25" s="23" t="str">
        <f>INDEX(KPI_Master!$K:$K,MATCH($A25,KPI_Master!$A:$A,0))</f>
        <v>1 - Core</v>
      </c>
      <c r="E25" s="24" t="s">
        <v>932</v>
      </c>
      <c r="F25" s="23" t="str">
        <f>INDEX(Common_Formula_Elements!$B:$B,MATCH($E25,Common_Formula_Elements!$A:$A,0))</f>
        <v>Occupied Units / Beds</v>
      </c>
      <c r="G25" s="21" t="str">
        <f>INDEX(Common_Formula_Elements!$G:$G,MATCH($E25,Common_Formula_Elements!$A:$A,0))</f>
        <v>D01</v>
      </c>
      <c r="H25" s="23" t="str">
        <f>INDEX(Minimum_Documents!$B:$B,MATCH($G25,Minimum_Documents!$A:$A,0))</f>
        <v>Census &amp; ADT Register</v>
      </c>
    </row>
    <row r="26" spans="1:8" ht="42.75" customHeight="1">
      <c r="A26" s="21">
        <v>14</v>
      </c>
      <c r="B26" s="23" t="str">
        <f>INDEX(KPI_Master!$B:$B,MATCH($A26,KPI_Master!$A:$A,0))</f>
        <v>FINA-04</v>
      </c>
      <c r="C26" s="23" t="str">
        <f>INDEX(KPI_Master!$D:$D,MATCH($A26,KPI_Master!$A:$A,0))</f>
        <v>Net Operating Income (NOI) Margin</v>
      </c>
      <c r="D26" s="23" t="str">
        <f>INDEX(KPI_Master!$K:$K,MATCH($A26,KPI_Master!$A:$A,0))</f>
        <v>1 - Core</v>
      </c>
      <c r="E26" s="24" t="s">
        <v>972</v>
      </c>
      <c r="F26" s="23" t="str">
        <f>INDEX(Common_Formula_Elements!$B:$B,MATCH($E26,Common_Formula_Elements!$A:$A,0))</f>
        <v>Total Revenue / Operating Revenue</v>
      </c>
      <c r="G26" s="21" t="str">
        <f>INDEX(Common_Formula_Elements!$G:$G,MATCH($E26,Common_Formula_Elements!$A:$A,0))</f>
        <v>D03</v>
      </c>
      <c r="H26" s="23" t="str">
        <f>INDEX(Minimum_Documents!$B:$B,MATCH($G26,Minimum_Documents!$A:$A,0))</f>
        <v>Monthly Financial Statement Package - consolidated (P&amp;L with budget, balance sheet, cash flow, trial balance; no department split needed)</v>
      </c>
    </row>
    <row r="27" spans="1:8" ht="42.75" customHeight="1">
      <c r="A27" s="21">
        <v>14</v>
      </c>
      <c r="B27" s="23" t="str">
        <f>INDEX(KPI_Master!$B:$B,MATCH($A27,KPI_Master!$A:$A,0))</f>
        <v>FINA-04</v>
      </c>
      <c r="C27" s="23" t="str">
        <f>INDEX(KPI_Master!$D:$D,MATCH($A27,KPI_Master!$A:$A,0))</f>
        <v>Net Operating Income (NOI) Margin</v>
      </c>
      <c r="D27" s="23" t="str">
        <f>INDEX(KPI_Master!$K:$K,MATCH($A27,KPI_Master!$A:$A,0))</f>
        <v>1 - Core</v>
      </c>
      <c r="E27" s="24" t="s">
        <v>976</v>
      </c>
      <c r="F27" s="23" t="str">
        <f>INDEX(Common_Formula_Elements!$B:$B,MATCH($E27,Common_Formula_Elements!$A:$A,0))</f>
        <v>Total Operating Expense</v>
      </c>
      <c r="G27" s="21" t="str">
        <f>INDEX(Common_Formula_Elements!$G:$G,MATCH($E27,Common_Formula_Elements!$A:$A,0))</f>
        <v>D03</v>
      </c>
      <c r="H27" s="23" t="str">
        <f>INDEX(Minimum_Documents!$B:$B,MATCH($G27,Minimum_Documents!$A:$A,0))</f>
        <v>Monthly Financial Statement Package - consolidated (P&amp;L with budget, balance sheet, cash flow, trial balance; no department split needed)</v>
      </c>
    </row>
    <row r="28" spans="1:8">
      <c r="A28" s="21">
        <v>15</v>
      </c>
      <c r="B28" s="23" t="str">
        <f>INDEX(KPI_Master!$B:$B,MATCH($A28,KPI_Master!$A:$A,0))</f>
        <v>FINA-06</v>
      </c>
      <c r="C28" s="23" t="str">
        <f>INDEX(KPI_Master!$D:$D,MATCH($A28,KPI_Master!$A:$A,0))</f>
        <v>Days in Accounts Receivable (DSO)</v>
      </c>
      <c r="D28" s="23" t="str">
        <f>INDEX(KPI_Master!$K:$K,MATCH($A28,KPI_Master!$A:$A,0))</f>
        <v>1 - Core</v>
      </c>
      <c r="E28" s="24" t="s">
        <v>1004</v>
      </c>
      <c r="F28" s="23" t="str">
        <f>INDEX(Common_Formula_Elements!$B:$B,MATCH($E28,Common_Formula_Elements!$A:$A,0))</f>
        <v>AR Balance &amp; Aging Buckets</v>
      </c>
      <c r="G28" s="21" t="str">
        <f>INDEX(Common_Formula_Elements!$G:$G,MATCH($E28,Common_Formula_Elements!$A:$A,0))</f>
        <v>D05</v>
      </c>
      <c r="H28" s="23" t="str">
        <f>INDEX(Minimum_Documents!$B:$B,MATCH($G28,Minimum_Documents!$A:$A,0))</f>
        <v>AR Aging Report</v>
      </c>
    </row>
    <row r="29" spans="1:8" ht="28.5" customHeight="1">
      <c r="A29" s="21">
        <v>15</v>
      </c>
      <c r="B29" s="23" t="str">
        <f>INDEX(KPI_Master!$B:$B,MATCH($A29,KPI_Master!$A:$A,0))</f>
        <v>FINA-06</v>
      </c>
      <c r="C29" s="23" t="str">
        <f>INDEX(KPI_Master!$D:$D,MATCH($A29,KPI_Master!$A:$A,0))</f>
        <v>Days in Accounts Receivable (DSO)</v>
      </c>
      <c r="D29" s="23" t="str">
        <f>INDEX(KPI_Master!$K:$K,MATCH($A29,KPI_Master!$A:$A,0))</f>
        <v>1 - Core</v>
      </c>
      <c r="E29" s="24" t="s">
        <v>1000</v>
      </c>
      <c r="F29" s="23" t="str">
        <f>INDEX(Common_Formula_Elements!$B:$B,MATCH($E29,Common_Formula_Elements!$A:$A,0))</f>
        <v>Resident Revenue Detail</v>
      </c>
      <c r="G29" s="21" t="str">
        <f>INDEX(Common_Formula_Elements!$G:$G,MATCH($E29,Common_Formula_Elements!$A:$A,0))</f>
        <v>D04</v>
      </c>
      <c r="H29" s="23" t="str">
        <f>INDEX(Minimum_Documents!$B:$B,MATCH($G29,Minimum_Documents!$A:$A,0))</f>
        <v>Resident Billing Register / Rent Roll (by resident, payer and charge code)</v>
      </c>
    </row>
    <row r="30" spans="1:8">
      <c r="A30" s="21">
        <v>16</v>
      </c>
      <c r="B30" s="23" t="str">
        <f>INDEX(KPI_Master!$B:$B,MATCH($A30,KPI_Master!$A:$A,0))</f>
        <v>FINA-07</v>
      </c>
      <c r="C30" s="23" t="str">
        <f>INDEX(KPI_Master!$D:$D,MATCH($A30,KPI_Master!$A:$A,0))</f>
        <v>AR Over 90 Days Percentage</v>
      </c>
      <c r="D30" s="23" t="str">
        <f>INDEX(KPI_Master!$K:$K,MATCH($A30,KPI_Master!$A:$A,0))</f>
        <v>2 - Standard</v>
      </c>
      <c r="E30" s="24" t="s">
        <v>1004</v>
      </c>
      <c r="F30" s="23" t="str">
        <f>INDEX(Common_Formula_Elements!$B:$B,MATCH($E30,Common_Formula_Elements!$A:$A,0))</f>
        <v>AR Balance &amp; Aging Buckets</v>
      </c>
      <c r="G30" s="21" t="str">
        <f>INDEX(Common_Formula_Elements!$G:$G,MATCH($E30,Common_Formula_Elements!$A:$A,0))</f>
        <v>D05</v>
      </c>
      <c r="H30" s="23" t="str">
        <f>INDEX(Minimum_Documents!$B:$B,MATCH($G30,Minimum_Documents!$A:$A,0))</f>
        <v>AR Aging Report</v>
      </c>
    </row>
    <row r="31" spans="1:8" ht="42.75" customHeight="1">
      <c r="A31" s="21">
        <v>17</v>
      </c>
      <c r="B31" s="23" t="str">
        <f>INDEX(KPI_Master!$B:$B,MATCH($A31,KPI_Master!$A:$A,0))</f>
        <v>FINA-08</v>
      </c>
      <c r="C31" s="23" t="str">
        <f>INDEX(KPI_Master!$D:$D,MATCH($A31,KPI_Master!$A:$A,0))</f>
        <v>Bad Debt as % of Revenue</v>
      </c>
      <c r="D31" s="23" t="str">
        <f>INDEX(KPI_Master!$K:$K,MATCH($A31,KPI_Master!$A:$A,0))</f>
        <v>2 - Standard</v>
      </c>
      <c r="E31" s="24" t="s">
        <v>979</v>
      </c>
      <c r="F31" s="23" t="str">
        <f>INDEX(Common_Formula_Elements!$B:$B,MATCH($E31,Common_Formula_Elements!$A:$A,0))</f>
        <v>Account-Level Expense Lines</v>
      </c>
      <c r="G31" s="21" t="str">
        <f>INDEX(Common_Formula_Elements!$G:$G,MATCH($E31,Common_Formula_Elements!$A:$A,0))</f>
        <v>D03</v>
      </c>
      <c r="H31" s="23" t="str">
        <f>INDEX(Minimum_Documents!$B:$B,MATCH($G31,Minimum_Documents!$A:$A,0))</f>
        <v>Monthly Financial Statement Package - consolidated (P&amp;L with budget, balance sheet, cash flow, trial balance; no department split needed)</v>
      </c>
    </row>
    <row r="32" spans="1:8" ht="42.75" customHeight="1">
      <c r="A32" s="21">
        <v>17</v>
      </c>
      <c r="B32" s="23" t="str">
        <f>INDEX(KPI_Master!$B:$B,MATCH($A32,KPI_Master!$A:$A,0))</f>
        <v>FINA-08</v>
      </c>
      <c r="C32" s="23" t="str">
        <f>INDEX(KPI_Master!$D:$D,MATCH($A32,KPI_Master!$A:$A,0))</f>
        <v>Bad Debt as % of Revenue</v>
      </c>
      <c r="D32" s="23" t="str">
        <f>INDEX(KPI_Master!$K:$K,MATCH($A32,KPI_Master!$A:$A,0))</f>
        <v>2 - Standard</v>
      </c>
      <c r="E32" s="24" t="s">
        <v>972</v>
      </c>
      <c r="F32" s="23" t="str">
        <f>INDEX(Common_Formula_Elements!$B:$B,MATCH($E32,Common_Formula_Elements!$A:$A,0))</f>
        <v>Total Revenue / Operating Revenue</v>
      </c>
      <c r="G32" s="21" t="str">
        <f>INDEX(Common_Formula_Elements!$G:$G,MATCH($E32,Common_Formula_Elements!$A:$A,0))</f>
        <v>D03</v>
      </c>
      <c r="H32" s="23" t="str">
        <f>INDEX(Minimum_Documents!$B:$B,MATCH($G32,Minimum_Documents!$A:$A,0))</f>
        <v>Monthly Financial Statement Package - consolidated (P&amp;L with budget, balance sheet, cash flow, trial balance; no department split needed)</v>
      </c>
    </row>
    <row r="33" spans="1:8" ht="42.75" customHeight="1">
      <c r="A33" s="21">
        <v>18</v>
      </c>
      <c r="B33" s="23" t="str">
        <f>INDEX(KPI_Master!$B:$B,MATCH($A33,KPI_Master!$A:$A,0))</f>
        <v>FINA-10</v>
      </c>
      <c r="C33" s="23" t="str">
        <f>INDEX(KPI_Master!$D:$D,MATCH($A33,KPI_Master!$A:$A,0))</f>
        <v>Budget Variance Percentage</v>
      </c>
      <c r="D33" s="23" t="str">
        <f>INDEX(KPI_Master!$K:$K,MATCH($A33,KPI_Master!$A:$A,0))</f>
        <v>1 - Core</v>
      </c>
      <c r="E33" s="24" t="s">
        <v>988</v>
      </c>
      <c r="F33" s="23" t="str">
        <f>INDEX(Common_Formula_Elements!$B:$B,MATCH($E33,Common_Formula_Elements!$A:$A,0))</f>
        <v>Budgeted Amounts</v>
      </c>
      <c r="G33" s="21" t="str">
        <f>INDEX(Common_Formula_Elements!$G:$G,MATCH($E33,Common_Formula_Elements!$A:$A,0))</f>
        <v>D03</v>
      </c>
      <c r="H33" s="23" t="str">
        <f>INDEX(Minimum_Documents!$B:$B,MATCH($G33,Minimum_Documents!$A:$A,0))</f>
        <v>Monthly Financial Statement Package - consolidated (P&amp;L with budget, balance sheet, cash flow, trial balance; no department split needed)</v>
      </c>
    </row>
    <row r="34" spans="1:8" ht="42.75" customHeight="1">
      <c r="A34" s="21">
        <v>18</v>
      </c>
      <c r="B34" s="23" t="str">
        <f>INDEX(KPI_Master!$B:$B,MATCH($A34,KPI_Master!$A:$A,0))</f>
        <v>FINA-10</v>
      </c>
      <c r="C34" s="23" t="str">
        <f>INDEX(KPI_Master!$D:$D,MATCH($A34,KPI_Master!$A:$A,0))</f>
        <v>Budget Variance Percentage</v>
      </c>
      <c r="D34" s="23" t="str">
        <f>INDEX(KPI_Master!$K:$K,MATCH($A34,KPI_Master!$A:$A,0))</f>
        <v>1 - Core</v>
      </c>
      <c r="E34" s="24" t="s">
        <v>972</v>
      </c>
      <c r="F34" s="23" t="str">
        <f>INDEX(Common_Formula_Elements!$B:$B,MATCH($E34,Common_Formula_Elements!$A:$A,0))</f>
        <v>Total Revenue / Operating Revenue</v>
      </c>
      <c r="G34" s="21" t="str">
        <f>INDEX(Common_Formula_Elements!$G:$G,MATCH($E34,Common_Formula_Elements!$A:$A,0))</f>
        <v>D03</v>
      </c>
      <c r="H34" s="23" t="str">
        <f>INDEX(Minimum_Documents!$B:$B,MATCH($G34,Minimum_Documents!$A:$A,0))</f>
        <v>Monthly Financial Statement Package - consolidated (P&amp;L with budget, balance sheet, cash flow, trial balance; no department split needed)</v>
      </c>
    </row>
    <row r="35" spans="1:8" ht="42.75" customHeight="1">
      <c r="A35" s="21">
        <v>18</v>
      </c>
      <c r="B35" s="23" t="str">
        <f>INDEX(KPI_Master!$B:$B,MATCH($A35,KPI_Master!$A:$A,0))</f>
        <v>FINA-10</v>
      </c>
      <c r="C35" s="23" t="str">
        <f>INDEX(KPI_Master!$D:$D,MATCH($A35,KPI_Master!$A:$A,0))</f>
        <v>Budget Variance Percentage</v>
      </c>
      <c r="D35" s="23" t="str">
        <f>INDEX(KPI_Master!$K:$K,MATCH($A35,KPI_Master!$A:$A,0))</f>
        <v>1 - Core</v>
      </c>
      <c r="E35" s="24" t="s">
        <v>976</v>
      </c>
      <c r="F35" s="23" t="str">
        <f>INDEX(Common_Formula_Elements!$B:$B,MATCH($E35,Common_Formula_Elements!$A:$A,0))</f>
        <v>Total Operating Expense</v>
      </c>
      <c r="G35" s="21" t="str">
        <f>INDEX(Common_Formula_Elements!$G:$G,MATCH($E35,Common_Formula_Elements!$A:$A,0))</f>
        <v>D03</v>
      </c>
      <c r="H35" s="23" t="str">
        <f>INDEX(Minimum_Documents!$B:$B,MATCH($G35,Minimum_Documents!$A:$A,0))</f>
        <v>Monthly Financial Statement Package - consolidated (P&amp;L with budget, balance sheet, cash flow, trial balance; no department split needed)</v>
      </c>
    </row>
    <row r="36" spans="1:8" ht="42.75" customHeight="1">
      <c r="A36" s="21">
        <v>19</v>
      </c>
      <c r="B36" s="23" t="str">
        <f>INDEX(KPI_Master!$B:$B,MATCH($A36,KPI_Master!$A:$A,0))</f>
        <v>FINA-11</v>
      </c>
      <c r="C36" s="23" t="str">
        <f>INDEX(KPI_Master!$D:$D,MATCH($A36,KPI_Master!$A:$A,0))</f>
        <v>Labor Cost as % of Revenue</v>
      </c>
      <c r="D36" s="23" t="str">
        <f>INDEX(KPI_Master!$K:$K,MATCH($A36,KPI_Master!$A:$A,0))</f>
        <v>1 - Core</v>
      </c>
      <c r="E36" s="24" t="s">
        <v>997</v>
      </c>
      <c r="F36" s="23" t="str">
        <f>INDEX(Common_Formula_Elements!$B:$B,MATCH($E36,Common_Formula_Elements!$A:$A,0))</f>
        <v>Labor Cost $ (wages, benefits, agency, WC premium)</v>
      </c>
      <c r="G36" s="21" t="str">
        <f>INDEX(Common_Formula_Elements!$G:$G,MATCH($E36,Common_Formula_Elements!$A:$A,0))</f>
        <v>D03</v>
      </c>
      <c r="H36" s="23" t="str">
        <f>INDEX(Minimum_Documents!$B:$B,MATCH($G36,Minimum_Documents!$A:$A,0))</f>
        <v>Monthly Financial Statement Package - consolidated (P&amp;L with budget, balance sheet, cash flow, trial balance; no department split needed)</v>
      </c>
    </row>
    <row r="37" spans="1:8" ht="42.75" customHeight="1">
      <c r="A37" s="21">
        <v>19</v>
      </c>
      <c r="B37" s="23" t="str">
        <f>INDEX(KPI_Master!$B:$B,MATCH($A37,KPI_Master!$A:$A,0))</f>
        <v>FINA-11</v>
      </c>
      <c r="C37" s="23" t="str">
        <f>INDEX(KPI_Master!$D:$D,MATCH($A37,KPI_Master!$A:$A,0))</f>
        <v>Labor Cost as % of Revenue</v>
      </c>
      <c r="D37" s="23" t="str">
        <f>INDEX(KPI_Master!$K:$K,MATCH($A37,KPI_Master!$A:$A,0))</f>
        <v>1 - Core</v>
      </c>
      <c r="E37" s="24" t="s">
        <v>972</v>
      </c>
      <c r="F37" s="23" t="str">
        <f>INDEX(Common_Formula_Elements!$B:$B,MATCH($E37,Common_Formula_Elements!$A:$A,0))</f>
        <v>Total Revenue / Operating Revenue</v>
      </c>
      <c r="G37" s="21" t="str">
        <f>INDEX(Common_Formula_Elements!$G:$G,MATCH($E37,Common_Formula_Elements!$A:$A,0))</f>
        <v>D03</v>
      </c>
      <c r="H37" s="23" t="str">
        <f>INDEX(Minimum_Documents!$B:$B,MATCH($G37,Minimum_Documents!$A:$A,0))</f>
        <v>Monthly Financial Statement Package - consolidated (P&amp;L with budget, balance sheet, cash flow, trial balance; no department split needed)</v>
      </c>
    </row>
    <row r="38" spans="1:8" ht="42.75" customHeight="1">
      <c r="A38" s="21">
        <v>20</v>
      </c>
      <c r="B38" s="23" t="str">
        <f>INDEX(KPI_Master!$B:$B,MATCH($A38,KPI_Master!$A:$A,0))</f>
        <v>FINA-12</v>
      </c>
      <c r="C38" s="23" t="str">
        <f>INDEX(KPI_Master!$D:$D,MATCH($A38,KPI_Master!$A:$A,0))</f>
        <v>Days Cash on Hand</v>
      </c>
      <c r="D38" s="23" t="str">
        <f>INDEX(KPI_Master!$K:$K,MATCH($A38,KPI_Master!$A:$A,0))</f>
        <v>1 - Core</v>
      </c>
      <c r="E38" s="24" t="s">
        <v>991</v>
      </c>
      <c r="F38" s="23" t="str">
        <f>INDEX(Common_Formula_Elements!$B:$B,MATCH($E38,Common_Formula_Elements!$A:$A,0))</f>
        <v>Balance Sheet Balances</v>
      </c>
      <c r="G38" s="21" t="str">
        <f>INDEX(Common_Formula_Elements!$G:$G,MATCH($E38,Common_Formula_Elements!$A:$A,0))</f>
        <v>D03</v>
      </c>
      <c r="H38" s="23" t="str">
        <f>INDEX(Minimum_Documents!$B:$B,MATCH($G38,Minimum_Documents!$A:$A,0))</f>
        <v>Monthly Financial Statement Package - consolidated (P&amp;L with budget, balance sheet, cash flow, trial balance; no department split needed)</v>
      </c>
    </row>
    <row r="39" spans="1:8" ht="42.75" customHeight="1">
      <c r="A39" s="21">
        <v>20</v>
      </c>
      <c r="B39" s="23" t="str">
        <f>INDEX(KPI_Master!$B:$B,MATCH($A39,KPI_Master!$A:$A,0))</f>
        <v>FINA-12</v>
      </c>
      <c r="C39" s="23" t="str">
        <f>INDEX(KPI_Master!$D:$D,MATCH($A39,KPI_Master!$A:$A,0))</f>
        <v>Days Cash on Hand</v>
      </c>
      <c r="D39" s="23" t="str">
        <f>INDEX(KPI_Master!$K:$K,MATCH($A39,KPI_Master!$A:$A,0))</f>
        <v>1 - Core</v>
      </c>
      <c r="E39" s="24" t="s">
        <v>976</v>
      </c>
      <c r="F39" s="23" t="str">
        <f>INDEX(Common_Formula_Elements!$B:$B,MATCH($E39,Common_Formula_Elements!$A:$A,0))</f>
        <v>Total Operating Expense</v>
      </c>
      <c r="G39" s="21" t="str">
        <f>INDEX(Common_Formula_Elements!$G:$G,MATCH($E39,Common_Formula_Elements!$A:$A,0))</f>
        <v>D03</v>
      </c>
      <c r="H39" s="23" t="str">
        <f>INDEX(Minimum_Documents!$B:$B,MATCH($G39,Minimum_Documents!$A:$A,0))</f>
        <v>Monthly Financial Statement Package - consolidated (P&amp;L with budget, balance sheet, cash flow, trial balance; no department split needed)</v>
      </c>
    </row>
    <row r="40" spans="1:8" ht="42.75" customHeight="1">
      <c r="A40" s="21">
        <v>20</v>
      </c>
      <c r="B40" s="23" t="str">
        <f>INDEX(KPI_Master!$B:$B,MATCH($A40,KPI_Master!$A:$A,0))</f>
        <v>FINA-12</v>
      </c>
      <c r="C40" s="23" t="str">
        <f>INDEX(KPI_Master!$D:$D,MATCH($A40,KPI_Master!$A:$A,0))</f>
        <v>Days Cash on Hand</v>
      </c>
      <c r="D40" s="23" t="str">
        <f>INDEX(KPI_Master!$K:$K,MATCH($A40,KPI_Master!$A:$A,0))</f>
        <v>1 - Core</v>
      </c>
      <c r="E40" s="24" t="s">
        <v>982</v>
      </c>
      <c r="F40" s="23" t="str">
        <f>INDEX(Common_Formula_Elements!$B:$B,MATCH($E40,Common_Formula_Elements!$A:$A,0))</f>
        <v>Depreciation &amp; Amortisation</v>
      </c>
      <c r="G40" s="21" t="str">
        <f>INDEX(Common_Formula_Elements!$G:$G,MATCH($E40,Common_Formula_Elements!$A:$A,0))</f>
        <v>D03</v>
      </c>
      <c r="H40" s="23" t="str">
        <f>INDEX(Minimum_Documents!$B:$B,MATCH($G40,Minimum_Documents!$A:$A,0))</f>
        <v>Monthly Financial Statement Package - consolidated (P&amp;L with budget, balance sheet, cash flow, trial balance; no department split needed)</v>
      </c>
    </row>
    <row r="41" spans="1:8" ht="42.75" customHeight="1">
      <c r="A41" s="21">
        <v>21</v>
      </c>
      <c r="B41" s="23" t="str">
        <f>INDEX(KPI_Master!$B:$B,MATCH($A41,KPI_Master!$A:$A,0))</f>
        <v>FINA-13</v>
      </c>
      <c r="C41" s="23" t="str">
        <f>INDEX(KPI_Master!$D:$D,MATCH($A41,KPI_Master!$A:$A,0))</f>
        <v>Debt Service Coverage Ratio (DSCR)</v>
      </c>
      <c r="D41" s="23" t="str">
        <f>INDEX(KPI_Master!$K:$K,MATCH($A41,KPI_Master!$A:$A,0))</f>
        <v>2 - Standard</v>
      </c>
      <c r="E41" s="24" t="s">
        <v>972</v>
      </c>
      <c r="F41" s="23" t="str">
        <f>INDEX(Common_Formula_Elements!$B:$B,MATCH($E41,Common_Formula_Elements!$A:$A,0))</f>
        <v>Total Revenue / Operating Revenue</v>
      </c>
      <c r="G41" s="21" t="str">
        <f>INDEX(Common_Formula_Elements!$G:$G,MATCH($E41,Common_Formula_Elements!$A:$A,0))</f>
        <v>D03</v>
      </c>
      <c r="H41" s="23" t="str">
        <f>INDEX(Minimum_Documents!$B:$B,MATCH($G41,Minimum_Documents!$A:$A,0))</f>
        <v>Monthly Financial Statement Package - consolidated (P&amp;L with budget, balance sheet, cash flow, trial balance; no department split needed)</v>
      </c>
    </row>
    <row r="42" spans="1:8" ht="42.75" customHeight="1">
      <c r="A42" s="21">
        <v>21</v>
      </c>
      <c r="B42" s="23" t="str">
        <f>INDEX(KPI_Master!$B:$B,MATCH($A42,KPI_Master!$A:$A,0))</f>
        <v>FINA-13</v>
      </c>
      <c r="C42" s="23" t="str">
        <f>INDEX(KPI_Master!$D:$D,MATCH($A42,KPI_Master!$A:$A,0))</f>
        <v>Debt Service Coverage Ratio (DSCR)</v>
      </c>
      <c r="D42" s="23" t="str">
        <f>INDEX(KPI_Master!$K:$K,MATCH($A42,KPI_Master!$A:$A,0))</f>
        <v>2 - Standard</v>
      </c>
      <c r="E42" s="24" t="s">
        <v>976</v>
      </c>
      <c r="F42" s="23" t="str">
        <f>INDEX(Common_Formula_Elements!$B:$B,MATCH($E42,Common_Formula_Elements!$A:$A,0))</f>
        <v>Total Operating Expense</v>
      </c>
      <c r="G42" s="21" t="str">
        <f>INDEX(Common_Formula_Elements!$G:$G,MATCH($E42,Common_Formula_Elements!$A:$A,0))</f>
        <v>D03</v>
      </c>
      <c r="H42" s="23" t="str">
        <f>INDEX(Minimum_Documents!$B:$B,MATCH($G42,Minimum_Documents!$A:$A,0))</f>
        <v>Monthly Financial Statement Package - consolidated (P&amp;L with budget, balance sheet, cash flow, trial balance; no department split needed)</v>
      </c>
    </row>
    <row r="43" spans="1:8" ht="42.75" customHeight="1">
      <c r="A43" s="21">
        <v>21</v>
      </c>
      <c r="B43" s="23" t="str">
        <f>INDEX(KPI_Master!$B:$B,MATCH($A43,KPI_Master!$A:$A,0))</f>
        <v>FINA-13</v>
      </c>
      <c r="C43" s="23" t="str">
        <f>INDEX(KPI_Master!$D:$D,MATCH($A43,KPI_Master!$A:$A,0))</f>
        <v>Debt Service Coverage Ratio (DSCR)</v>
      </c>
      <c r="D43" s="23" t="str">
        <f>INDEX(KPI_Master!$K:$K,MATCH($A43,KPI_Master!$A:$A,0))</f>
        <v>2 - Standard</v>
      </c>
      <c r="E43" s="24" t="s">
        <v>994</v>
      </c>
      <c r="F43" s="23" t="str">
        <f>INDEX(Common_Formula_Elements!$B:$B,MATCH($E43,Common_Formula_Elements!$A:$A,0))</f>
        <v>Capital Expenditure &amp; Debt Service</v>
      </c>
      <c r="G43" s="21" t="str">
        <f>INDEX(Common_Formula_Elements!$G:$G,MATCH($E43,Common_Formula_Elements!$A:$A,0))</f>
        <v>D03</v>
      </c>
      <c r="H43" s="23" t="str">
        <f>INDEX(Minimum_Documents!$B:$B,MATCH($G43,Minimum_Documents!$A:$A,0))</f>
        <v>Monthly Financial Statement Package - consolidated (P&amp;L with budget, balance sheet, cash flow, trial balance; no department split needed)</v>
      </c>
    </row>
    <row r="44" spans="1:8">
      <c r="A44" s="21">
        <v>22</v>
      </c>
      <c r="B44" s="23" t="str">
        <f>INDEX(KPI_Master!$B:$B,MATCH($A44,KPI_Master!$A:$A,0))</f>
        <v>FINA-16</v>
      </c>
      <c r="C44" s="23" t="str">
        <f>INDEX(KPI_Master!$D:$D,MATCH($A44,KPI_Master!$A:$A,0))</f>
        <v>Payer Mix Percentage</v>
      </c>
      <c r="D44" s="23" t="str">
        <f>INDEX(KPI_Master!$K:$K,MATCH($A44,KPI_Master!$A:$A,0))</f>
        <v>2 - Standard</v>
      </c>
      <c r="E44" s="24" t="s">
        <v>938</v>
      </c>
      <c r="F44" s="23" t="str">
        <f>INDEX(Common_Formula_Elements!$B:$B,MATCH($E44,Common_Formula_Elements!$A:$A,0))</f>
        <v>Resident Days by Payer</v>
      </c>
      <c r="G44" s="21" t="str">
        <f>INDEX(Common_Formula_Elements!$G:$G,MATCH($E44,Common_Formula_Elements!$A:$A,0))</f>
        <v>D01</v>
      </c>
      <c r="H44" s="23" t="str">
        <f>INDEX(Minimum_Documents!$B:$B,MATCH($G44,Minimum_Documents!$A:$A,0))</f>
        <v>Census &amp; ADT Register</v>
      </c>
    </row>
    <row r="45" spans="1:8">
      <c r="A45" s="21">
        <v>22</v>
      </c>
      <c r="B45" s="23" t="str">
        <f>INDEX(KPI_Master!$B:$B,MATCH($A45,KPI_Master!$A:$A,0))</f>
        <v>FINA-16</v>
      </c>
      <c r="C45" s="23" t="str">
        <f>INDEX(KPI_Master!$D:$D,MATCH($A45,KPI_Master!$A:$A,0))</f>
        <v>Payer Mix Percentage</v>
      </c>
      <c r="D45" s="23" t="str">
        <f>INDEX(KPI_Master!$K:$K,MATCH($A45,KPI_Master!$A:$A,0))</f>
        <v>2 - Standard</v>
      </c>
      <c r="E45" s="24" t="s">
        <v>928</v>
      </c>
      <c r="F45" s="23" t="str">
        <f>INDEX(Common_Formula_Elements!$B:$B,MATCH($E45,Common_Formula_Elements!$A:$A,0))</f>
        <v>Total Resident Days</v>
      </c>
      <c r="G45" s="21" t="str">
        <f>INDEX(Common_Formula_Elements!$G:$G,MATCH($E45,Common_Formula_Elements!$A:$A,0))</f>
        <v>D01</v>
      </c>
      <c r="H45" s="23" t="str">
        <f>INDEX(Minimum_Documents!$B:$B,MATCH($G45,Minimum_Documents!$A:$A,0))</f>
        <v>Census &amp; ADT Register</v>
      </c>
    </row>
    <row r="46" spans="1:8" ht="28.5" customHeight="1">
      <c r="A46" s="21">
        <v>23</v>
      </c>
      <c r="B46" s="23" t="str">
        <f>INDEX(KPI_Master!$B:$B,MATCH($A46,KPI_Master!$A:$A,0))</f>
        <v>FINA-18</v>
      </c>
      <c r="C46" s="23" t="str">
        <f>INDEX(KPI_Master!$D:$D,MATCH($A46,KPI_Master!$A:$A,0))</f>
        <v>Skilled Revenue per Patient Day</v>
      </c>
      <c r="D46" s="23" t="str">
        <f>INDEX(KPI_Master!$K:$K,MATCH($A46,KPI_Master!$A:$A,0))</f>
        <v>1 - Core</v>
      </c>
      <c r="E46" s="24" t="s">
        <v>1000</v>
      </c>
      <c r="F46" s="23" t="str">
        <f>INDEX(Common_Formula_Elements!$B:$B,MATCH($E46,Common_Formula_Elements!$A:$A,0))</f>
        <v>Resident Revenue Detail</v>
      </c>
      <c r="G46" s="21" t="str">
        <f>INDEX(Common_Formula_Elements!$G:$G,MATCH($E46,Common_Formula_Elements!$A:$A,0))</f>
        <v>D04</v>
      </c>
      <c r="H46" s="23" t="str">
        <f>INDEX(Minimum_Documents!$B:$B,MATCH($G46,Minimum_Documents!$A:$A,0))</f>
        <v>Resident Billing Register / Rent Roll (by resident, payer and charge code)</v>
      </c>
    </row>
    <row r="47" spans="1:8">
      <c r="A47" s="21">
        <v>23</v>
      </c>
      <c r="B47" s="23" t="str">
        <f>INDEX(KPI_Master!$B:$B,MATCH($A47,KPI_Master!$A:$A,0))</f>
        <v>FINA-18</v>
      </c>
      <c r="C47" s="23" t="str">
        <f>INDEX(KPI_Master!$D:$D,MATCH($A47,KPI_Master!$A:$A,0))</f>
        <v>Skilled Revenue per Patient Day</v>
      </c>
      <c r="D47" s="23" t="str">
        <f>INDEX(KPI_Master!$K:$K,MATCH($A47,KPI_Master!$A:$A,0))</f>
        <v>1 - Core</v>
      </c>
      <c r="E47" s="24" t="s">
        <v>941</v>
      </c>
      <c r="F47" s="23" t="str">
        <f>INDEX(Common_Formula_Elements!$B:$B,MATCH($E47,Common_Formula_Elements!$A:$A,0))</f>
        <v>Skilled / Medicare Part A Days &amp; Census</v>
      </c>
      <c r="G47" s="21" t="str">
        <f>INDEX(Common_Formula_Elements!$G:$G,MATCH($E47,Common_Formula_Elements!$A:$A,0))</f>
        <v>D01</v>
      </c>
      <c r="H47" s="23" t="str">
        <f>INDEX(Minimum_Documents!$B:$B,MATCH($G47,Minimum_Documents!$A:$A,0))</f>
        <v>Census &amp; ADT Register</v>
      </c>
    </row>
    <row r="48" spans="1:8">
      <c r="A48" s="21">
        <v>24</v>
      </c>
      <c r="B48" s="23" t="str">
        <f>INDEX(KPI_Master!$B:$B,MATCH($A48,KPI_Master!$A:$A,0))</f>
        <v>FINA-19</v>
      </c>
      <c r="C48" s="23" t="str">
        <f>INDEX(KPI_Master!$D:$D,MATCH($A48,KPI_Master!$A:$A,0))</f>
        <v>SNF Occupancy - 5-Star Benchmark</v>
      </c>
      <c r="D48" s="23" t="str">
        <f>INDEX(KPI_Master!$K:$K,MATCH($A48,KPI_Master!$A:$A,0))</f>
        <v>3 - Optional</v>
      </c>
      <c r="E48" s="24" t="s">
        <v>932</v>
      </c>
      <c r="F48" s="23" t="str">
        <f>INDEX(Common_Formula_Elements!$B:$B,MATCH($E48,Common_Formula_Elements!$A:$A,0))</f>
        <v>Occupied Units / Beds</v>
      </c>
      <c r="G48" s="21" t="str">
        <f>INDEX(Common_Formula_Elements!$G:$G,MATCH($E48,Common_Formula_Elements!$A:$A,0))</f>
        <v>D01</v>
      </c>
      <c r="H48" s="23" t="str">
        <f>INDEX(Minimum_Documents!$B:$B,MATCH($G48,Minimum_Documents!$A:$A,0))</f>
        <v>Census &amp; ADT Register</v>
      </c>
    </row>
    <row r="49" spans="1:8">
      <c r="A49" s="21">
        <v>24</v>
      </c>
      <c r="B49" s="23" t="str">
        <f>INDEX(KPI_Master!$B:$B,MATCH($A49,KPI_Master!$A:$A,0))</f>
        <v>FINA-19</v>
      </c>
      <c r="C49" s="23" t="str">
        <f>INDEX(KPI_Master!$D:$D,MATCH($A49,KPI_Master!$A:$A,0))</f>
        <v>SNF Occupancy - 5-Star Benchmark</v>
      </c>
      <c r="D49" s="23" t="str">
        <f>INDEX(KPI_Master!$K:$K,MATCH($A49,KPI_Master!$A:$A,0))</f>
        <v>3 - Optional</v>
      </c>
      <c r="E49" s="24" t="s">
        <v>959</v>
      </c>
      <c r="F49" s="23" t="str">
        <f>INDEX(Common_Formula_Elements!$B:$B,MATCH($E49,Common_Formula_Elements!$A:$A,0))</f>
        <v>Total Available Units / Licensed Beds</v>
      </c>
      <c r="G49" s="21" t="str">
        <f>INDEX(Common_Formula_Elements!$G:$G,MATCH($E49,Common_Formula_Elements!$A:$A,0))</f>
        <v>D02</v>
      </c>
      <c r="H49" s="23" t="str">
        <f>INDEX(Minimum_Documents!$B:$B,MATCH($G49,Minimum_Documents!$A:$A,0))</f>
        <v>Property &amp; Unit Master Schedule</v>
      </c>
    </row>
    <row r="50" spans="1:8">
      <c r="A50" s="21">
        <v>25</v>
      </c>
      <c r="B50" s="23" t="str">
        <f>INDEX(KPI_Master!$B:$B,MATCH($A50,KPI_Master!$A:$A,0))</f>
        <v>FINA-20</v>
      </c>
      <c r="C50" s="23" t="str">
        <f>INDEX(KPI_Master!$D:$D,MATCH($A50,KPI_Master!$A:$A,0))</f>
        <v>SNF Occupancy - 1-Star Benchmark</v>
      </c>
      <c r="D50" s="23" t="str">
        <f>INDEX(KPI_Master!$K:$K,MATCH($A50,KPI_Master!$A:$A,0))</f>
        <v>3 - Optional</v>
      </c>
      <c r="E50" s="24" t="s">
        <v>932</v>
      </c>
      <c r="F50" s="23" t="str">
        <f>INDEX(Common_Formula_Elements!$B:$B,MATCH($E50,Common_Formula_Elements!$A:$A,0))</f>
        <v>Occupied Units / Beds</v>
      </c>
      <c r="G50" s="21" t="str">
        <f>INDEX(Common_Formula_Elements!$G:$G,MATCH($E50,Common_Formula_Elements!$A:$A,0))</f>
        <v>D01</v>
      </c>
      <c r="H50" s="23" t="str">
        <f>INDEX(Minimum_Documents!$B:$B,MATCH($G50,Minimum_Documents!$A:$A,0))</f>
        <v>Census &amp; ADT Register</v>
      </c>
    </row>
    <row r="51" spans="1:8">
      <c r="A51" s="21">
        <v>25</v>
      </c>
      <c r="B51" s="23" t="str">
        <f>INDEX(KPI_Master!$B:$B,MATCH($A51,KPI_Master!$A:$A,0))</f>
        <v>FINA-20</v>
      </c>
      <c r="C51" s="23" t="str">
        <f>INDEX(KPI_Master!$D:$D,MATCH($A51,KPI_Master!$A:$A,0))</f>
        <v>SNF Occupancy - 1-Star Benchmark</v>
      </c>
      <c r="D51" s="23" t="str">
        <f>INDEX(KPI_Master!$K:$K,MATCH($A51,KPI_Master!$A:$A,0))</f>
        <v>3 - Optional</v>
      </c>
      <c r="E51" s="24" t="s">
        <v>959</v>
      </c>
      <c r="F51" s="23" t="str">
        <f>INDEX(Common_Formula_Elements!$B:$B,MATCH($E51,Common_Formula_Elements!$A:$A,0))</f>
        <v>Total Available Units / Licensed Beds</v>
      </c>
      <c r="G51" s="21" t="str">
        <f>INDEX(Common_Formula_Elements!$G:$G,MATCH($E51,Common_Formula_Elements!$A:$A,0))</f>
        <v>D02</v>
      </c>
      <c r="H51" s="23" t="str">
        <f>INDEX(Minimum_Documents!$B:$B,MATCH($G51,Minimum_Documents!$A:$A,0))</f>
        <v>Property &amp; Unit Master Schedule</v>
      </c>
    </row>
    <row r="52" spans="1:8" ht="42.75" customHeight="1">
      <c r="A52" s="21">
        <v>26</v>
      </c>
      <c r="B52" s="23" t="str">
        <f>INDEX(KPI_Master!$B:$B,MATCH($A52,KPI_Master!$A:$A,0))</f>
        <v>FINA-21</v>
      </c>
      <c r="C52" s="23" t="str">
        <f>INDEX(KPI_Master!$D:$D,MATCH($A52,KPI_Master!$A:$A,0))</f>
        <v>SNF Net Margin</v>
      </c>
      <c r="D52" s="23" t="str">
        <f>INDEX(KPI_Master!$K:$K,MATCH($A52,KPI_Master!$A:$A,0))</f>
        <v>2 - Standard</v>
      </c>
      <c r="E52" s="24" t="s">
        <v>985</v>
      </c>
      <c r="F52" s="23" t="str">
        <f>INDEX(Common_Formula_Elements!$B:$B,MATCH($E52,Common_Formula_Elements!$A:$A,0))</f>
        <v>Net / Operating Income Items</v>
      </c>
      <c r="G52" s="21" t="str">
        <f>INDEX(Common_Formula_Elements!$G:$G,MATCH($E52,Common_Formula_Elements!$A:$A,0))</f>
        <v>D03</v>
      </c>
      <c r="H52" s="23" t="str">
        <f>INDEX(Minimum_Documents!$B:$B,MATCH($G52,Minimum_Documents!$A:$A,0))</f>
        <v>Monthly Financial Statement Package - consolidated (P&amp;L with budget, balance sheet, cash flow, trial balance; no department split needed)</v>
      </c>
    </row>
    <row r="53" spans="1:8" ht="42.75" customHeight="1">
      <c r="A53" s="21">
        <v>26</v>
      </c>
      <c r="B53" s="23" t="str">
        <f>INDEX(KPI_Master!$B:$B,MATCH($A53,KPI_Master!$A:$A,0))</f>
        <v>FINA-21</v>
      </c>
      <c r="C53" s="23" t="str">
        <f>INDEX(KPI_Master!$D:$D,MATCH($A53,KPI_Master!$A:$A,0))</f>
        <v>SNF Net Margin</v>
      </c>
      <c r="D53" s="23" t="str">
        <f>INDEX(KPI_Master!$K:$K,MATCH($A53,KPI_Master!$A:$A,0))</f>
        <v>2 - Standard</v>
      </c>
      <c r="E53" s="24" t="s">
        <v>972</v>
      </c>
      <c r="F53" s="23" t="str">
        <f>INDEX(Common_Formula_Elements!$B:$B,MATCH($E53,Common_Formula_Elements!$A:$A,0))</f>
        <v>Total Revenue / Operating Revenue</v>
      </c>
      <c r="G53" s="21" t="str">
        <f>INDEX(Common_Formula_Elements!$G:$G,MATCH($E53,Common_Formula_Elements!$A:$A,0))</f>
        <v>D03</v>
      </c>
      <c r="H53" s="23" t="str">
        <f>INDEX(Minimum_Documents!$B:$B,MATCH($G53,Minimum_Documents!$A:$A,0))</f>
        <v>Monthly Financial Statement Package - consolidated (P&amp;L with budget, balance sheet, cash flow, trial balance; no department split needed)</v>
      </c>
    </row>
    <row r="54" spans="1:8" ht="42.75" customHeight="1">
      <c r="A54" s="21">
        <v>27</v>
      </c>
      <c r="B54" s="23" t="str">
        <f>INDEX(KPI_Master!$B:$B,MATCH($A54,KPI_Master!$A:$A,0))</f>
        <v>FINA-22</v>
      </c>
      <c r="C54" s="23" t="str">
        <f>INDEX(KPI_Master!$D:$D,MATCH($A54,KPI_Master!$A:$A,0))</f>
        <v>SNF Operating Margin - 5-Star Benchmark</v>
      </c>
      <c r="D54" s="23" t="str">
        <f>INDEX(KPI_Master!$K:$K,MATCH($A54,KPI_Master!$A:$A,0))</f>
        <v>3 - Optional</v>
      </c>
      <c r="E54" s="24" t="s">
        <v>985</v>
      </c>
      <c r="F54" s="23" t="str">
        <f>INDEX(Common_Formula_Elements!$B:$B,MATCH($E54,Common_Formula_Elements!$A:$A,0))</f>
        <v>Net / Operating Income Items</v>
      </c>
      <c r="G54" s="21" t="str">
        <f>INDEX(Common_Formula_Elements!$G:$G,MATCH($E54,Common_Formula_Elements!$A:$A,0))</f>
        <v>D03</v>
      </c>
      <c r="H54" s="23" t="str">
        <f>INDEX(Minimum_Documents!$B:$B,MATCH($G54,Minimum_Documents!$A:$A,0))</f>
        <v>Monthly Financial Statement Package - consolidated (P&amp;L with budget, balance sheet, cash flow, trial balance; no department split needed)</v>
      </c>
    </row>
    <row r="55" spans="1:8" ht="42.75" customHeight="1">
      <c r="A55" s="21">
        <v>27</v>
      </c>
      <c r="B55" s="23" t="str">
        <f>INDEX(KPI_Master!$B:$B,MATCH($A55,KPI_Master!$A:$A,0))</f>
        <v>FINA-22</v>
      </c>
      <c r="C55" s="23" t="str">
        <f>INDEX(KPI_Master!$D:$D,MATCH($A55,KPI_Master!$A:$A,0))</f>
        <v>SNF Operating Margin - 5-Star Benchmark</v>
      </c>
      <c r="D55" s="23" t="str">
        <f>INDEX(KPI_Master!$K:$K,MATCH($A55,KPI_Master!$A:$A,0))</f>
        <v>3 - Optional</v>
      </c>
      <c r="E55" s="24" t="s">
        <v>972</v>
      </c>
      <c r="F55" s="23" t="str">
        <f>INDEX(Common_Formula_Elements!$B:$B,MATCH($E55,Common_Formula_Elements!$A:$A,0))</f>
        <v>Total Revenue / Operating Revenue</v>
      </c>
      <c r="G55" s="21" t="str">
        <f>INDEX(Common_Formula_Elements!$G:$G,MATCH($E55,Common_Formula_Elements!$A:$A,0))</f>
        <v>D03</v>
      </c>
      <c r="H55" s="23" t="str">
        <f>INDEX(Minimum_Documents!$B:$B,MATCH($G55,Minimum_Documents!$A:$A,0))</f>
        <v>Monthly Financial Statement Package - consolidated (P&amp;L with budget, balance sheet, cash flow, trial balance; no department split needed)</v>
      </c>
    </row>
    <row r="56" spans="1:8" ht="42.75" customHeight="1">
      <c r="A56" s="21">
        <v>28</v>
      </c>
      <c r="B56" s="23" t="str">
        <f>INDEX(KPI_Master!$B:$B,MATCH($A56,KPI_Master!$A:$A,0))</f>
        <v>FINA-23</v>
      </c>
      <c r="C56" s="23" t="str">
        <f>INDEX(KPI_Master!$D:$D,MATCH($A56,KPI_Master!$A:$A,0))</f>
        <v>SNF Operating Margin - 1-Star Benchmark</v>
      </c>
      <c r="D56" s="23" t="str">
        <f>INDEX(KPI_Master!$K:$K,MATCH($A56,KPI_Master!$A:$A,0))</f>
        <v>3 - Optional</v>
      </c>
      <c r="E56" s="24" t="s">
        <v>985</v>
      </c>
      <c r="F56" s="23" t="str">
        <f>INDEX(Common_Formula_Elements!$B:$B,MATCH($E56,Common_Formula_Elements!$A:$A,0))</f>
        <v>Net / Operating Income Items</v>
      </c>
      <c r="G56" s="21" t="str">
        <f>INDEX(Common_Formula_Elements!$G:$G,MATCH($E56,Common_Formula_Elements!$A:$A,0))</f>
        <v>D03</v>
      </c>
      <c r="H56" s="23" t="str">
        <f>INDEX(Minimum_Documents!$B:$B,MATCH($G56,Minimum_Documents!$A:$A,0))</f>
        <v>Monthly Financial Statement Package - consolidated (P&amp;L with budget, balance sheet, cash flow, trial balance; no department split needed)</v>
      </c>
    </row>
    <row r="57" spans="1:8" ht="42.75" customHeight="1">
      <c r="A57" s="21">
        <v>28</v>
      </c>
      <c r="B57" s="23" t="str">
        <f>INDEX(KPI_Master!$B:$B,MATCH($A57,KPI_Master!$A:$A,0))</f>
        <v>FINA-23</v>
      </c>
      <c r="C57" s="23" t="str">
        <f>INDEX(KPI_Master!$D:$D,MATCH($A57,KPI_Master!$A:$A,0))</f>
        <v>SNF Operating Margin - 1-Star Benchmark</v>
      </c>
      <c r="D57" s="23" t="str">
        <f>INDEX(KPI_Master!$K:$K,MATCH($A57,KPI_Master!$A:$A,0))</f>
        <v>3 - Optional</v>
      </c>
      <c r="E57" s="24" t="s">
        <v>972</v>
      </c>
      <c r="F57" s="23" t="str">
        <f>INDEX(Common_Formula_Elements!$B:$B,MATCH($E57,Common_Formula_Elements!$A:$A,0))</f>
        <v>Total Revenue / Operating Revenue</v>
      </c>
      <c r="G57" s="21" t="str">
        <f>INDEX(Common_Formula_Elements!$G:$G,MATCH($E57,Common_Formula_Elements!$A:$A,0))</f>
        <v>D03</v>
      </c>
      <c r="H57" s="23" t="str">
        <f>INDEX(Minimum_Documents!$B:$B,MATCH($G57,Minimum_Documents!$A:$A,0))</f>
        <v>Monthly Financial Statement Package - consolidated (P&amp;L with budget, balance sheet, cash flow, trial balance; no department split needed)</v>
      </c>
    </row>
    <row r="58" spans="1:8" ht="42.75" customHeight="1">
      <c r="A58" s="21">
        <v>29</v>
      </c>
      <c r="B58" s="23" t="str">
        <f>INDEX(KPI_Master!$B:$B,MATCH($A58,KPI_Master!$A:$A,0))</f>
        <v>FINA-24</v>
      </c>
      <c r="C58" s="23" t="str">
        <f>INDEX(KPI_Master!$D:$D,MATCH($A58,KPI_Master!$A:$A,0))</f>
        <v>EBITDAR Margin (IL)</v>
      </c>
      <c r="D58" s="23" t="str">
        <f>INDEX(KPI_Master!$K:$K,MATCH($A58,KPI_Master!$A:$A,0))</f>
        <v>2 - Standard</v>
      </c>
      <c r="E58" s="24" t="s">
        <v>985</v>
      </c>
      <c r="F58" s="23" t="str">
        <f>INDEX(Common_Formula_Elements!$B:$B,MATCH($E58,Common_Formula_Elements!$A:$A,0))</f>
        <v>Net / Operating Income Items</v>
      </c>
      <c r="G58" s="21" t="str">
        <f>INDEX(Common_Formula_Elements!$G:$G,MATCH($E58,Common_Formula_Elements!$A:$A,0))</f>
        <v>D03</v>
      </c>
      <c r="H58" s="23" t="str">
        <f>INDEX(Minimum_Documents!$B:$B,MATCH($G58,Minimum_Documents!$A:$A,0))</f>
        <v>Monthly Financial Statement Package - consolidated (P&amp;L with budget, balance sheet, cash flow, trial balance; no department split needed)</v>
      </c>
    </row>
    <row r="59" spans="1:8" ht="42.75" customHeight="1">
      <c r="A59" s="21">
        <v>29</v>
      </c>
      <c r="B59" s="23" t="str">
        <f>INDEX(KPI_Master!$B:$B,MATCH($A59,KPI_Master!$A:$A,0))</f>
        <v>FINA-24</v>
      </c>
      <c r="C59" s="23" t="str">
        <f>INDEX(KPI_Master!$D:$D,MATCH($A59,KPI_Master!$A:$A,0))</f>
        <v>EBITDAR Margin (IL)</v>
      </c>
      <c r="D59" s="23" t="str">
        <f>INDEX(KPI_Master!$K:$K,MATCH($A59,KPI_Master!$A:$A,0))</f>
        <v>2 - Standard</v>
      </c>
      <c r="E59" s="24" t="s">
        <v>982</v>
      </c>
      <c r="F59" s="23" t="str">
        <f>INDEX(Common_Formula_Elements!$B:$B,MATCH($E59,Common_Formula_Elements!$A:$A,0))</f>
        <v>Depreciation &amp; Amortisation</v>
      </c>
      <c r="G59" s="21" t="str">
        <f>INDEX(Common_Formula_Elements!$G:$G,MATCH($E59,Common_Formula_Elements!$A:$A,0))</f>
        <v>D03</v>
      </c>
      <c r="H59" s="23" t="str">
        <f>INDEX(Minimum_Documents!$B:$B,MATCH($G59,Minimum_Documents!$A:$A,0))</f>
        <v>Monthly Financial Statement Package - consolidated (P&amp;L with budget, balance sheet, cash flow, trial balance; no department split needed)</v>
      </c>
    </row>
    <row r="60" spans="1:8" ht="42.75" customHeight="1">
      <c r="A60" s="21">
        <v>29</v>
      </c>
      <c r="B60" s="23" t="str">
        <f>INDEX(KPI_Master!$B:$B,MATCH($A60,KPI_Master!$A:$A,0))</f>
        <v>FINA-24</v>
      </c>
      <c r="C60" s="23" t="str">
        <f>INDEX(KPI_Master!$D:$D,MATCH($A60,KPI_Master!$A:$A,0))</f>
        <v>EBITDAR Margin (IL)</v>
      </c>
      <c r="D60" s="23" t="str">
        <f>INDEX(KPI_Master!$K:$K,MATCH($A60,KPI_Master!$A:$A,0))</f>
        <v>2 - Standard</v>
      </c>
      <c r="E60" s="24" t="s">
        <v>972</v>
      </c>
      <c r="F60" s="23" t="str">
        <f>INDEX(Common_Formula_Elements!$B:$B,MATCH($E60,Common_Formula_Elements!$A:$A,0))</f>
        <v>Total Revenue / Operating Revenue</v>
      </c>
      <c r="G60" s="21" t="str">
        <f>INDEX(Common_Formula_Elements!$G:$G,MATCH($E60,Common_Formula_Elements!$A:$A,0))</f>
        <v>D03</v>
      </c>
      <c r="H60" s="23" t="str">
        <f>INDEX(Minimum_Documents!$B:$B,MATCH($G60,Minimum_Documents!$A:$A,0))</f>
        <v>Monthly Financial Statement Package - consolidated (P&amp;L with budget, balance sheet, cash flow, trial balance; no department split needed)</v>
      </c>
    </row>
    <row r="61" spans="1:8" ht="42.75" customHeight="1">
      <c r="A61" s="21">
        <v>30</v>
      </c>
      <c r="B61" s="23" t="str">
        <f>INDEX(KPI_Master!$B:$B,MATCH($A61,KPI_Master!$A:$A,0))</f>
        <v>FINA-25</v>
      </c>
      <c r="C61" s="23" t="str">
        <f>INDEX(KPI_Master!$D:$D,MATCH($A61,KPI_Master!$A:$A,0))</f>
        <v>Days in Accounts Payable (DPO)</v>
      </c>
      <c r="D61" s="23" t="str">
        <f>INDEX(KPI_Master!$K:$K,MATCH($A61,KPI_Master!$A:$A,0))</f>
        <v>2 - Standard</v>
      </c>
      <c r="E61" s="24" t="s">
        <v>991</v>
      </c>
      <c r="F61" s="23" t="str">
        <f>INDEX(Common_Formula_Elements!$B:$B,MATCH($E61,Common_Formula_Elements!$A:$A,0))</f>
        <v>Balance Sheet Balances</v>
      </c>
      <c r="G61" s="21" t="str">
        <f>INDEX(Common_Formula_Elements!$G:$G,MATCH($E61,Common_Formula_Elements!$A:$A,0))</f>
        <v>D03</v>
      </c>
      <c r="H61" s="23" t="str">
        <f>INDEX(Minimum_Documents!$B:$B,MATCH($G61,Minimum_Documents!$A:$A,0))</f>
        <v>Monthly Financial Statement Package - consolidated (P&amp;L with budget, balance sheet, cash flow, trial balance; no department split needed)</v>
      </c>
    </row>
    <row r="62" spans="1:8" ht="42.75" customHeight="1">
      <c r="A62" s="21">
        <v>30</v>
      </c>
      <c r="B62" s="23" t="str">
        <f>INDEX(KPI_Master!$B:$B,MATCH($A62,KPI_Master!$A:$A,0))</f>
        <v>FINA-25</v>
      </c>
      <c r="C62" s="23" t="str">
        <f>INDEX(KPI_Master!$D:$D,MATCH($A62,KPI_Master!$A:$A,0))</f>
        <v>Days in Accounts Payable (DPO)</v>
      </c>
      <c r="D62" s="23" t="str">
        <f>INDEX(KPI_Master!$K:$K,MATCH($A62,KPI_Master!$A:$A,0))</f>
        <v>2 - Standard</v>
      </c>
      <c r="E62" s="24" t="s">
        <v>976</v>
      </c>
      <c r="F62" s="23" t="str">
        <f>INDEX(Common_Formula_Elements!$B:$B,MATCH($E62,Common_Formula_Elements!$A:$A,0))</f>
        <v>Total Operating Expense</v>
      </c>
      <c r="G62" s="21" t="str">
        <f>INDEX(Common_Formula_Elements!$G:$G,MATCH($E62,Common_Formula_Elements!$A:$A,0))</f>
        <v>D03</v>
      </c>
      <c r="H62" s="23" t="str">
        <f>INDEX(Minimum_Documents!$B:$B,MATCH($G62,Minimum_Documents!$A:$A,0))</f>
        <v>Monthly Financial Statement Package - consolidated (P&amp;L with budget, balance sheet, cash flow, trial balance; no department split needed)</v>
      </c>
    </row>
    <row r="63" spans="1:8" ht="42.75" customHeight="1">
      <c r="A63" s="21">
        <v>30</v>
      </c>
      <c r="B63" s="23" t="str">
        <f>INDEX(KPI_Master!$B:$B,MATCH($A63,KPI_Master!$A:$A,0))</f>
        <v>FINA-25</v>
      </c>
      <c r="C63" s="23" t="str">
        <f>INDEX(KPI_Master!$D:$D,MATCH($A63,KPI_Master!$A:$A,0))</f>
        <v>Days in Accounts Payable (DPO)</v>
      </c>
      <c r="D63" s="23" t="str">
        <f>INDEX(KPI_Master!$K:$K,MATCH($A63,KPI_Master!$A:$A,0))</f>
        <v>2 - Standard</v>
      </c>
      <c r="E63" s="24" t="s">
        <v>982</v>
      </c>
      <c r="F63" s="23" t="str">
        <f>INDEX(Common_Formula_Elements!$B:$B,MATCH($E63,Common_Formula_Elements!$A:$A,0))</f>
        <v>Depreciation &amp; Amortisation</v>
      </c>
      <c r="G63" s="21" t="str">
        <f>INDEX(Common_Formula_Elements!$G:$G,MATCH($E63,Common_Formula_Elements!$A:$A,0))</f>
        <v>D03</v>
      </c>
      <c r="H63" s="23" t="str">
        <f>INDEX(Minimum_Documents!$B:$B,MATCH($G63,Minimum_Documents!$A:$A,0))</f>
        <v>Monthly Financial Statement Package - consolidated (P&amp;L with budget, balance sheet, cash flow, trial balance; no department split needed)</v>
      </c>
    </row>
    <row r="64" spans="1:8" ht="42.75" customHeight="1">
      <c r="A64" s="21">
        <v>31</v>
      </c>
      <c r="B64" s="23" t="str">
        <f>INDEX(KPI_Master!$B:$B,MATCH($A64,KPI_Master!$A:$A,0))</f>
        <v>FINA-26</v>
      </c>
      <c r="C64" s="23" t="str">
        <f>INDEX(KPI_Master!$D:$D,MATCH($A64,KPI_Master!$A:$A,0))</f>
        <v>Capital Expenditure as % of Depreciation</v>
      </c>
      <c r="D64" s="23" t="str">
        <f>INDEX(KPI_Master!$K:$K,MATCH($A64,KPI_Master!$A:$A,0))</f>
        <v>2 - Standard</v>
      </c>
      <c r="E64" s="24" t="s">
        <v>994</v>
      </c>
      <c r="F64" s="23" t="str">
        <f>INDEX(Common_Formula_Elements!$B:$B,MATCH($E64,Common_Formula_Elements!$A:$A,0))</f>
        <v>Capital Expenditure &amp; Debt Service</v>
      </c>
      <c r="G64" s="21" t="str">
        <f>INDEX(Common_Formula_Elements!$G:$G,MATCH($E64,Common_Formula_Elements!$A:$A,0))</f>
        <v>D03</v>
      </c>
      <c r="H64" s="23" t="str">
        <f>INDEX(Minimum_Documents!$B:$B,MATCH($G64,Minimum_Documents!$A:$A,0))</f>
        <v>Monthly Financial Statement Package - consolidated (P&amp;L with budget, balance sheet, cash flow, trial balance; no department split needed)</v>
      </c>
    </row>
    <row r="65" spans="1:8" ht="42.75" customHeight="1">
      <c r="A65" s="21">
        <v>31</v>
      </c>
      <c r="B65" s="23" t="str">
        <f>INDEX(KPI_Master!$B:$B,MATCH($A65,KPI_Master!$A:$A,0))</f>
        <v>FINA-26</v>
      </c>
      <c r="C65" s="23" t="str">
        <f>INDEX(KPI_Master!$D:$D,MATCH($A65,KPI_Master!$A:$A,0))</f>
        <v>Capital Expenditure as % of Depreciation</v>
      </c>
      <c r="D65" s="23" t="str">
        <f>INDEX(KPI_Master!$K:$K,MATCH($A65,KPI_Master!$A:$A,0))</f>
        <v>2 - Standard</v>
      </c>
      <c r="E65" s="24" t="s">
        <v>982</v>
      </c>
      <c r="F65" s="23" t="str">
        <f>INDEX(Common_Formula_Elements!$B:$B,MATCH($E65,Common_Formula_Elements!$A:$A,0))</f>
        <v>Depreciation &amp; Amortisation</v>
      </c>
      <c r="G65" s="21" t="str">
        <f>INDEX(Common_Formula_Elements!$G:$G,MATCH($E65,Common_Formula_Elements!$A:$A,0))</f>
        <v>D03</v>
      </c>
      <c r="H65" s="23" t="str">
        <f>INDEX(Minimum_Documents!$B:$B,MATCH($G65,Minimum_Documents!$A:$A,0))</f>
        <v>Monthly Financial Statement Package - consolidated (P&amp;L with budget, balance sheet, cash flow, trial balance; no department split needed)</v>
      </c>
    </row>
    <row r="66" spans="1:8" ht="42.75" customHeight="1">
      <c r="A66" s="21">
        <v>32</v>
      </c>
      <c r="B66" s="23" t="str">
        <f>INDEX(KPI_Master!$B:$B,MATCH($A66,KPI_Master!$A:$A,0))</f>
        <v>FINA-27</v>
      </c>
      <c r="C66" s="23" t="str">
        <f>INDEX(KPI_Master!$D:$D,MATCH($A66,KPI_Master!$A:$A,0))</f>
        <v>Capital Expenditure per Available Unit</v>
      </c>
      <c r="D66" s="23" t="str">
        <f>INDEX(KPI_Master!$K:$K,MATCH($A66,KPI_Master!$A:$A,0))</f>
        <v>3 - Optional</v>
      </c>
      <c r="E66" s="24" t="s">
        <v>994</v>
      </c>
      <c r="F66" s="23" t="str">
        <f>INDEX(Common_Formula_Elements!$B:$B,MATCH($E66,Common_Formula_Elements!$A:$A,0))</f>
        <v>Capital Expenditure &amp; Debt Service</v>
      </c>
      <c r="G66" s="21" t="str">
        <f>INDEX(Common_Formula_Elements!$G:$G,MATCH($E66,Common_Formula_Elements!$A:$A,0))</f>
        <v>D03</v>
      </c>
      <c r="H66" s="23" t="str">
        <f>INDEX(Minimum_Documents!$B:$B,MATCH($G66,Minimum_Documents!$A:$A,0))</f>
        <v>Monthly Financial Statement Package - consolidated (P&amp;L with budget, balance sheet, cash flow, trial balance; no department split needed)</v>
      </c>
    </row>
    <row r="67" spans="1:8">
      <c r="A67" s="21">
        <v>32</v>
      </c>
      <c r="B67" s="23" t="str">
        <f>INDEX(KPI_Master!$B:$B,MATCH($A67,KPI_Master!$A:$A,0))</f>
        <v>FINA-27</v>
      </c>
      <c r="C67" s="23" t="str">
        <f>INDEX(KPI_Master!$D:$D,MATCH($A67,KPI_Master!$A:$A,0))</f>
        <v>Capital Expenditure per Available Unit</v>
      </c>
      <c r="D67" s="23" t="str">
        <f>INDEX(KPI_Master!$K:$K,MATCH($A67,KPI_Master!$A:$A,0))</f>
        <v>3 - Optional</v>
      </c>
      <c r="E67" s="24" t="s">
        <v>959</v>
      </c>
      <c r="F67" s="23" t="str">
        <f>INDEX(Common_Formula_Elements!$B:$B,MATCH($E67,Common_Formula_Elements!$A:$A,0))</f>
        <v>Total Available Units / Licensed Beds</v>
      </c>
      <c r="G67" s="21" t="str">
        <f>INDEX(Common_Formula_Elements!$G:$G,MATCH($E67,Common_Formula_Elements!$A:$A,0))</f>
        <v>D02</v>
      </c>
      <c r="H67" s="23" t="str">
        <f>INDEX(Minimum_Documents!$B:$B,MATCH($G67,Minimum_Documents!$A:$A,0))</f>
        <v>Property &amp; Unit Master Schedule</v>
      </c>
    </row>
    <row r="68" spans="1:8" ht="42.75" customHeight="1">
      <c r="A68" s="21">
        <v>33</v>
      </c>
      <c r="B68" s="23" t="str">
        <f>INDEX(KPI_Master!$B:$B,MATCH($A68,KPI_Master!$A:$A,0))</f>
        <v>FINA-28</v>
      </c>
      <c r="C68" s="23" t="str">
        <f>INDEX(KPI_Master!$D:$D,MATCH($A68,KPI_Master!$A:$A,0))</f>
        <v>Management Fees as % of Revenue</v>
      </c>
      <c r="D68" s="23" t="str">
        <f>INDEX(KPI_Master!$K:$K,MATCH($A68,KPI_Master!$A:$A,0))</f>
        <v>3 - Optional</v>
      </c>
      <c r="E68" s="24" t="s">
        <v>979</v>
      </c>
      <c r="F68" s="23" t="str">
        <f>INDEX(Common_Formula_Elements!$B:$B,MATCH($E68,Common_Formula_Elements!$A:$A,0))</f>
        <v>Account-Level Expense Lines</v>
      </c>
      <c r="G68" s="21" t="str">
        <f>INDEX(Common_Formula_Elements!$G:$G,MATCH($E68,Common_Formula_Elements!$A:$A,0))</f>
        <v>D03</v>
      </c>
      <c r="H68" s="23" t="str">
        <f>INDEX(Minimum_Documents!$B:$B,MATCH($G68,Minimum_Documents!$A:$A,0))</f>
        <v>Monthly Financial Statement Package - consolidated (P&amp;L with budget, balance sheet, cash flow, trial balance; no department split needed)</v>
      </c>
    </row>
    <row r="69" spans="1:8" ht="42.75" customHeight="1">
      <c r="A69" s="21">
        <v>33</v>
      </c>
      <c r="B69" s="23" t="str">
        <f>INDEX(KPI_Master!$B:$B,MATCH($A69,KPI_Master!$A:$A,0))</f>
        <v>FINA-28</v>
      </c>
      <c r="C69" s="23" t="str">
        <f>INDEX(KPI_Master!$D:$D,MATCH($A69,KPI_Master!$A:$A,0))</f>
        <v>Management Fees as % of Revenue</v>
      </c>
      <c r="D69" s="23" t="str">
        <f>INDEX(KPI_Master!$K:$K,MATCH($A69,KPI_Master!$A:$A,0))</f>
        <v>3 - Optional</v>
      </c>
      <c r="E69" s="24" t="s">
        <v>972</v>
      </c>
      <c r="F69" s="23" t="str">
        <f>INDEX(Common_Formula_Elements!$B:$B,MATCH($E69,Common_Formula_Elements!$A:$A,0))</f>
        <v>Total Revenue / Operating Revenue</v>
      </c>
      <c r="G69" s="21" t="str">
        <f>INDEX(Common_Formula_Elements!$G:$G,MATCH($E69,Common_Formula_Elements!$A:$A,0))</f>
        <v>D03</v>
      </c>
      <c r="H69" s="23" t="str">
        <f>INDEX(Minimum_Documents!$B:$B,MATCH($G69,Minimum_Documents!$A:$A,0))</f>
        <v>Monthly Financial Statement Package - consolidated (P&amp;L with budget, balance sheet, cash flow, trial balance; no department split needed)</v>
      </c>
    </row>
    <row r="70" spans="1:8">
      <c r="A70" s="21">
        <v>34</v>
      </c>
      <c r="B70" s="23" t="str">
        <f>INDEX(KPI_Master!$B:$B,MATCH($A70,KPI_Master!$A:$A,0))</f>
        <v>FINA-29</v>
      </c>
      <c r="C70" s="23" t="str">
        <f>INDEX(KPI_Master!$D:$D,MATCH($A70,KPI_Master!$A:$A,0))</f>
        <v>IT Expense as % of Revenue</v>
      </c>
      <c r="D70" s="23" t="str">
        <f>INDEX(KPI_Master!$K:$K,MATCH($A70,KPI_Master!$A:$A,0))</f>
        <v>3 - Optional</v>
      </c>
      <c r="E70" s="24" t="s">
        <v>1126</v>
      </c>
      <c r="F70" s="23" t="str">
        <f>INDEX(Common_Formula_Elements!$B:$B,MATCH($E70,Common_Formula_Elements!$A:$A,0))</f>
        <v>Department Non-Labor Expense</v>
      </c>
      <c r="G70" s="21" t="str">
        <f>INDEX(Common_Formula_Elements!$G:$G,MATCH($E70,Common_Formula_Elements!$A:$A,0))</f>
        <v>D31</v>
      </c>
      <c r="H70" s="23" t="str">
        <f>INDEX(Minimum_Documents!$B:$B,MATCH($G70,Minimum_Documents!$A:$A,0))</f>
        <v>AP Invoice Register coded by Department / Cost Centre</v>
      </c>
    </row>
    <row r="71" spans="1:8" ht="28.5" customHeight="1">
      <c r="A71" s="21">
        <v>34</v>
      </c>
      <c r="B71" s="23" t="str">
        <f>INDEX(KPI_Master!$B:$B,MATCH($A71,KPI_Master!$A:$A,0))</f>
        <v>FINA-29</v>
      </c>
      <c r="C71" s="23" t="str">
        <f>INDEX(KPI_Master!$D:$D,MATCH($A71,KPI_Master!$A:$A,0))</f>
        <v>IT Expense as % of Revenue</v>
      </c>
      <c r="D71" s="23" t="str">
        <f>INDEX(KPI_Master!$K:$K,MATCH($A71,KPI_Master!$A:$A,0))</f>
        <v>3 - Optional</v>
      </c>
      <c r="E71" s="24" t="s">
        <v>1012</v>
      </c>
      <c r="F71" s="23" t="str">
        <f>INDEX(Common_Formula_Elements!$B:$B,MATCH($E71,Common_Formula_Elements!$A:$A,0))</f>
        <v>Wages by Job Class / Department</v>
      </c>
      <c r="G71" s="21" t="str">
        <f>INDEX(Common_Formula_Elements!$G:$G,MATCH($E71,Common_Formula_Elements!$A:$A,0))</f>
        <v>D06</v>
      </c>
      <c r="H71" s="23" t="str">
        <f>INDEX(Minimum_Documents!$B:$B,MATCH($G71,Minimum_Documents!$A:$A,0))</f>
        <v>Payroll Register (hours and wages by employee, job class and department)</v>
      </c>
    </row>
    <row r="72" spans="1:8" ht="42.75" customHeight="1">
      <c r="A72" s="21">
        <v>34</v>
      </c>
      <c r="B72" s="23" t="str">
        <f>INDEX(KPI_Master!$B:$B,MATCH($A72,KPI_Master!$A:$A,0))</f>
        <v>FINA-29</v>
      </c>
      <c r="C72" s="23" t="str">
        <f>INDEX(KPI_Master!$D:$D,MATCH($A72,KPI_Master!$A:$A,0))</f>
        <v>IT Expense as % of Revenue</v>
      </c>
      <c r="D72" s="23" t="str">
        <f>INDEX(KPI_Master!$K:$K,MATCH($A72,KPI_Master!$A:$A,0))</f>
        <v>3 - Optional</v>
      </c>
      <c r="E72" s="24" t="s">
        <v>972</v>
      </c>
      <c r="F72" s="23" t="str">
        <f>INDEX(Common_Formula_Elements!$B:$B,MATCH($E72,Common_Formula_Elements!$A:$A,0))</f>
        <v>Total Revenue / Operating Revenue</v>
      </c>
      <c r="G72" s="21" t="str">
        <f>INDEX(Common_Formula_Elements!$G:$G,MATCH($E72,Common_Formula_Elements!$A:$A,0))</f>
        <v>D03</v>
      </c>
      <c r="H72" s="23" t="str">
        <f>INDEX(Minimum_Documents!$B:$B,MATCH($G72,Minimum_Documents!$A:$A,0))</f>
        <v>Monthly Financial Statement Package - consolidated (P&amp;L with budget, balance sheet, cash flow, trial balance; no department split needed)</v>
      </c>
    </row>
    <row r="73" spans="1:8" ht="42.75" customHeight="1">
      <c r="A73" s="21">
        <v>35</v>
      </c>
      <c r="B73" s="23" t="str">
        <f>INDEX(KPI_Master!$B:$B,MATCH($A73,KPI_Master!$A:$A,0))</f>
        <v>FINA-30</v>
      </c>
      <c r="C73" s="23" t="str">
        <f>INDEX(KPI_Master!$D:$D,MATCH($A73,KPI_Master!$A:$A,0))</f>
        <v>Operating Margin (CARF, Entity)</v>
      </c>
      <c r="D73" s="23" t="str">
        <f>INDEX(KPI_Master!$K:$K,MATCH($A73,KPI_Master!$A:$A,0))</f>
        <v>2 - Standard</v>
      </c>
      <c r="E73" s="24" t="s">
        <v>985</v>
      </c>
      <c r="F73" s="23" t="str">
        <f>INDEX(Common_Formula_Elements!$B:$B,MATCH($E73,Common_Formula_Elements!$A:$A,0))</f>
        <v>Net / Operating Income Items</v>
      </c>
      <c r="G73" s="21" t="str">
        <f>INDEX(Common_Formula_Elements!$G:$G,MATCH($E73,Common_Formula_Elements!$A:$A,0))</f>
        <v>D03</v>
      </c>
      <c r="H73" s="23" t="str">
        <f>INDEX(Minimum_Documents!$B:$B,MATCH($G73,Minimum_Documents!$A:$A,0))</f>
        <v>Monthly Financial Statement Package - consolidated (P&amp;L with budget, balance sheet, cash flow, trial balance; no department split needed)</v>
      </c>
    </row>
    <row r="74" spans="1:8" ht="42.75" customHeight="1">
      <c r="A74" s="21">
        <v>35</v>
      </c>
      <c r="B74" s="23" t="str">
        <f>INDEX(KPI_Master!$B:$B,MATCH($A74,KPI_Master!$A:$A,0))</f>
        <v>FINA-30</v>
      </c>
      <c r="C74" s="23" t="str">
        <f>INDEX(KPI_Master!$D:$D,MATCH($A74,KPI_Master!$A:$A,0))</f>
        <v>Operating Margin (CARF, Entity)</v>
      </c>
      <c r="D74" s="23" t="str">
        <f>INDEX(KPI_Master!$K:$K,MATCH($A74,KPI_Master!$A:$A,0))</f>
        <v>2 - Standard</v>
      </c>
      <c r="E74" s="24" t="s">
        <v>972</v>
      </c>
      <c r="F74" s="23" t="str">
        <f>INDEX(Common_Formula_Elements!$B:$B,MATCH($E74,Common_Formula_Elements!$A:$A,0))</f>
        <v>Total Revenue / Operating Revenue</v>
      </c>
      <c r="G74" s="21" t="str">
        <f>INDEX(Common_Formula_Elements!$G:$G,MATCH($E74,Common_Formula_Elements!$A:$A,0))</f>
        <v>D03</v>
      </c>
      <c r="H74" s="23" t="str">
        <f>INDEX(Minimum_Documents!$B:$B,MATCH($G74,Minimum_Documents!$A:$A,0))</f>
        <v>Monthly Financial Statement Package - consolidated (P&amp;L with budget, balance sheet, cash flow, trial balance; no department split needed)</v>
      </c>
    </row>
    <row r="75" spans="1:8" ht="42.75" customHeight="1">
      <c r="A75" s="21">
        <v>36</v>
      </c>
      <c r="B75" s="23" t="str">
        <f>INDEX(KPI_Master!$B:$B,MATCH($A75,KPI_Master!$A:$A,0))</f>
        <v>FINA-31</v>
      </c>
      <c r="C75" s="23" t="str">
        <f>INDEX(KPI_Master!$D:$D,MATCH($A75,KPI_Master!$A:$A,0))</f>
        <v>Net Operating Margin (CARF, Entity)</v>
      </c>
      <c r="D75" s="23" t="str">
        <f>INDEX(KPI_Master!$K:$K,MATCH($A75,KPI_Master!$A:$A,0))</f>
        <v>3 - Optional</v>
      </c>
      <c r="E75" s="24" t="s">
        <v>972</v>
      </c>
      <c r="F75" s="23" t="str">
        <f>INDEX(Common_Formula_Elements!$B:$B,MATCH($E75,Common_Formula_Elements!$A:$A,0))</f>
        <v>Total Revenue / Operating Revenue</v>
      </c>
      <c r="G75" s="21" t="str">
        <f>INDEX(Common_Formula_Elements!$G:$G,MATCH($E75,Common_Formula_Elements!$A:$A,0))</f>
        <v>D03</v>
      </c>
      <c r="H75" s="23" t="str">
        <f>INDEX(Minimum_Documents!$B:$B,MATCH($G75,Minimum_Documents!$A:$A,0))</f>
        <v>Monthly Financial Statement Package - consolidated (P&amp;L with budget, balance sheet, cash flow, trial balance; no department split needed)</v>
      </c>
    </row>
    <row r="76" spans="1:8" ht="42.75" customHeight="1">
      <c r="A76" s="21">
        <v>36</v>
      </c>
      <c r="B76" s="23" t="str">
        <f>INDEX(KPI_Master!$B:$B,MATCH($A76,KPI_Master!$A:$A,0))</f>
        <v>FINA-31</v>
      </c>
      <c r="C76" s="23" t="str">
        <f>INDEX(KPI_Master!$D:$D,MATCH($A76,KPI_Master!$A:$A,0))</f>
        <v>Net Operating Margin (CARF, Entity)</v>
      </c>
      <c r="D76" s="23" t="str">
        <f>INDEX(KPI_Master!$K:$K,MATCH($A76,KPI_Master!$A:$A,0))</f>
        <v>3 - Optional</v>
      </c>
      <c r="E76" s="24" t="s">
        <v>976</v>
      </c>
      <c r="F76" s="23" t="str">
        <f>INDEX(Common_Formula_Elements!$B:$B,MATCH($E76,Common_Formula_Elements!$A:$A,0))</f>
        <v>Total Operating Expense</v>
      </c>
      <c r="G76" s="21" t="str">
        <f>INDEX(Common_Formula_Elements!$G:$G,MATCH($E76,Common_Formula_Elements!$A:$A,0))</f>
        <v>D03</v>
      </c>
      <c r="H76" s="23" t="str">
        <f>INDEX(Minimum_Documents!$B:$B,MATCH($G76,Minimum_Documents!$A:$A,0))</f>
        <v>Monthly Financial Statement Package - consolidated (P&amp;L with budget, balance sheet, cash flow, trial balance; no department split needed)</v>
      </c>
    </row>
    <row r="77" spans="1:8" ht="42.75" customHeight="1">
      <c r="A77" s="21">
        <v>37</v>
      </c>
      <c r="B77" s="23" t="str">
        <f>INDEX(KPI_Master!$B:$B,MATCH($A77,KPI_Master!$A:$A,0))</f>
        <v>FINA-32</v>
      </c>
      <c r="C77" s="23" t="str">
        <f>INDEX(KPI_Master!$D:$D,MATCH($A77,KPI_Master!$A:$A,0))</f>
        <v>Entrance Fee Refund Liability Funding</v>
      </c>
      <c r="D77" s="23" t="str">
        <f>INDEX(KPI_Master!$K:$K,MATCH($A77,KPI_Master!$A:$A,0))</f>
        <v>2 - Standard</v>
      </c>
      <c r="E77" s="24" t="s">
        <v>991</v>
      </c>
      <c r="F77" s="23" t="str">
        <f>INDEX(Common_Formula_Elements!$B:$B,MATCH($E77,Common_Formula_Elements!$A:$A,0))</f>
        <v>Balance Sheet Balances</v>
      </c>
      <c r="G77" s="21" t="str">
        <f>INDEX(Common_Formula_Elements!$G:$G,MATCH($E77,Common_Formula_Elements!$A:$A,0))</f>
        <v>D03</v>
      </c>
      <c r="H77" s="23" t="str">
        <f>INDEX(Minimum_Documents!$B:$B,MATCH($G77,Minimum_Documents!$A:$A,0))</f>
        <v>Monthly Financial Statement Package - consolidated (P&amp;L with budget, balance sheet, cash flow, trial balance; no department split needed)</v>
      </c>
    </row>
    <row r="78" spans="1:8" ht="42.75" customHeight="1">
      <c r="A78" s="21">
        <v>38</v>
      </c>
      <c r="B78" s="23" t="str">
        <f>INDEX(KPI_Master!$B:$B,MATCH($A78,KPI_Master!$A:$A,0))</f>
        <v>FINA-33</v>
      </c>
      <c r="C78" s="23" t="str">
        <f>INDEX(KPI_Master!$D:$D,MATCH($A78,KPI_Master!$A:$A,0))</f>
        <v>Current Return on Investment (Unleveraged)</v>
      </c>
      <c r="D78" s="23" t="str">
        <f>INDEX(KPI_Master!$K:$K,MATCH($A78,KPI_Master!$A:$A,0))</f>
        <v>3 - Optional</v>
      </c>
      <c r="E78" s="24" t="s">
        <v>972</v>
      </c>
      <c r="F78" s="23" t="str">
        <f>INDEX(Common_Formula_Elements!$B:$B,MATCH($E78,Common_Formula_Elements!$A:$A,0))</f>
        <v>Total Revenue / Operating Revenue</v>
      </c>
      <c r="G78" s="21" t="str">
        <f>INDEX(Common_Formula_Elements!$G:$G,MATCH($E78,Common_Formula_Elements!$A:$A,0))</f>
        <v>D03</v>
      </c>
      <c r="H78" s="23" t="str">
        <f>INDEX(Minimum_Documents!$B:$B,MATCH($G78,Minimum_Documents!$A:$A,0))</f>
        <v>Monthly Financial Statement Package - consolidated (P&amp;L with budget, balance sheet, cash flow, trial balance; no department split needed)</v>
      </c>
    </row>
    <row r="79" spans="1:8" ht="42.75" customHeight="1">
      <c r="A79" s="21">
        <v>38</v>
      </c>
      <c r="B79" s="23" t="str">
        <f>INDEX(KPI_Master!$B:$B,MATCH($A79,KPI_Master!$A:$A,0))</f>
        <v>FINA-33</v>
      </c>
      <c r="C79" s="23" t="str">
        <f>INDEX(KPI_Master!$D:$D,MATCH($A79,KPI_Master!$A:$A,0))</f>
        <v>Current Return on Investment (Unleveraged)</v>
      </c>
      <c r="D79" s="23" t="str">
        <f>INDEX(KPI_Master!$K:$K,MATCH($A79,KPI_Master!$A:$A,0))</f>
        <v>3 - Optional</v>
      </c>
      <c r="E79" s="24" t="s">
        <v>976</v>
      </c>
      <c r="F79" s="23" t="str">
        <f>INDEX(Common_Formula_Elements!$B:$B,MATCH($E79,Common_Formula_Elements!$A:$A,0))</f>
        <v>Total Operating Expense</v>
      </c>
      <c r="G79" s="21" t="str">
        <f>INDEX(Common_Formula_Elements!$G:$G,MATCH($E79,Common_Formula_Elements!$A:$A,0))</f>
        <v>D03</v>
      </c>
      <c r="H79" s="23" t="str">
        <f>INDEX(Minimum_Documents!$B:$B,MATCH($G79,Minimum_Documents!$A:$A,0))</f>
        <v>Monthly Financial Statement Package - consolidated (P&amp;L with budget, balance sheet, cash flow, trial balance; no department split needed)</v>
      </c>
    </row>
    <row r="80" spans="1:8" ht="42.75" customHeight="1">
      <c r="A80" s="21">
        <v>38</v>
      </c>
      <c r="B80" s="23" t="str">
        <f>INDEX(KPI_Master!$B:$B,MATCH($A80,KPI_Master!$A:$A,0))</f>
        <v>FINA-33</v>
      </c>
      <c r="C80" s="23" t="str">
        <f>INDEX(KPI_Master!$D:$D,MATCH($A80,KPI_Master!$A:$A,0))</f>
        <v>Current Return on Investment (Unleveraged)</v>
      </c>
      <c r="D80" s="23" t="str">
        <f>INDEX(KPI_Master!$K:$K,MATCH($A80,KPI_Master!$A:$A,0))</f>
        <v>3 - Optional</v>
      </c>
      <c r="E80" s="24" t="s">
        <v>991</v>
      </c>
      <c r="F80" s="23" t="str">
        <f>INDEX(Common_Formula_Elements!$B:$B,MATCH($E80,Common_Formula_Elements!$A:$A,0))</f>
        <v>Balance Sheet Balances</v>
      </c>
      <c r="G80" s="21" t="str">
        <f>INDEX(Common_Formula_Elements!$G:$G,MATCH($E80,Common_Formula_Elements!$A:$A,0))</f>
        <v>D03</v>
      </c>
      <c r="H80" s="23" t="str">
        <f>INDEX(Minimum_Documents!$B:$B,MATCH($G80,Minimum_Documents!$A:$A,0))</f>
        <v>Monthly Financial Statement Package - consolidated (P&amp;L with budget, balance sheet, cash flow, trial balance; no department split needed)</v>
      </c>
    </row>
    <row r="81" spans="1:8" ht="42.75" customHeight="1">
      <c r="A81" s="21">
        <v>39</v>
      </c>
      <c r="B81" s="23" t="str">
        <f>INDEX(KPI_Master!$B:$B,MATCH($A81,KPI_Master!$A:$A,0))</f>
        <v>FINA-34</v>
      </c>
      <c r="C81" s="23" t="str">
        <f>INDEX(KPI_Master!$D:$D,MATCH($A81,KPI_Master!$A:$A,0))</f>
        <v>Property &amp; Liability Insurance Cost per Available Unit</v>
      </c>
      <c r="D81" s="23" t="str">
        <f>INDEX(KPI_Master!$K:$K,MATCH($A81,KPI_Master!$A:$A,0))</f>
        <v>3 - Optional</v>
      </c>
      <c r="E81" s="24" t="s">
        <v>979</v>
      </c>
      <c r="F81" s="23" t="str">
        <f>INDEX(Common_Formula_Elements!$B:$B,MATCH($E81,Common_Formula_Elements!$A:$A,0))</f>
        <v>Account-Level Expense Lines</v>
      </c>
      <c r="G81" s="21" t="str">
        <f>INDEX(Common_Formula_Elements!$G:$G,MATCH($E81,Common_Formula_Elements!$A:$A,0))</f>
        <v>D03</v>
      </c>
      <c r="H81" s="23" t="str">
        <f>INDEX(Minimum_Documents!$B:$B,MATCH($G81,Minimum_Documents!$A:$A,0))</f>
        <v>Monthly Financial Statement Package - consolidated (P&amp;L with budget, balance sheet, cash flow, trial balance; no department split needed)</v>
      </c>
    </row>
    <row r="82" spans="1:8" ht="28.5" customHeight="1">
      <c r="A82" s="21">
        <v>39</v>
      </c>
      <c r="B82" s="23" t="str">
        <f>INDEX(KPI_Master!$B:$B,MATCH($A82,KPI_Master!$A:$A,0))</f>
        <v>FINA-34</v>
      </c>
      <c r="C82" s="23" t="str">
        <f>INDEX(KPI_Master!$D:$D,MATCH($A82,KPI_Master!$A:$A,0))</f>
        <v>Property &amp; Liability Insurance Cost per Available Unit</v>
      </c>
      <c r="D82" s="23" t="str">
        <f>INDEX(KPI_Master!$K:$K,MATCH($A82,KPI_Master!$A:$A,0))</f>
        <v>3 - Optional</v>
      </c>
      <c r="E82" s="24" t="s">
        <v>959</v>
      </c>
      <c r="F82" s="23" t="str">
        <f>INDEX(Common_Formula_Elements!$B:$B,MATCH($E82,Common_Formula_Elements!$A:$A,0))</f>
        <v>Total Available Units / Licensed Beds</v>
      </c>
      <c r="G82" s="21" t="str">
        <f>INDEX(Common_Formula_Elements!$G:$G,MATCH($E82,Common_Formula_Elements!$A:$A,0))</f>
        <v>D02</v>
      </c>
      <c r="H82" s="23" t="str">
        <f>INDEX(Minimum_Documents!$B:$B,MATCH($G82,Minimum_Documents!$A:$A,0))</f>
        <v>Property &amp; Unit Master Schedule</v>
      </c>
    </row>
    <row r="83" spans="1:8" ht="42.75" customHeight="1">
      <c r="A83" s="21">
        <v>40</v>
      </c>
      <c r="B83" s="23" t="str">
        <f>INDEX(KPI_Master!$B:$B,MATCH($A83,KPI_Master!$A:$A,0))</f>
        <v>FINA-35</v>
      </c>
      <c r="C83" s="23" t="str">
        <f>INDEX(KPI_Master!$D:$D,MATCH($A83,KPI_Master!$A:$A,0))</f>
        <v>Professional Liability Insurance Cost per Available Unit</v>
      </c>
      <c r="D83" s="23" t="str">
        <f>INDEX(KPI_Master!$K:$K,MATCH($A83,KPI_Master!$A:$A,0))</f>
        <v>3 - Optional</v>
      </c>
      <c r="E83" s="24" t="s">
        <v>979</v>
      </c>
      <c r="F83" s="23" t="str">
        <f>INDEX(Common_Formula_Elements!$B:$B,MATCH($E83,Common_Formula_Elements!$A:$A,0))</f>
        <v>Account-Level Expense Lines</v>
      </c>
      <c r="G83" s="21" t="str">
        <f>INDEX(Common_Formula_Elements!$G:$G,MATCH($E83,Common_Formula_Elements!$A:$A,0))</f>
        <v>D03</v>
      </c>
      <c r="H83" s="23" t="str">
        <f>INDEX(Minimum_Documents!$B:$B,MATCH($G83,Minimum_Documents!$A:$A,0))</f>
        <v>Monthly Financial Statement Package - consolidated (P&amp;L with budget, balance sheet, cash flow, trial balance; no department split needed)</v>
      </c>
    </row>
    <row r="84" spans="1:8" ht="28.5" customHeight="1">
      <c r="A84" s="21">
        <v>40</v>
      </c>
      <c r="B84" s="23" t="str">
        <f>INDEX(KPI_Master!$B:$B,MATCH($A84,KPI_Master!$A:$A,0))</f>
        <v>FINA-35</v>
      </c>
      <c r="C84" s="23" t="str">
        <f>INDEX(KPI_Master!$D:$D,MATCH($A84,KPI_Master!$A:$A,0))</f>
        <v>Professional Liability Insurance Cost per Available Unit</v>
      </c>
      <c r="D84" s="23" t="str">
        <f>INDEX(KPI_Master!$K:$K,MATCH($A84,KPI_Master!$A:$A,0))</f>
        <v>3 - Optional</v>
      </c>
      <c r="E84" s="24" t="s">
        <v>959</v>
      </c>
      <c r="F84" s="23" t="str">
        <f>INDEX(Common_Formula_Elements!$B:$B,MATCH($E84,Common_Formula_Elements!$A:$A,0))</f>
        <v>Total Available Units / Licensed Beds</v>
      </c>
      <c r="G84" s="21" t="str">
        <f>INDEX(Common_Formula_Elements!$G:$G,MATCH($E84,Common_Formula_Elements!$A:$A,0))</f>
        <v>D02</v>
      </c>
      <c r="H84" s="23" t="str">
        <f>INDEX(Minimum_Documents!$B:$B,MATCH($G84,Minimum_Documents!$A:$A,0))</f>
        <v>Property &amp; Unit Master Schedule</v>
      </c>
    </row>
    <row r="85" spans="1:8" ht="28.5" customHeight="1">
      <c r="A85" s="21">
        <v>41</v>
      </c>
      <c r="B85" s="23" t="str">
        <f>INDEX(KPI_Master!$B:$B,MATCH($A85,KPI_Master!$A:$A,0))</f>
        <v>FINA-36</v>
      </c>
      <c r="C85" s="23" t="str">
        <f>INDEX(KPI_Master!$D:$D,MATCH($A85,KPI_Master!$A:$A,0))</f>
        <v>Average Level-of-Care Fee per AL / MC Resident</v>
      </c>
      <c r="D85" s="23" t="str">
        <f>INDEX(KPI_Master!$K:$K,MATCH($A85,KPI_Master!$A:$A,0))</f>
        <v>2 - Standard</v>
      </c>
      <c r="E85" s="24" t="s">
        <v>1000</v>
      </c>
      <c r="F85" s="23" t="str">
        <f>INDEX(Common_Formula_Elements!$B:$B,MATCH($E85,Common_Formula_Elements!$A:$A,0))</f>
        <v>Resident Revenue Detail</v>
      </c>
      <c r="G85" s="21" t="str">
        <f>INDEX(Common_Formula_Elements!$G:$G,MATCH($E85,Common_Formula_Elements!$A:$A,0))</f>
        <v>D04</v>
      </c>
      <c r="H85" s="23" t="str">
        <f>INDEX(Minimum_Documents!$B:$B,MATCH($G85,Minimum_Documents!$A:$A,0))</f>
        <v>Resident Billing Register / Rent Roll (by resident, payer and charge code)</v>
      </c>
    </row>
    <row r="86" spans="1:8">
      <c r="A86" s="21">
        <v>41</v>
      </c>
      <c r="B86" s="23" t="str">
        <f>INDEX(KPI_Master!$B:$B,MATCH($A86,KPI_Master!$A:$A,0))</f>
        <v>FINA-36</v>
      </c>
      <c r="C86" s="23" t="str">
        <f>INDEX(KPI_Master!$D:$D,MATCH($A86,KPI_Master!$A:$A,0))</f>
        <v>Average Level-of-Care Fee per AL / MC Resident</v>
      </c>
      <c r="D86" s="23" t="str">
        <f>INDEX(KPI_Master!$K:$K,MATCH($A86,KPI_Master!$A:$A,0))</f>
        <v>2 - Standard</v>
      </c>
      <c r="E86" s="24" t="s">
        <v>944</v>
      </c>
      <c r="F86" s="23" t="str">
        <f>INDEX(Common_Formula_Elements!$B:$B,MATCH($E86,Common_Formula_Elements!$A:$A,0))</f>
        <v>Census by Level of Care (AL / MC / SNF)</v>
      </c>
      <c r="G86" s="21" t="str">
        <f>INDEX(Common_Formula_Elements!$G:$G,MATCH($E86,Common_Formula_Elements!$A:$A,0))</f>
        <v>D01</v>
      </c>
      <c r="H86" s="23" t="str">
        <f>INDEX(Minimum_Documents!$B:$B,MATCH($G86,Minimum_Documents!$A:$A,0))</f>
        <v>Census &amp; ADT Register</v>
      </c>
    </row>
    <row r="87" spans="1:8">
      <c r="A87" s="21">
        <v>42</v>
      </c>
      <c r="B87" s="23" t="str">
        <f>INDEX(KPI_Master!$B:$B,MATCH($A87,KPI_Master!$A:$A,0))</f>
        <v>HOUL-11</v>
      </c>
      <c r="C87" s="23" t="str">
        <f>INDEX(KPI_Master!$D:$D,MATCH($A87,KPI_Master!$A:$A,0))</f>
        <v>Square Feet per Housekeeping FTE</v>
      </c>
      <c r="D87" s="23" t="str">
        <f>INDEX(KPI_Master!$K:$K,MATCH($A87,KPI_Master!$A:$A,0))</f>
        <v>3 - Optional</v>
      </c>
      <c r="E87" s="24" t="s">
        <v>963</v>
      </c>
      <c r="F87" s="23" t="str">
        <f>INDEX(Common_Formula_Elements!$B:$B,MATCH($E87,Common_Formula_Elements!$A:$A,0))</f>
        <v>Square Footage (building / cleanable)</v>
      </c>
      <c r="G87" s="21" t="str">
        <f>INDEX(Common_Formula_Elements!$G:$G,MATCH($E87,Common_Formula_Elements!$A:$A,0))</f>
        <v>D02</v>
      </c>
      <c r="H87" s="23" t="str">
        <f>INDEX(Minimum_Documents!$B:$B,MATCH($G87,Minimum_Documents!$A:$A,0))</f>
        <v>Property &amp; Unit Master Schedule</v>
      </c>
    </row>
    <row r="88" spans="1:8" ht="28.5" customHeight="1">
      <c r="A88" s="21">
        <v>42</v>
      </c>
      <c r="B88" s="23" t="str">
        <f>INDEX(KPI_Master!$B:$B,MATCH($A88,KPI_Master!$A:$A,0))</f>
        <v>HOUL-11</v>
      </c>
      <c r="C88" s="23" t="str">
        <f>INDEX(KPI_Master!$D:$D,MATCH($A88,KPI_Master!$A:$A,0))</f>
        <v>Square Feet per Housekeeping FTE</v>
      </c>
      <c r="D88" s="23" t="str">
        <f>INDEX(KPI_Master!$K:$K,MATCH($A88,KPI_Master!$A:$A,0))</f>
        <v>3 - Optional</v>
      </c>
      <c r="E88" s="24" t="s">
        <v>1015</v>
      </c>
      <c r="F88" s="23" t="str">
        <f>INDEX(Common_Formula_Elements!$B:$B,MATCH($E88,Common_Formula_Elements!$A:$A,0))</f>
        <v>FTEs by Department</v>
      </c>
      <c r="G88" s="21" t="str">
        <f>INDEX(Common_Formula_Elements!$G:$G,MATCH($E88,Common_Formula_Elements!$A:$A,0))</f>
        <v>D06</v>
      </c>
      <c r="H88" s="23" t="str">
        <f>INDEX(Minimum_Documents!$B:$B,MATCH($G88,Minimum_Documents!$A:$A,0))</f>
        <v>Payroll Register (hours and wages by employee, job class and department)</v>
      </c>
    </row>
    <row r="89" spans="1:8">
      <c r="A89" s="21">
        <v>43</v>
      </c>
      <c r="B89" s="23" t="str">
        <f>INDEX(KPI_Master!$B:$B,MATCH($A89,KPI_Master!$A:$A,0))</f>
        <v>HOUL-12</v>
      </c>
      <c r="C89" s="23" t="str">
        <f>INDEX(KPI_Master!$D:$D,MATCH($A89,KPI_Master!$A:$A,0))</f>
        <v>Laundry Pounds per Labor Hour</v>
      </c>
      <c r="D89" s="23" t="str">
        <f>INDEX(KPI_Master!$K:$K,MATCH($A89,KPI_Master!$A:$A,0))</f>
        <v>3 - Optional</v>
      </c>
      <c r="E89" s="24" t="s">
        <v>1091</v>
      </c>
      <c r="F89" s="23" t="str">
        <f>INDEX(Common_Formula_Elements!$B:$B,MATCH($E89,Common_Formula_Elements!$A:$A,0))</f>
        <v>Laundry Pounds Processed</v>
      </c>
      <c r="G89" s="21" t="str">
        <f>INDEX(Common_Formula_Elements!$G:$G,MATCH($E89,Common_Formula_Elements!$A:$A,0))</f>
        <v>D23</v>
      </c>
      <c r="H89" s="23" t="str">
        <f>INDEX(Minimum_Documents!$B:$B,MATCH($G89,Minimum_Documents!$A:$A,0))</f>
        <v>Laundry Weight Log</v>
      </c>
    </row>
    <row r="90" spans="1:8" ht="28.5" customHeight="1">
      <c r="A90" s="21">
        <v>43</v>
      </c>
      <c r="B90" s="23" t="str">
        <f>INDEX(KPI_Master!$B:$B,MATCH($A90,KPI_Master!$A:$A,0))</f>
        <v>HOUL-12</v>
      </c>
      <c r="C90" s="23" t="str">
        <f>INDEX(KPI_Master!$D:$D,MATCH($A90,KPI_Master!$A:$A,0))</f>
        <v>Laundry Pounds per Labor Hour</v>
      </c>
      <c r="D90" s="23" t="str">
        <f>INDEX(KPI_Master!$K:$K,MATCH($A90,KPI_Master!$A:$A,0))</f>
        <v>3 - Optional</v>
      </c>
      <c r="E90" s="24" t="s">
        <v>1008</v>
      </c>
      <c r="F90" s="23" t="str">
        <f>INDEX(Common_Formula_Elements!$B:$B,MATCH($E90,Common_Formula_Elements!$A:$A,0))</f>
        <v>Hours Worked (regular / OT, by department &amp; job class)</v>
      </c>
      <c r="G90" s="21" t="str">
        <f>INDEX(Common_Formula_Elements!$G:$G,MATCH($E90,Common_Formula_Elements!$A:$A,0))</f>
        <v>D06</v>
      </c>
      <c r="H90" s="23" t="str">
        <f>INDEX(Minimum_Documents!$B:$B,MATCH($G90,Minimum_Documents!$A:$A,0))</f>
        <v>Payroll Register (hours and wages by employee, job class and department)</v>
      </c>
    </row>
    <row r="91" spans="1:8" ht="28.5" customHeight="1">
      <c r="A91" s="21">
        <v>44</v>
      </c>
      <c r="B91" s="23" t="str">
        <f>INDEX(KPI_Master!$B:$B,MATCH($A91,KPI_Master!$A:$A,0))</f>
        <v>HRP-01</v>
      </c>
      <c r="C91" s="23" t="str">
        <f>INDEX(KPI_Master!$D:$D,MATCH($A91,KPI_Master!$A:$A,0))</f>
        <v>Voluntary Turnover Rate</v>
      </c>
      <c r="D91" s="23" t="str">
        <f>INDEX(KPI_Master!$K:$K,MATCH($A91,KPI_Master!$A:$A,0))</f>
        <v>2 - Standard</v>
      </c>
      <c r="E91" s="24" t="s">
        <v>1026</v>
      </c>
      <c r="F91" s="23" t="str">
        <f>INDEX(Common_Formula_Elements!$B:$B,MATCH($E91,Common_Formula_Elements!$A:$A,0))</f>
        <v>Separations</v>
      </c>
      <c r="G91" s="21" t="str">
        <f>INDEX(Common_Formula_Elements!$G:$G,MATCH($E91,Common_Formula_Elements!$A:$A,0))</f>
        <v>D08</v>
      </c>
      <c r="H91" s="23" t="str">
        <f>INDEX(Minimum_Documents!$B:$B,MATCH($G91,Minimum_Documents!$A:$A,0))</f>
        <v>HRIS Employee Roster &amp; Movement Report (headcount, hires, separations)</v>
      </c>
    </row>
    <row r="92" spans="1:8" ht="28.5" customHeight="1">
      <c r="A92" s="21">
        <v>44</v>
      </c>
      <c r="B92" s="23" t="str">
        <f>INDEX(KPI_Master!$B:$B,MATCH($A92,KPI_Master!$A:$A,0))</f>
        <v>HRP-01</v>
      </c>
      <c r="C92" s="23" t="str">
        <f>INDEX(KPI_Master!$D:$D,MATCH($A92,KPI_Master!$A:$A,0))</f>
        <v>Voluntary Turnover Rate</v>
      </c>
      <c r="D92" s="23" t="str">
        <f>INDEX(KPI_Master!$K:$K,MATCH($A92,KPI_Master!$A:$A,0))</f>
        <v>2 - Standard</v>
      </c>
      <c r="E92" s="24" t="s">
        <v>1022</v>
      </c>
      <c r="F92" s="23" t="str">
        <f>INDEX(Common_Formula_Elements!$B:$B,MATCH($E92,Common_Formula_Elements!$A:$A,0))</f>
        <v>Employee Headcount</v>
      </c>
      <c r="G92" s="21" t="str">
        <f>INDEX(Common_Formula_Elements!$G:$G,MATCH($E92,Common_Formula_Elements!$A:$A,0))</f>
        <v>D08</v>
      </c>
      <c r="H92" s="23" t="str">
        <f>INDEX(Minimum_Documents!$B:$B,MATCH($G92,Minimum_Documents!$A:$A,0))</f>
        <v>HRIS Employee Roster &amp; Movement Report (headcount, hires, separations)</v>
      </c>
    </row>
    <row r="93" spans="1:8" ht="28.5" customHeight="1">
      <c r="A93" s="21">
        <v>45</v>
      </c>
      <c r="B93" s="23" t="str">
        <f>INDEX(KPI_Master!$B:$B,MATCH($A93,KPI_Master!$A:$A,0))</f>
        <v>HRP-02</v>
      </c>
      <c r="C93" s="23" t="str">
        <f>INDEX(KPI_Master!$D:$D,MATCH($A93,KPI_Master!$A:$A,0))</f>
        <v>Total Turnover Rate</v>
      </c>
      <c r="D93" s="23" t="str">
        <f>INDEX(KPI_Master!$K:$K,MATCH($A93,KPI_Master!$A:$A,0))</f>
        <v>1 - Core</v>
      </c>
      <c r="E93" s="24" t="s">
        <v>1026</v>
      </c>
      <c r="F93" s="23" t="str">
        <f>INDEX(Common_Formula_Elements!$B:$B,MATCH($E93,Common_Formula_Elements!$A:$A,0))</f>
        <v>Separations</v>
      </c>
      <c r="G93" s="21" t="str">
        <f>INDEX(Common_Formula_Elements!$G:$G,MATCH($E93,Common_Formula_Elements!$A:$A,0))</f>
        <v>D08</v>
      </c>
      <c r="H93" s="23" t="str">
        <f>INDEX(Minimum_Documents!$B:$B,MATCH($G93,Minimum_Documents!$A:$A,0))</f>
        <v>HRIS Employee Roster &amp; Movement Report (headcount, hires, separations)</v>
      </c>
    </row>
    <row r="94" spans="1:8" ht="28.5" customHeight="1">
      <c r="A94" s="21">
        <v>45</v>
      </c>
      <c r="B94" s="23" t="str">
        <f>INDEX(KPI_Master!$B:$B,MATCH($A94,KPI_Master!$A:$A,0))</f>
        <v>HRP-02</v>
      </c>
      <c r="C94" s="23" t="str">
        <f>INDEX(KPI_Master!$D:$D,MATCH($A94,KPI_Master!$A:$A,0))</f>
        <v>Total Turnover Rate</v>
      </c>
      <c r="D94" s="23" t="str">
        <f>INDEX(KPI_Master!$K:$K,MATCH($A94,KPI_Master!$A:$A,0))</f>
        <v>1 - Core</v>
      </c>
      <c r="E94" s="24" t="s">
        <v>1022</v>
      </c>
      <c r="F94" s="23" t="str">
        <f>INDEX(Common_Formula_Elements!$B:$B,MATCH($E94,Common_Formula_Elements!$A:$A,0))</f>
        <v>Employee Headcount</v>
      </c>
      <c r="G94" s="21" t="str">
        <f>INDEX(Common_Formula_Elements!$G:$G,MATCH($E94,Common_Formula_Elements!$A:$A,0))</f>
        <v>D08</v>
      </c>
      <c r="H94" s="23" t="str">
        <f>INDEX(Minimum_Documents!$B:$B,MATCH($G94,Minimum_Documents!$A:$A,0))</f>
        <v>HRIS Employee Roster &amp; Movement Report (headcount, hires, separations)</v>
      </c>
    </row>
    <row r="95" spans="1:8" ht="28.5" customHeight="1">
      <c r="A95" s="21">
        <v>46</v>
      </c>
      <c r="B95" s="23" t="str">
        <f>INDEX(KPI_Master!$B:$B,MATCH($A95,KPI_Master!$A:$A,0))</f>
        <v>HRP-03</v>
      </c>
      <c r="C95" s="23" t="str">
        <f>INDEX(KPI_Master!$D:$D,MATCH($A95,KPI_Master!$A:$A,0))</f>
        <v>90-Day New Hire Retention Rate</v>
      </c>
      <c r="D95" s="23" t="str">
        <f>INDEX(KPI_Master!$K:$K,MATCH($A95,KPI_Master!$A:$A,0))</f>
        <v>1 - Core</v>
      </c>
      <c r="E95" s="24" t="s">
        <v>1029</v>
      </c>
      <c r="F95" s="23" t="str">
        <f>INDEX(Common_Formula_Elements!$B:$B,MATCH($E95,Common_Formula_Elements!$A:$A,0))</f>
        <v>New Hires</v>
      </c>
      <c r="G95" s="21" t="str">
        <f>INDEX(Common_Formula_Elements!$G:$G,MATCH($E95,Common_Formula_Elements!$A:$A,0))</f>
        <v>D08</v>
      </c>
      <c r="H95" s="23" t="str">
        <f>INDEX(Minimum_Documents!$B:$B,MATCH($G95,Minimum_Documents!$A:$A,0))</f>
        <v>HRIS Employee Roster &amp; Movement Report (headcount, hires, separations)</v>
      </c>
    </row>
    <row r="96" spans="1:8" ht="28.5" customHeight="1">
      <c r="A96" s="21">
        <v>46</v>
      </c>
      <c r="B96" s="23" t="str">
        <f>INDEX(KPI_Master!$B:$B,MATCH($A96,KPI_Master!$A:$A,0))</f>
        <v>HRP-03</v>
      </c>
      <c r="C96" s="23" t="str">
        <f>INDEX(KPI_Master!$D:$D,MATCH($A96,KPI_Master!$A:$A,0))</f>
        <v>90-Day New Hire Retention Rate</v>
      </c>
      <c r="D96" s="23" t="str">
        <f>INDEX(KPI_Master!$K:$K,MATCH($A96,KPI_Master!$A:$A,0))</f>
        <v>1 - Core</v>
      </c>
      <c r="E96" s="24" t="s">
        <v>1026</v>
      </c>
      <c r="F96" s="23" t="str">
        <f>INDEX(Common_Formula_Elements!$B:$B,MATCH($E96,Common_Formula_Elements!$A:$A,0))</f>
        <v>Separations</v>
      </c>
      <c r="G96" s="21" t="str">
        <f>INDEX(Common_Formula_Elements!$G:$G,MATCH($E96,Common_Formula_Elements!$A:$A,0))</f>
        <v>D08</v>
      </c>
      <c r="H96" s="23" t="str">
        <f>INDEX(Minimum_Documents!$B:$B,MATCH($G96,Minimum_Documents!$A:$A,0))</f>
        <v>HRIS Employee Roster &amp; Movement Report (headcount, hires, separations)</v>
      </c>
    </row>
    <row r="97" spans="1:8" ht="28.5" customHeight="1">
      <c r="A97" s="21">
        <v>47</v>
      </c>
      <c r="B97" s="23" t="str">
        <f>INDEX(KPI_Master!$B:$B,MATCH($A97,KPI_Master!$A:$A,0))</f>
        <v>HRP-04</v>
      </c>
      <c r="C97" s="23" t="str">
        <f>INDEX(KPI_Master!$D:$D,MATCH($A97,KPI_Master!$A:$A,0))</f>
        <v>Open Position Vacancy Rate</v>
      </c>
      <c r="D97" s="23" t="str">
        <f>INDEX(KPI_Master!$K:$K,MATCH($A97,KPI_Master!$A:$A,0))</f>
        <v>2 - Standard</v>
      </c>
      <c r="E97" s="24" t="s">
        <v>1032</v>
      </c>
      <c r="F97" s="23" t="str">
        <f>INDEX(Common_Formula_Elements!$B:$B,MATCH($E97,Common_Formula_Elements!$A:$A,0))</f>
        <v>Budgeted Positions / Requisitions</v>
      </c>
      <c r="G97" s="21" t="str">
        <f>INDEX(Common_Formula_Elements!$G:$G,MATCH($E97,Common_Formula_Elements!$A:$A,0))</f>
        <v>D09</v>
      </c>
      <c r="H97" s="23" t="str">
        <f>INDEX(Minimum_Documents!$B:$B,MATCH($G97,Minimum_Documents!$A:$A,0))</f>
        <v>Position Control &amp; Requisition Report (budgeted positions, recommended FTE, open requisitions)</v>
      </c>
    </row>
    <row r="98" spans="1:8" ht="28.5" customHeight="1">
      <c r="A98" s="21">
        <v>48</v>
      </c>
      <c r="B98" s="23" t="str">
        <f>INDEX(KPI_Master!$B:$B,MATCH($A98,KPI_Master!$A:$A,0))</f>
        <v>HRP-05</v>
      </c>
      <c r="C98" s="23" t="str">
        <f>INDEX(KPI_Master!$D:$D,MATCH($A98,KPI_Master!$A:$A,0))</f>
        <v>Time to Fill</v>
      </c>
      <c r="D98" s="23" t="str">
        <f>INDEX(KPI_Master!$K:$K,MATCH($A98,KPI_Master!$A:$A,0))</f>
        <v>2 - Standard</v>
      </c>
      <c r="E98" s="24" t="s">
        <v>1032</v>
      </c>
      <c r="F98" s="23" t="str">
        <f>INDEX(Common_Formula_Elements!$B:$B,MATCH($E98,Common_Formula_Elements!$A:$A,0))</f>
        <v>Budgeted Positions / Requisitions</v>
      </c>
      <c r="G98" s="21" t="str">
        <f>INDEX(Common_Formula_Elements!$G:$G,MATCH($E98,Common_Formula_Elements!$A:$A,0))</f>
        <v>D09</v>
      </c>
      <c r="H98" s="23" t="str">
        <f>INDEX(Minimum_Documents!$B:$B,MATCH($G98,Minimum_Documents!$A:$A,0))</f>
        <v>Position Control &amp; Requisition Report (budgeted positions, recommended FTE, open requisitions)</v>
      </c>
    </row>
    <row r="99" spans="1:8" ht="28.5" customHeight="1">
      <c r="A99" s="21">
        <v>49</v>
      </c>
      <c r="B99" s="23" t="str">
        <f>INDEX(KPI_Master!$B:$B,MATCH($A99,KPI_Master!$A:$A,0))</f>
        <v>HRP-06</v>
      </c>
      <c r="C99" s="23" t="str">
        <f>INDEX(KPI_Master!$D:$D,MATCH($A99,KPI_Master!$A:$A,0))</f>
        <v>Overtime Hours as % of Total Hours</v>
      </c>
      <c r="D99" s="23" t="str">
        <f>INDEX(KPI_Master!$K:$K,MATCH($A99,KPI_Master!$A:$A,0))</f>
        <v>1 - Core</v>
      </c>
      <c r="E99" s="24" t="s">
        <v>1008</v>
      </c>
      <c r="F99" s="23" t="str">
        <f>INDEX(Common_Formula_Elements!$B:$B,MATCH($E99,Common_Formula_Elements!$A:$A,0))</f>
        <v>Hours Worked (regular / OT, by department &amp; job class)</v>
      </c>
      <c r="G99" s="21" t="str">
        <f>INDEX(Common_Formula_Elements!$G:$G,MATCH($E99,Common_Formula_Elements!$A:$A,0))</f>
        <v>D06</v>
      </c>
      <c r="H99" s="23" t="str">
        <f>INDEX(Minimum_Documents!$B:$B,MATCH($G99,Minimum_Documents!$A:$A,0))</f>
        <v>Payroll Register (hours and wages by employee, job class and department)</v>
      </c>
    </row>
    <row r="100" spans="1:8" ht="42.75" customHeight="1">
      <c r="A100" s="21">
        <v>50</v>
      </c>
      <c r="B100" s="23" t="str">
        <f>INDEX(KPI_Master!$B:$B,MATCH($A100,KPI_Master!$A:$A,0))</f>
        <v>HRP-07</v>
      </c>
      <c r="C100" s="23" t="str">
        <f>INDEX(KPI_Master!$D:$D,MATCH($A100,KPI_Master!$A:$A,0))</f>
        <v>Agency / Contract Labor as % of Labor Cost</v>
      </c>
      <c r="D100" s="23" t="str">
        <f>INDEX(KPI_Master!$K:$K,MATCH($A100,KPI_Master!$A:$A,0))</f>
        <v>1 - Core</v>
      </c>
      <c r="E100" s="24" t="s">
        <v>997</v>
      </c>
      <c r="F100" s="23" t="str">
        <f>INDEX(Common_Formula_Elements!$B:$B,MATCH($E100,Common_Formula_Elements!$A:$A,0))</f>
        <v>Labor Cost $ (wages, benefits, agency, WC premium)</v>
      </c>
      <c r="G100" s="21" t="str">
        <f>INDEX(Common_Formula_Elements!$G:$G,MATCH($E100,Common_Formula_Elements!$A:$A,0))</f>
        <v>D03</v>
      </c>
      <c r="H100" s="23" t="str">
        <f>INDEX(Minimum_Documents!$B:$B,MATCH($G100,Minimum_Documents!$A:$A,0))</f>
        <v>Monthly Financial Statement Package - consolidated (P&amp;L with budget, balance sheet, cash flow, trial balance; no department split needed)</v>
      </c>
    </row>
    <row r="101" spans="1:8" ht="28.5" customHeight="1">
      <c r="A101" s="21">
        <v>51</v>
      </c>
      <c r="B101" s="23" t="str">
        <f>INDEX(KPI_Master!$B:$B,MATCH($A101,KPI_Master!$A:$A,0))</f>
        <v>HRP-08</v>
      </c>
      <c r="C101" s="23" t="str">
        <f>INDEX(KPI_Master!$D:$D,MATCH($A101,KPI_Master!$A:$A,0))</f>
        <v>Absenteeism Rate</v>
      </c>
      <c r="D101" s="23" t="str">
        <f>INDEX(KPI_Master!$K:$K,MATCH($A101,KPI_Master!$A:$A,0))</f>
        <v>2 - Standard</v>
      </c>
      <c r="E101" s="24" t="s">
        <v>1018</v>
      </c>
      <c r="F101" s="23" t="str">
        <f>INDEX(Common_Formula_Elements!$B:$B,MATCH($E101,Common_Formula_Elements!$A:$A,0))</f>
        <v>Scheduled vs Worked by Day &amp; Shift</v>
      </c>
      <c r="G101" s="21" t="str">
        <f>INDEX(Common_Formula_Elements!$G:$G,MATCH($E101,Common_Formula_Elements!$A:$A,0))</f>
        <v>D07</v>
      </c>
      <c r="H101" s="23" t="str">
        <f>INDEX(Minimum_Documents!$B:$B,MATCH($G101,Minimum_Documents!$A:$A,0))</f>
        <v>Time &amp; Attendance / Scheduling Report (scheduled vs worked, by day and shift)</v>
      </c>
    </row>
    <row r="102" spans="1:8" ht="28.5" customHeight="1">
      <c r="A102" s="21">
        <v>52</v>
      </c>
      <c r="B102" s="23" t="str">
        <f>INDEX(KPI_Master!$B:$B,MATCH($A102,KPI_Master!$A:$A,0))</f>
        <v>HRP-10</v>
      </c>
      <c r="C102" s="23" t="str">
        <f>INDEX(KPI_Master!$D:$D,MATCH($A102,KPI_Master!$A:$A,0))</f>
        <v>Labor Hours per Resident Day</v>
      </c>
      <c r="D102" s="23" t="str">
        <f>INDEX(KPI_Master!$K:$K,MATCH($A102,KPI_Master!$A:$A,0))</f>
        <v>2 - Standard</v>
      </c>
      <c r="E102" s="24" t="s">
        <v>1008</v>
      </c>
      <c r="F102" s="23" t="str">
        <f>INDEX(Common_Formula_Elements!$B:$B,MATCH($E102,Common_Formula_Elements!$A:$A,0))</f>
        <v>Hours Worked (regular / OT, by department &amp; job class)</v>
      </c>
      <c r="G102" s="21" t="str">
        <f>INDEX(Common_Formula_Elements!$G:$G,MATCH($E102,Common_Formula_Elements!$A:$A,0))</f>
        <v>D06</v>
      </c>
      <c r="H102" s="23" t="str">
        <f>INDEX(Minimum_Documents!$B:$B,MATCH($G102,Minimum_Documents!$A:$A,0))</f>
        <v>Payroll Register (hours and wages by employee, job class and department)</v>
      </c>
    </row>
    <row r="103" spans="1:8">
      <c r="A103" s="21">
        <v>52</v>
      </c>
      <c r="B103" s="23" t="str">
        <f>INDEX(KPI_Master!$B:$B,MATCH($A103,KPI_Master!$A:$A,0))</f>
        <v>HRP-10</v>
      </c>
      <c r="C103" s="23" t="str">
        <f>INDEX(KPI_Master!$D:$D,MATCH($A103,KPI_Master!$A:$A,0))</f>
        <v>Labor Hours per Resident Day</v>
      </c>
      <c r="D103" s="23" t="str">
        <f>INDEX(KPI_Master!$K:$K,MATCH($A103,KPI_Master!$A:$A,0))</f>
        <v>2 - Standard</v>
      </c>
      <c r="E103" s="24" t="s">
        <v>928</v>
      </c>
      <c r="F103" s="23" t="str">
        <f>INDEX(Common_Formula_Elements!$B:$B,MATCH($E103,Common_Formula_Elements!$A:$A,0))</f>
        <v>Total Resident Days</v>
      </c>
      <c r="G103" s="21" t="str">
        <f>INDEX(Common_Formula_Elements!$G:$G,MATCH($E103,Common_Formula_Elements!$A:$A,0))</f>
        <v>D01</v>
      </c>
      <c r="H103" s="23" t="str">
        <f>INDEX(Minimum_Documents!$B:$B,MATCH($G103,Minimum_Documents!$A:$A,0))</f>
        <v>Census &amp; ADT Register</v>
      </c>
    </row>
    <row r="104" spans="1:8">
      <c r="A104" s="21">
        <v>53</v>
      </c>
      <c r="B104" s="23" t="str">
        <f>INDEX(KPI_Master!$B:$B,MATCH($A104,KPI_Master!$A:$A,0))</f>
        <v>HRP-12</v>
      </c>
      <c r="C104" s="23" t="str">
        <f>INDEX(KPI_Master!$D:$D,MATCH($A104,KPI_Master!$A:$A,0))</f>
        <v>Workers' Compensation Claim Rate</v>
      </c>
      <c r="D104" s="23" t="str">
        <f>INDEX(KPI_Master!$K:$K,MATCH($A104,KPI_Master!$A:$A,0))</f>
        <v>2 - Standard</v>
      </c>
      <c r="E104" s="24" t="s">
        <v>1036</v>
      </c>
      <c r="F104" s="23" t="str">
        <f>INDEX(Common_Formula_Elements!$B:$B,MATCH($E104,Common_Formula_Elements!$A:$A,0))</f>
        <v>Workers' Comp Claims</v>
      </c>
      <c r="G104" s="21" t="str">
        <f>INDEX(Common_Formula_Elements!$G:$G,MATCH($E104,Common_Formula_Elements!$A:$A,0))</f>
        <v>D10</v>
      </c>
      <c r="H104" s="23" t="str">
        <f>INDEX(Minimum_Documents!$B:$B,MATCH($G104,Minimum_Documents!$A:$A,0))</f>
        <v>Workers' Compensation Loss Run</v>
      </c>
    </row>
    <row r="105" spans="1:8" ht="28.5" customHeight="1">
      <c r="A105" s="21">
        <v>53</v>
      </c>
      <c r="B105" s="23" t="str">
        <f>INDEX(KPI_Master!$B:$B,MATCH($A105,KPI_Master!$A:$A,0))</f>
        <v>HRP-12</v>
      </c>
      <c r="C105" s="23" t="str">
        <f>INDEX(KPI_Master!$D:$D,MATCH($A105,KPI_Master!$A:$A,0))</f>
        <v>Workers' Compensation Claim Rate</v>
      </c>
      <c r="D105" s="23" t="str">
        <f>INDEX(KPI_Master!$K:$K,MATCH($A105,KPI_Master!$A:$A,0))</f>
        <v>2 - Standard</v>
      </c>
      <c r="E105" s="24" t="s">
        <v>1022</v>
      </c>
      <c r="F105" s="23" t="str">
        <f>INDEX(Common_Formula_Elements!$B:$B,MATCH($E105,Common_Formula_Elements!$A:$A,0))</f>
        <v>Employee Headcount</v>
      </c>
      <c r="G105" s="21" t="str">
        <f>INDEX(Common_Formula_Elements!$G:$G,MATCH($E105,Common_Formula_Elements!$A:$A,0))</f>
        <v>D08</v>
      </c>
      <c r="H105" s="23" t="str">
        <f>INDEX(Minimum_Documents!$B:$B,MATCH($G105,Minimum_Documents!$A:$A,0))</f>
        <v>HRIS Employee Roster &amp; Movement Report (headcount, hires, separations)</v>
      </c>
    </row>
    <row r="106" spans="1:8" ht="28.5" customHeight="1">
      <c r="A106" s="21">
        <v>54</v>
      </c>
      <c r="B106" s="23" t="str">
        <f>INDEX(KPI_Master!$B:$B,MATCH($A106,KPI_Master!$A:$A,0))</f>
        <v>HRP-14</v>
      </c>
      <c r="C106" s="23" t="str">
        <f>INDEX(KPI_Master!$D:$D,MATCH($A106,KPI_Master!$A:$A,0))</f>
        <v>Employee Engagement / Satisfaction Score</v>
      </c>
      <c r="D106" s="23" t="str">
        <f>INDEX(KPI_Master!$K:$K,MATCH($A106,KPI_Master!$A:$A,0))</f>
        <v>3 - Optional</v>
      </c>
      <c r="E106" s="24" t="s">
        <v>1044</v>
      </c>
      <c r="F106" s="23" t="str">
        <f>INDEX(Common_Formula_Elements!$B:$B,MATCH($E106,Common_Formula_Elements!$A:$A,0))</f>
        <v>Survey Ratings &amp; Response Counts</v>
      </c>
      <c r="G106" s="21" t="str">
        <f>INDEX(Common_Formula_Elements!$G:$G,MATCH($E106,Common_Formula_Elements!$A:$A,0))</f>
        <v>D12</v>
      </c>
      <c r="H106" s="23" t="str">
        <f>INDEX(Minimum_Documents!$B:$B,MATCH($G106,Minimum_Documents!$A:$A,0))</f>
        <v>Satisfaction &amp; Engagement Survey Results (resident, family, employee)</v>
      </c>
    </row>
    <row r="107" spans="1:8" ht="28.5" customHeight="1">
      <c r="A107" s="21">
        <v>55</v>
      </c>
      <c r="B107" s="23" t="str">
        <f>INDEX(KPI_Master!$B:$B,MATCH($A107,KPI_Master!$A:$A,0))</f>
        <v>HRP-17</v>
      </c>
      <c r="C107" s="23" t="str">
        <f>INDEX(KPI_Master!$D:$D,MATCH($A107,KPI_Master!$A:$A,0))</f>
        <v>Administrator Turnover</v>
      </c>
      <c r="D107" s="23" t="str">
        <f>INDEX(KPI_Master!$K:$K,MATCH($A107,KPI_Master!$A:$A,0))</f>
        <v>2 - Standard</v>
      </c>
      <c r="E107" s="24" t="s">
        <v>1026</v>
      </c>
      <c r="F107" s="23" t="str">
        <f>INDEX(Common_Formula_Elements!$B:$B,MATCH($E107,Common_Formula_Elements!$A:$A,0))</f>
        <v>Separations</v>
      </c>
      <c r="G107" s="21" t="str">
        <f>INDEX(Common_Formula_Elements!$G:$G,MATCH($E107,Common_Formula_Elements!$A:$A,0))</f>
        <v>D08</v>
      </c>
      <c r="H107" s="23" t="str">
        <f>INDEX(Minimum_Documents!$B:$B,MATCH($G107,Minimum_Documents!$A:$A,0))</f>
        <v>HRIS Employee Roster &amp; Movement Report (headcount, hires, separations)</v>
      </c>
    </row>
    <row r="108" spans="1:8" ht="28.5" customHeight="1">
      <c r="A108" s="21">
        <v>56</v>
      </c>
      <c r="B108" s="23" t="str">
        <f>INDEX(KPI_Master!$B:$B,MATCH($A108,KPI_Master!$A:$A,0))</f>
        <v>HRP-18</v>
      </c>
      <c r="C108" s="23" t="str">
        <f>INDEX(KPI_Master!$D:$D,MATCH($A108,KPI_Master!$A:$A,0))</f>
        <v>RN Average Hourly Wage</v>
      </c>
      <c r="D108" s="23" t="str">
        <f>INDEX(KPI_Master!$K:$K,MATCH($A108,KPI_Master!$A:$A,0))</f>
        <v>2 - Standard</v>
      </c>
      <c r="E108" s="24" t="s">
        <v>1012</v>
      </c>
      <c r="F108" s="23" t="str">
        <f>INDEX(Common_Formula_Elements!$B:$B,MATCH($E108,Common_Formula_Elements!$A:$A,0))</f>
        <v>Wages by Job Class / Department</v>
      </c>
      <c r="G108" s="21" t="str">
        <f>INDEX(Common_Formula_Elements!$G:$G,MATCH($E108,Common_Formula_Elements!$A:$A,0))</f>
        <v>D06</v>
      </c>
      <c r="H108" s="23" t="str">
        <f>INDEX(Minimum_Documents!$B:$B,MATCH($G108,Minimum_Documents!$A:$A,0))</f>
        <v>Payroll Register (hours and wages by employee, job class and department)</v>
      </c>
    </row>
    <row r="109" spans="1:8" ht="28.5" customHeight="1">
      <c r="A109" s="21">
        <v>56</v>
      </c>
      <c r="B109" s="23" t="str">
        <f>INDEX(KPI_Master!$B:$B,MATCH($A109,KPI_Master!$A:$A,0))</f>
        <v>HRP-18</v>
      </c>
      <c r="C109" s="23" t="str">
        <f>INDEX(KPI_Master!$D:$D,MATCH($A109,KPI_Master!$A:$A,0))</f>
        <v>RN Average Hourly Wage</v>
      </c>
      <c r="D109" s="23" t="str">
        <f>INDEX(KPI_Master!$K:$K,MATCH($A109,KPI_Master!$A:$A,0))</f>
        <v>2 - Standard</v>
      </c>
      <c r="E109" s="24" t="s">
        <v>1008</v>
      </c>
      <c r="F109" s="23" t="str">
        <f>INDEX(Common_Formula_Elements!$B:$B,MATCH($E109,Common_Formula_Elements!$A:$A,0))</f>
        <v>Hours Worked (regular / OT, by department &amp; job class)</v>
      </c>
      <c r="G109" s="21" t="str">
        <f>INDEX(Common_Formula_Elements!$G:$G,MATCH($E109,Common_Formula_Elements!$A:$A,0))</f>
        <v>D06</v>
      </c>
      <c r="H109" s="23" t="str">
        <f>INDEX(Minimum_Documents!$B:$B,MATCH($G109,Minimum_Documents!$A:$A,0))</f>
        <v>Payroll Register (hours and wages by employee, job class and department)</v>
      </c>
    </row>
    <row r="110" spans="1:8" ht="28.5" customHeight="1">
      <c r="A110" s="21">
        <v>57</v>
      </c>
      <c r="B110" s="23" t="str">
        <f>INDEX(KPI_Master!$B:$B,MATCH($A110,KPI_Master!$A:$A,0))</f>
        <v>HRP-19</v>
      </c>
      <c r="C110" s="23" t="str">
        <f>INDEX(KPI_Master!$D:$D,MATCH($A110,KPI_Master!$A:$A,0))</f>
        <v>LPN Average Hourly Wage</v>
      </c>
      <c r="D110" s="23" t="str">
        <f>INDEX(KPI_Master!$K:$K,MATCH($A110,KPI_Master!$A:$A,0))</f>
        <v>2 - Standard</v>
      </c>
      <c r="E110" s="24" t="s">
        <v>1012</v>
      </c>
      <c r="F110" s="23" t="str">
        <f>INDEX(Common_Formula_Elements!$B:$B,MATCH($E110,Common_Formula_Elements!$A:$A,0))</f>
        <v>Wages by Job Class / Department</v>
      </c>
      <c r="G110" s="21" t="str">
        <f>INDEX(Common_Formula_Elements!$G:$G,MATCH($E110,Common_Formula_Elements!$A:$A,0))</f>
        <v>D06</v>
      </c>
      <c r="H110" s="23" t="str">
        <f>INDEX(Minimum_Documents!$B:$B,MATCH($G110,Minimum_Documents!$A:$A,0))</f>
        <v>Payroll Register (hours and wages by employee, job class and department)</v>
      </c>
    </row>
    <row r="111" spans="1:8" ht="28.5" customHeight="1">
      <c r="A111" s="21">
        <v>57</v>
      </c>
      <c r="B111" s="23" t="str">
        <f>INDEX(KPI_Master!$B:$B,MATCH($A111,KPI_Master!$A:$A,0))</f>
        <v>HRP-19</v>
      </c>
      <c r="C111" s="23" t="str">
        <f>INDEX(KPI_Master!$D:$D,MATCH($A111,KPI_Master!$A:$A,0))</f>
        <v>LPN Average Hourly Wage</v>
      </c>
      <c r="D111" s="23" t="str">
        <f>INDEX(KPI_Master!$K:$K,MATCH($A111,KPI_Master!$A:$A,0))</f>
        <v>2 - Standard</v>
      </c>
      <c r="E111" s="24" t="s">
        <v>1008</v>
      </c>
      <c r="F111" s="23" t="str">
        <f>INDEX(Common_Formula_Elements!$B:$B,MATCH($E111,Common_Formula_Elements!$A:$A,0))</f>
        <v>Hours Worked (regular / OT, by department &amp; job class)</v>
      </c>
      <c r="G111" s="21" t="str">
        <f>INDEX(Common_Formula_Elements!$G:$G,MATCH($E111,Common_Formula_Elements!$A:$A,0))</f>
        <v>D06</v>
      </c>
      <c r="H111" s="23" t="str">
        <f>INDEX(Minimum_Documents!$B:$B,MATCH($G111,Minimum_Documents!$A:$A,0))</f>
        <v>Payroll Register (hours and wages by employee, job class and department)</v>
      </c>
    </row>
    <row r="112" spans="1:8" ht="28.5" customHeight="1">
      <c r="A112" s="21">
        <v>58</v>
      </c>
      <c r="B112" s="23" t="str">
        <f>INDEX(KPI_Master!$B:$B,MATCH($A112,KPI_Master!$A:$A,0))</f>
        <v>HRP-20</v>
      </c>
      <c r="C112" s="23" t="str">
        <f>INDEX(KPI_Master!$D:$D,MATCH($A112,KPI_Master!$A:$A,0))</f>
        <v>CNA Average Hourly Wage</v>
      </c>
      <c r="D112" s="23" t="str">
        <f>INDEX(KPI_Master!$K:$K,MATCH($A112,KPI_Master!$A:$A,0))</f>
        <v>2 - Standard</v>
      </c>
      <c r="E112" s="24" t="s">
        <v>1012</v>
      </c>
      <c r="F112" s="23" t="str">
        <f>INDEX(Common_Formula_Elements!$B:$B,MATCH($E112,Common_Formula_Elements!$A:$A,0))</f>
        <v>Wages by Job Class / Department</v>
      </c>
      <c r="G112" s="21" t="str">
        <f>INDEX(Common_Formula_Elements!$G:$G,MATCH($E112,Common_Formula_Elements!$A:$A,0))</f>
        <v>D06</v>
      </c>
      <c r="H112" s="23" t="str">
        <f>INDEX(Minimum_Documents!$B:$B,MATCH($G112,Minimum_Documents!$A:$A,0))</f>
        <v>Payroll Register (hours and wages by employee, job class and department)</v>
      </c>
    </row>
    <row r="113" spans="1:8" ht="28.5" customHeight="1">
      <c r="A113" s="21">
        <v>58</v>
      </c>
      <c r="B113" s="23" t="str">
        <f>INDEX(KPI_Master!$B:$B,MATCH($A113,KPI_Master!$A:$A,0))</f>
        <v>HRP-20</v>
      </c>
      <c r="C113" s="23" t="str">
        <f>INDEX(KPI_Master!$D:$D,MATCH($A113,KPI_Master!$A:$A,0))</f>
        <v>CNA Average Hourly Wage</v>
      </c>
      <c r="D113" s="23" t="str">
        <f>INDEX(KPI_Master!$K:$K,MATCH($A113,KPI_Master!$A:$A,0))</f>
        <v>2 - Standard</v>
      </c>
      <c r="E113" s="24" t="s">
        <v>1008</v>
      </c>
      <c r="F113" s="23" t="str">
        <f>INDEX(Common_Formula_Elements!$B:$B,MATCH($E113,Common_Formula_Elements!$A:$A,0))</f>
        <v>Hours Worked (regular / OT, by department &amp; job class)</v>
      </c>
      <c r="G113" s="21" t="str">
        <f>INDEX(Common_Formula_Elements!$G:$G,MATCH($E113,Common_Formula_Elements!$A:$A,0))</f>
        <v>D06</v>
      </c>
      <c r="H113" s="23" t="str">
        <f>INDEX(Minimum_Documents!$B:$B,MATCH($G113,Minimum_Documents!$A:$A,0))</f>
        <v>Payroll Register (hours and wages by employee, job class and department)</v>
      </c>
    </row>
    <row r="114" spans="1:8" ht="28.5" customHeight="1">
      <c r="A114" s="21">
        <v>59</v>
      </c>
      <c r="B114" s="23" t="str">
        <f>INDEX(KPI_Master!$B:$B,MATCH($A114,KPI_Master!$A:$A,0))</f>
        <v>HRP-21</v>
      </c>
      <c r="C114" s="23" t="str">
        <f>INDEX(KPI_Master!$D:$D,MATCH($A114,KPI_Master!$A:$A,0))</f>
        <v>Administrative Average Annual Wage per FTE</v>
      </c>
      <c r="D114" s="23" t="str">
        <f>INDEX(KPI_Master!$K:$K,MATCH($A114,KPI_Master!$A:$A,0))</f>
        <v>3 - Optional</v>
      </c>
      <c r="E114" s="24" t="s">
        <v>1012</v>
      </c>
      <c r="F114" s="23" t="str">
        <f>INDEX(Common_Formula_Elements!$B:$B,MATCH($E114,Common_Formula_Elements!$A:$A,0))</f>
        <v>Wages by Job Class / Department</v>
      </c>
      <c r="G114" s="21" t="str">
        <f>INDEX(Common_Formula_Elements!$G:$G,MATCH($E114,Common_Formula_Elements!$A:$A,0))</f>
        <v>D06</v>
      </c>
      <c r="H114" s="23" t="str">
        <f>INDEX(Minimum_Documents!$B:$B,MATCH($G114,Minimum_Documents!$A:$A,0))</f>
        <v>Payroll Register (hours and wages by employee, job class and department)</v>
      </c>
    </row>
    <row r="115" spans="1:8" ht="28.5" customHeight="1">
      <c r="A115" s="21">
        <v>59</v>
      </c>
      <c r="B115" s="23" t="str">
        <f>INDEX(KPI_Master!$B:$B,MATCH($A115,KPI_Master!$A:$A,0))</f>
        <v>HRP-21</v>
      </c>
      <c r="C115" s="23" t="str">
        <f>INDEX(KPI_Master!$D:$D,MATCH($A115,KPI_Master!$A:$A,0))</f>
        <v>Administrative Average Annual Wage per FTE</v>
      </c>
      <c r="D115" s="23" t="str">
        <f>INDEX(KPI_Master!$K:$K,MATCH($A115,KPI_Master!$A:$A,0))</f>
        <v>3 - Optional</v>
      </c>
      <c r="E115" s="24" t="s">
        <v>1015</v>
      </c>
      <c r="F115" s="23" t="str">
        <f>INDEX(Common_Formula_Elements!$B:$B,MATCH($E115,Common_Formula_Elements!$A:$A,0))</f>
        <v>FTEs by Department</v>
      </c>
      <c r="G115" s="21" t="str">
        <f>INDEX(Common_Formula_Elements!$G:$G,MATCH($E115,Common_Formula_Elements!$A:$A,0))</f>
        <v>D06</v>
      </c>
      <c r="H115" s="23" t="str">
        <f>INDEX(Minimum_Documents!$B:$B,MATCH($G115,Minimum_Documents!$A:$A,0))</f>
        <v>Payroll Register (hours and wages by employee, job class and department)</v>
      </c>
    </row>
    <row r="116" spans="1:8" ht="28.5" customHeight="1">
      <c r="A116" s="21">
        <v>60</v>
      </c>
      <c r="B116" s="23" t="str">
        <f>INDEX(KPI_Master!$B:$B,MATCH($A116,KPI_Master!$A:$A,0))</f>
        <v>HRP-22</v>
      </c>
      <c r="C116" s="23" t="str">
        <f>INDEX(KPI_Master!$D:$D,MATCH($A116,KPI_Master!$A:$A,0))</f>
        <v>Dietary Average Annual Wage per FTE</v>
      </c>
      <c r="D116" s="23" t="str">
        <f>INDEX(KPI_Master!$K:$K,MATCH($A116,KPI_Master!$A:$A,0))</f>
        <v>3 - Optional</v>
      </c>
      <c r="E116" s="24" t="s">
        <v>1012</v>
      </c>
      <c r="F116" s="23" t="str">
        <f>INDEX(Common_Formula_Elements!$B:$B,MATCH($E116,Common_Formula_Elements!$A:$A,0))</f>
        <v>Wages by Job Class / Department</v>
      </c>
      <c r="G116" s="21" t="str">
        <f>INDEX(Common_Formula_Elements!$G:$G,MATCH($E116,Common_Formula_Elements!$A:$A,0))</f>
        <v>D06</v>
      </c>
      <c r="H116" s="23" t="str">
        <f>INDEX(Minimum_Documents!$B:$B,MATCH($G116,Minimum_Documents!$A:$A,0))</f>
        <v>Payroll Register (hours and wages by employee, job class and department)</v>
      </c>
    </row>
    <row r="117" spans="1:8" ht="28.5" customHeight="1">
      <c r="A117" s="21">
        <v>60</v>
      </c>
      <c r="B117" s="23" t="str">
        <f>INDEX(KPI_Master!$B:$B,MATCH($A117,KPI_Master!$A:$A,0))</f>
        <v>HRP-22</v>
      </c>
      <c r="C117" s="23" t="str">
        <f>INDEX(KPI_Master!$D:$D,MATCH($A117,KPI_Master!$A:$A,0))</f>
        <v>Dietary Average Annual Wage per FTE</v>
      </c>
      <c r="D117" s="23" t="str">
        <f>INDEX(KPI_Master!$K:$K,MATCH($A117,KPI_Master!$A:$A,0))</f>
        <v>3 - Optional</v>
      </c>
      <c r="E117" s="24" t="s">
        <v>1015</v>
      </c>
      <c r="F117" s="23" t="str">
        <f>INDEX(Common_Formula_Elements!$B:$B,MATCH($E117,Common_Formula_Elements!$A:$A,0))</f>
        <v>FTEs by Department</v>
      </c>
      <c r="G117" s="21" t="str">
        <f>INDEX(Common_Formula_Elements!$G:$G,MATCH($E117,Common_Formula_Elements!$A:$A,0))</f>
        <v>D06</v>
      </c>
      <c r="H117" s="23" t="str">
        <f>INDEX(Minimum_Documents!$B:$B,MATCH($G117,Minimum_Documents!$A:$A,0))</f>
        <v>Payroll Register (hours and wages by employee, job class and department)</v>
      </c>
    </row>
    <row r="118" spans="1:8" ht="28.5" customHeight="1">
      <c r="A118" s="21">
        <v>61</v>
      </c>
      <c r="B118" s="23" t="str">
        <f>INDEX(KPI_Master!$B:$B,MATCH($A118,KPI_Master!$A:$A,0))</f>
        <v>HRP-23</v>
      </c>
      <c r="C118" s="23" t="str">
        <f>INDEX(KPI_Master!$D:$D,MATCH($A118,KPI_Master!$A:$A,0))</f>
        <v>Maintenance Average Annual Wage per FTE</v>
      </c>
      <c r="D118" s="23" t="str">
        <f>INDEX(KPI_Master!$K:$K,MATCH($A118,KPI_Master!$A:$A,0))</f>
        <v>3 - Optional</v>
      </c>
      <c r="E118" s="24" t="s">
        <v>1012</v>
      </c>
      <c r="F118" s="23" t="str">
        <f>INDEX(Common_Formula_Elements!$B:$B,MATCH($E118,Common_Formula_Elements!$A:$A,0))</f>
        <v>Wages by Job Class / Department</v>
      </c>
      <c r="G118" s="21" t="str">
        <f>INDEX(Common_Formula_Elements!$G:$G,MATCH($E118,Common_Formula_Elements!$A:$A,0))</f>
        <v>D06</v>
      </c>
      <c r="H118" s="23" t="str">
        <f>INDEX(Minimum_Documents!$B:$B,MATCH($G118,Minimum_Documents!$A:$A,0))</f>
        <v>Payroll Register (hours and wages by employee, job class and department)</v>
      </c>
    </row>
    <row r="119" spans="1:8" ht="28.5" customHeight="1">
      <c r="A119" s="21">
        <v>61</v>
      </c>
      <c r="B119" s="23" t="str">
        <f>INDEX(KPI_Master!$B:$B,MATCH($A119,KPI_Master!$A:$A,0))</f>
        <v>HRP-23</v>
      </c>
      <c r="C119" s="23" t="str">
        <f>INDEX(KPI_Master!$D:$D,MATCH($A119,KPI_Master!$A:$A,0))</f>
        <v>Maintenance Average Annual Wage per FTE</v>
      </c>
      <c r="D119" s="23" t="str">
        <f>INDEX(KPI_Master!$K:$K,MATCH($A119,KPI_Master!$A:$A,0))</f>
        <v>3 - Optional</v>
      </c>
      <c r="E119" s="24" t="s">
        <v>1015</v>
      </c>
      <c r="F119" s="23" t="str">
        <f>INDEX(Common_Formula_Elements!$B:$B,MATCH($E119,Common_Formula_Elements!$A:$A,0))</f>
        <v>FTEs by Department</v>
      </c>
      <c r="G119" s="21" t="str">
        <f>INDEX(Common_Formula_Elements!$G:$G,MATCH($E119,Common_Formula_Elements!$A:$A,0))</f>
        <v>D06</v>
      </c>
      <c r="H119" s="23" t="str">
        <f>INDEX(Minimum_Documents!$B:$B,MATCH($G119,Minimum_Documents!$A:$A,0))</f>
        <v>Payroll Register (hours and wages by employee, job class and department)</v>
      </c>
    </row>
    <row r="120" spans="1:8" ht="42.75" customHeight="1">
      <c r="A120" s="21">
        <v>62</v>
      </c>
      <c r="B120" s="23" t="str">
        <f>INDEX(KPI_Master!$B:$B,MATCH($A120,KPI_Master!$A:$A,0))</f>
        <v>HRP-24</v>
      </c>
      <c r="C120" s="23" t="str">
        <f>INDEX(KPI_Master!$D:$D,MATCH($A120,KPI_Master!$A:$A,0))</f>
        <v>Benefits as % of Salaries and Wages</v>
      </c>
      <c r="D120" s="23" t="str">
        <f>INDEX(KPI_Master!$K:$K,MATCH($A120,KPI_Master!$A:$A,0))</f>
        <v>2 - Standard</v>
      </c>
      <c r="E120" s="24" t="s">
        <v>997</v>
      </c>
      <c r="F120" s="23" t="str">
        <f>INDEX(Common_Formula_Elements!$B:$B,MATCH($E120,Common_Formula_Elements!$A:$A,0))</f>
        <v>Labor Cost $ (wages, benefits, agency, WC premium)</v>
      </c>
      <c r="G120" s="21" t="str">
        <f>INDEX(Common_Formula_Elements!$G:$G,MATCH($E120,Common_Formula_Elements!$A:$A,0))</f>
        <v>D03</v>
      </c>
      <c r="H120" s="23" t="str">
        <f>INDEX(Minimum_Documents!$B:$B,MATCH($G120,Minimum_Documents!$A:$A,0))</f>
        <v>Monthly Financial Statement Package - consolidated (P&amp;L with budget, balance sheet, cash flow, trial balance; no department split needed)</v>
      </c>
    </row>
    <row r="121" spans="1:8" ht="42.75" customHeight="1">
      <c r="A121" s="21">
        <v>63</v>
      </c>
      <c r="B121" s="23" t="str">
        <f>INDEX(KPI_Master!$B:$B,MATCH($A121,KPI_Master!$A:$A,0))</f>
        <v>HRP-25</v>
      </c>
      <c r="C121" s="23" t="str">
        <f>INDEX(KPI_Master!$D:$D,MATCH($A121,KPI_Master!$A:$A,0))</f>
        <v>Benefits Cost per FTE</v>
      </c>
      <c r="D121" s="23" t="str">
        <f>INDEX(KPI_Master!$K:$K,MATCH($A121,KPI_Master!$A:$A,0))</f>
        <v>3 - Optional</v>
      </c>
      <c r="E121" s="24" t="s">
        <v>997</v>
      </c>
      <c r="F121" s="23" t="str">
        <f>INDEX(Common_Formula_Elements!$B:$B,MATCH($E121,Common_Formula_Elements!$A:$A,0))</f>
        <v>Labor Cost $ (wages, benefits, agency, WC premium)</v>
      </c>
      <c r="G121" s="21" t="str">
        <f>INDEX(Common_Formula_Elements!$G:$G,MATCH($E121,Common_Formula_Elements!$A:$A,0))</f>
        <v>D03</v>
      </c>
      <c r="H121" s="23" t="str">
        <f>INDEX(Minimum_Documents!$B:$B,MATCH($G121,Minimum_Documents!$A:$A,0))</f>
        <v>Monthly Financial Statement Package - consolidated (P&amp;L with budget, balance sheet, cash flow, trial balance; no department split needed)</v>
      </c>
    </row>
    <row r="122" spans="1:8" ht="28.5" customHeight="1">
      <c r="A122" s="21">
        <v>63</v>
      </c>
      <c r="B122" s="23" t="str">
        <f>INDEX(KPI_Master!$B:$B,MATCH($A122,KPI_Master!$A:$A,0))</f>
        <v>HRP-25</v>
      </c>
      <c r="C122" s="23" t="str">
        <f>INDEX(KPI_Master!$D:$D,MATCH($A122,KPI_Master!$A:$A,0))</f>
        <v>Benefits Cost per FTE</v>
      </c>
      <c r="D122" s="23" t="str">
        <f>INDEX(KPI_Master!$K:$K,MATCH($A122,KPI_Master!$A:$A,0))</f>
        <v>3 - Optional</v>
      </c>
      <c r="E122" s="24" t="s">
        <v>1015</v>
      </c>
      <c r="F122" s="23" t="str">
        <f>INDEX(Common_Formula_Elements!$B:$B,MATCH($E122,Common_Formula_Elements!$A:$A,0))</f>
        <v>FTEs by Department</v>
      </c>
      <c r="G122" s="21" t="str">
        <f>INDEX(Common_Formula_Elements!$G:$G,MATCH($E122,Common_Formula_Elements!$A:$A,0))</f>
        <v>D06</v>
      </c>
      <c r="H122" s="23" t="str">
        <f>INDEX(Minimum_Documents!$B:$B,MATCH($G122,Minimum_Documents!$A:$A,0))</f>
        <v>Payroll Register (hours and wages by employee, job class and department)</v>
      </c>
    </row>
    <row r="123" spans="1:8" ht="28.5" customHeight="1">
      <c r="A123" s="21">
        <v>64</v>
      </c>
      <c r="B123" s="23" t="str">
        <f>INDEX(KPI_Master!$B:$B,MATCH($A123,KPI_Master!$A:$A,0))</f>
        <v>HRP-26</v>
      </c>
      <c r="C123" s="23" t="str">
        <f>INDEX(KPI_Master!$D:$D,MATCH($A123,KPI_Master!$A:$A,0))</f>
        <v>Employees per HR Staff Member</v>
      </c>
      <c r="D123" s="23" t="str">
        <f>INDEX(KPI_Master!$K:$K,MATCH($A123,KPI_Master!$A:$A,0))</f>
        <v>3 - Optional</v>
      </c>
      <c r="E123" s="24" t="s">
        <v>1022</v>
      </c>
      <c r="F123" s="23" t="str">
        <f>INDEX(Common_Formula_Elements!$B:$B,MATCH($E123,Common_Formula_Elements!$A:$A,0))</f>
        <v>Employee Headcount</v>
      </c>
      <c r="G123" s="21" t="str">
        <f>INDEX(Common_Formula_Elements!$G:$G,MATCH($E123,Common_Formula_Elements!$A:$A,0))</f>
        <v>D08</v>
      </c>
      <c r="H123" s="23" t="str">
        <f>INDEX(Minimum_Documents!$B:$B,MATCH($G123,Minimum_Documents!$A:$A,0))</f>
        <v>HRIS Employee Roster &amp; Movement Report (headcount, hires, separations)</v>
      </c>
    </row>
    <row r="124" spans="1:8" ht="28.5" customHeight="1">
      <c r="A124" s="21">
        <v>64</v>
      </c>
      <c r="B124" s="23" t="str">
        <f>INDEX(KPI_Master!$B:$B,MATCH($A124,KPI_Master!$A:$A,0))</f>
        <v>HRP-26</v>
      </c>
      <c r="C124" s="23" t="str">
        <f>INDEX(KPI_Master!$D:$D,MATCH($A124,KPI_Master!$A:$A,0))</f>
        <v>Employees per HR Staff Member</v>
      </c>
      <c r="D124" s="23" t="str">
        <f>INDEX(KPI_Master!$K:$K,MATCH($A124,KPI_Master!$A:$A,0))</f>
        <v>3 - Optional</v>
      </c>
      <c r="E124" s="24" t="s">
        <v>1015</v>
      </c>
      <c r="F124" s="23" t="str">
        <f>INDEX(Common_Formula_Elements!$B:$B,MATCH($E124,Common_Formula_Elements!$A:$A,0))</f>
        <v>FTEs by Department</v>
      </c>
      <c r="G124" s="21" t="str">
        <f>INDEX(Common_Formula_Elements!$G:$G,MATCH($E124,Common_Formula_Elements!$A:$A,0))</f>
        <v>D06</v>
      </c>
      <c r="H124" s="23" t="str">
        <f>INDEX(Minimum_Documents!$B:$B,MATCH($G124,Minimum_Documents!$A:$A,0))</f>
        <v>Payroll Register (hours and wages by employee, job class and department)</v>
      </c>
    </row>
    <row r="125" spans="1:8" ht="28.5" customHeight="1">
      <c r="A125" s="21">
        <v>65</v>
      </c>
      <c r="B125" s="23" t="str">
        <f>INDEX(KPI_Master!$B:$B,MATCH($A125,KPI_Master!$A:$A,0))</f>
        <v>HRP-27</v>
      </c>
      <c r="C125" s="23" t="str">
        <f>INDEX(KPI_Master!$D:$D,MATCH($A125,KPI_Master!$A:$A,0))</f>
        <v>RN Turnover Rate</v>
      </c>
      <c r="D125" s="23" t="str">
        <f>INDEX(KPI_Master!$K:$K,MATCH($A125,KPI_Master!$A:$A,0))</f>
        <v>2 - Standard</v>
      </c>
      <c r="E125" s="24" t="s">
        <v>1026</v>
      </c>
      <c r="F125" s="23" t="str">
        <f>INDEX(Common_Formula_Elements!$B:$B,MATCH($E125,Common_Formula_Elements!$A:$A,0))</f>
        <v>Separations</v>
      </c>
      <c r="G125" s="21" t="str">
        <f>INDEX(Common_Formula_Elements!$G:$G,MATCH($E125,Common_Formula_Elements!$A:$A,0))</f>
        <v>D08</v>
      </c>
      <c r="H125" s="23" t="str">
        <f>INDEX(Minimum_Documents!$B:$B,MATCH($G125,Minimum_Documents!$A:$A,0))</f>
        <v>HRIS Employee Roster &amp; Movement Report (headcount, hires, separations)</v>
      </c>
    </row>
    <row r="126" spans="1:8" ht="28.5" customHeight="1">
      <c r="A126" s="21">
        <v>65</v>
      </c>
      <c r="B126" s="23" t="str">
        <f>INDEX(KPI_Master!$B:$B,MATCH($A126,KPI_Master!$A:$A,0))</f>
        <v>HRP-27</v>
      </c>
      <c r="C126" s="23" t="str">
        <f>INDEX(KPI_Master!$D:$D,MATCH($A126,KPI_Master!$A:$A,0))</f>
        <v>RN Turnover Rate</v>
      </c>
      <c r="D126" s="23" t="str">
        <f>INDEX(KPI_Master!$K:$K,MATCH($A126,KPI_Master!$A:$A,0))</f>
        <v>2 - Standard</v>
      </c>
      <c r="E126" s="24" t="s">
        <v>1022</v>
      </c>
      <c r="F126" s="23" t="str">
        <f>INDEX(Common_Formula_Elements!$B:$B,MATCH($E126,Common_Formula_Elements!$A:$A,0))</f>
        <v>Employee Headcount</v>
      </c>
      <c r="G126" s="21" t="str">
        <f>INDEX(Common_Formula_Elements!$G:$G,MATCH($E126,Common_Formula_Elements!$A:$A,0))</f>
        <v>D08</v>
      </c>
      <c r="H126" s="23" t="str">
        <f>INDEX(Minimum_Documents!$B:$B,MATCH($G126,Minimum_Documents!$A:$A,0))</f>
        <v>HRIS Employee Roster &amp; Movement Report (headcount, hires, separations)</v>
      </c>
    </row>
    <row r="127" spans="1:8" ht="42.75" customHeight="1">
      <c r="A127" s="21">
        <v>66</v>
      </c>
      <c r="B127" s="23" t="str">
        <f>INDEX(KPI_Master!$B:$B,MATCH($A127,KPI_Master!$A:$A,0))</f>
        <v>HRP-28</v>
      </c>
      <c r="C127" s="23" t="str">
        <f>INDEX(KPI_Master!$D:$D,MATCH($A127,KPI_Master!$A:$A,0))</f>
        <v>Workers' Compensation Cost as % of Wages</v>
      </c>
      <c r="D127" s="23" t="str">
        <f>INDEX(KPI_Master!$K:$K,MATCH($A127,KPI_Master!$A:$A,0))</f>
        <v>2 - Standard</v>
      </c>
      <c r="E127" s="24" t="s">
        <v>997</v>
      </c>
      <c r="F127" s="23" t="str">
        <f>INDEX(Common_Formula_Elements!$B:$B,MATCH($E127,Common_Formula_Elements!$A:$A,0))</f>
        <v>Labor Cost $ (wages, benefits, agency, WC premium)</v>
      </c>
      <c r="G127" s="21" t="str">
        <f>INDEX(Common_Formula_Elements!$G:$G,MATCH($E127,Common_Formula_Elements!$A:$A,0))</f>
        <v>D03</v>
      </c>
      <c r="H127" s="23" t="str">
        <f>INDEX(Minimum_Documents!$B:$B,MATCH($G127,Minimum_Documents!$A:$A,0))</f>
        <v>Monthly Financial Statement Package - consolidated (P&amp;L with budget, balance sheet, cash flow, trial balance; no department split needed)</v>
      </c>
    </row>
    <row r="128" spans="1:8">
      <c r="A128" s="21">
        <v>66</v>
      </c>
      <c r="B128" s="23" t="str">
        <f>INDEX(KPI_Master!$B:$B,MATCH($A128,KPI_Master!$A:$A,0))</f>
        <v>HRP-28</v>
      </c>
      <c r="C128" s="23" t="str">
        <f>INDEX(KPI_Master!$D:$D,MATCH($A128,KPI_Master!$A:$A,0))</f>
        <v>Workers' Compensation Cost as % of Wages</v>
      </c>
      <c r="D128" s="23" t="str">
        <f>INDEX(KPI_Master!$K:$K,MATCH($A128,KPI_Master!$A:$A,0))</f>
        <v>2 - Standard</v>
      </c>
      <c r="E128" s="24" t="s">
        <v>1036</v>
      </c>
      <c r="F128" s="23" t="str">
        <f>INDEX(Common_Formula_Elements!$B:$B,MATCH($E128,Common_Formula_Elements!$A:$A,0))</f>
        <v>Workers' Comp Claims</v>
      </c>
      <c r="G128" s="21" t="str">
        <f>INDEX(Common_Formula_Elements!$G:$G,MATCH($E128,Common_Formula_Elements!$A:$A,0))</f>
        <v>D10</v>
      </c>
      <c r="H128" s="23" t="str">
        <f>INDEX(Minimum_Documents!$B:$B,MATCH($G128,Minimum_Documents!$A:$A,0))</f>
        <v>Workers' Compensation Loss Run</v>
      </c>
    </row>
    <row r="129" spans="1:8" ht="28.5" customHeight="1">
      <c r="A129" s="21">
        <v>67</v>
      </c>
      <c r="B129" s="23" t="str">
        <f>INDEX(KPI_Master!$B:$B,MATCH($A129,KPI_Master!$A:$A,0))</f>
        <v>HRP-29</v>
      </c>
      <c r="C129" s="23" t="str">
        <f>INDEX(KPI_Master!$D:$D,MATCH($A129,KPI_Master!$A:$A,0))</f>
        <v>Staffing Variance to Recommended FTE</v>
      </c>
      <c r="D129" s="23" t="str">
        <f>INDEX(KPI_Master!$K:$K,MATCH($A129,KPI_Master!$A:$A,0))</f>
        <v>2 - Standard</v>
      </c>
      <c r="E129" s="24" t="s">
        <v>1015</v>
      </c>
      <c r="F129" s="23" t="str">
        <f>INDEX(Common_Formula_Elements!$B:$B,MATCH($E129,Common_Formula_Elements!$A:$A,0))</f>
        <v>FTEs by Department</v>
      </c>
      <c r="G129" s="21" t="str">
        <f>INDEX(Common_Formula_Elements!$G:$G,MATCH($E129,Common_Formula_Elements!$A:$A,0))</f>
        <v>D06</v>
      </c>
      <c r="H129" s="23" t="str">
        <f>INDEX(Minimum_Documents!$B:$B,MATCH($G129,Minimum_Documents!$A:$A,0))</f>
        <v>Payroll Register (hours and wages by employee, job class and department)</v>
      </c>
    </row>
    <row r="130" spans="1:8" ht="28.5" customHeight="1">
      <c r="A130" s="21">
        <v>67</v>
      </c>
      <c r="B130" s="23" t="str">
        <f>INDEX(KPI_Master!$B:$B,MATCH($A130,KPI_Master!$A:$A,0))</f>
        <v>HRP-29</v>
      </c>
      <c r="C130" s="23" t="str">
        <f>INDEX(KPI_Master!$D:$D,MATCH($A130,KPI_Master!$A:$A,0))</f>
        <v>Staffing Variance to Recommended FTE</v>
      </c>
      <c r="D130" s="23" t="str">
        <f>INDEX(KPI_Master!$K:$K,MATCH($A130,KPI_Master!$A:$A,0))</f>
        <v>2 - Standard</v>
      </c>
      <c r="E130" s="24" t="s">
        <v>1032</v>
      </c>
      <c r="F130" s="23" t="str">
        <f>INDEX(Common_Formula_Elements!$B:$B,MATCH($E130,Common_Formula_Elements!$A:$A,0))</f>
        <v>Budgeted Positions / Requisitions</v>
      </c>
      <c r="G130" s="21" t="str">
        <f>INDEX(Common_Formula_Elements!$G:$G,MATCH($E130,Common_Formula_Elements!$A:$A,0))</f>
        <v>D09</v>
      </c>
      <c r="H130" s="23" t="str">
        <f>INDEX(Minimum_Documents!$B:$B,MATCH($G130,Minimum_Documents!$A:$A,0))</f>
        <v>Position Control &amp; Requisition Report (budgeted positions, recommended FTE, open requisitions)</v>
      </c>
    </row>
    <row r="131" spans="1:8" ht="28.5" customHeight="1">
      <c r="A131" s="21">
        <v>68</v>
      </c>
      <c r="B131" s="23" t="str">
        <f>INDEX(KPI_Master!$B:$B,MATCH($A131,KPI_Master!$A:$A,0))</f>
        <v>HRP-30</v>
      </c>
      <c r="C131" s="23" t="str">
        <f>INDEX(KPI_Master!$D:$D,MATCH($A131,KPI_Master!$A:$A,0))</f>
        <v>Housekeeping / Laundry Average Annual Wage per FTE</v>
      </c>
      <c r="D131" s="23" t="str">
        <f>INDEX(KPI_Master!$K:$K,MATCH($A131,KPI_Master!$A:$A,0))</f>
        <v>3 - Optional</v>
      </c>
      <c r="E131" s="24" t="s">
        <v>1012</v>
      </c>
      <c r="F131" s="23" t="str">
        <f>INDEX(Common_Formula_Elements!$B:$B,MATCH($E131,Common_Formula_Elements!$A:$A,0))</f>
        <v>Wages by Job Class / Department</v>
      </c>
      <c r="G131" s="21" t="str">
        <f>INDEX(Common_Formula_Elements!$G:$G,MATCH($E131,Common_Formula_Elements!$A:$A,0))</f>
        <v>D06</v>
      </c>
      <c r="H131" s="23" t="str">
        <f>INDEX(Minimum_Documents!$B:$B,MATCH($G131,Minimum_Documents!$A:$A,0))</f>
        <v>Payroll Register (hours and wages by employee, job class and department)</v>
      </c>
    </row>
    <row r="132" spans="1:8" ht="28.5" customHeight="1">
      <c r="A132" s="21">
        <v>68</v>
      </c>
      <c r="B132" s="23" t="str">
        <f>INDEX(KPI_Master!$B:$B,MATCH($A132,KPI_Master!$A:$A,0))</f>
        <v>HRP-30</v>
      </c>
      <c r="C132" s="23" t="str">
        <f>INDEX(KPI_Master!$D:$D,MATCH($A132,KPI_Master!$A:$A,0))</f>
        <v>Housekeeping / Laundry Average Annual Wage per FTE</v>
      </c>
      <c r="D132" s="23" t="str">
        <f>INDEX(KPI_Master!$K:$K,MATCH($A132,KPI_Master!$A:$A,0))</f>
        <v>3 - Optional</v>
      </c>
      <c r="E132" s="24" t="s">
        <v>1015</v>
      </c>
      <c r="F132" s="23" t="str">
        <f>INDEX(Common_Formula_Elements!$B:$B,MATCH($E132,Common_Formula_Elements!$A:$A,0))</f>
        <v>FTEs by Department</v>
      </c>
      <c r="G132" s="21" t="str">
        <f>INDEX(Common_Formula_Elements!$G:$G,MATCH($E132,Common_Formula_Elements!$A:$A,0))</f>
        <v>D06</v>
      </c>
      <c r="H132" s="23" t="str">
        <f>INDEX(Minimum_Documents!$B:$B,MATCH($G132,Minimum_Documents!$A:$A,0))</f>
        <v>Payroll Register (hours and wages by employee, job class and department)</v>
      </c>
    </row>
    <row r="133" spans="1:8" ht="28.5" customHeight="1">
      <c r="A133" s="21">
        <v>69</v>
      </c>
      <c r="B133" s="23" t="str">
        <f>INDEX(KPI_Master!$B:$B,MATCH($A133,KPI_Master!$A:$A,0))</f>
        <v>HRP-31</v>
      </c>
      <c r="C133" s="23" t="str">
        <f>INDEX(KPI_Master!$D:$D,MATCH($A133,KPI_Master!$A:$A,0))</f>
        <v>Marketing Average Annual Wage per FTE</v>
      </c>
      <c r="D133" s="23" t="str">
        <f>INDEX(KPI_Master!$K:$K,MATCH($A133,KPI_Master!$A:$A,0))</f>
        <v>3 - Optional</v>
      </c>
      <c r="E133" s="24" t="s">
        <v>1012</v>
      </c>
      <c r="F133" s="23" t="str">
        <f>INDEX(Common_Formula_Elements!$B:$B,MATCH($E133,Common_Formula_Elements!$A:$A,0))</f>
        <v>Wages by Job Class / Department</v>
      </c>
      <c r="G133" s="21" t="str">
        <f>INDEX(Common_Formula_Elements!$G:$G,MATCH($E133,Common_Formula_Elements!$A:$A,0))</f>
        <v>D06</v>
      </c>
      <c r="H133" s="23" t="str">
        <f>INDEX(Minimum_Documents!$B:$B,MATCH($G133,Minimum_Documents!$A:$A,0))</f>
        <v>Payroll Register (hours and wages by employee, job class and department)</v>
      </c>
    </row>
    <row r="134" spans="1:8" ht="28.5" customHeight="1">
      <c r="A134" s="21">
        <v>69</v>
      </c>
      <c r="B134" s="23" t="str">
        <f>INDEX(KPI_Master!$B:$B,MATCH($A134,KPI_Master!$A:$A,0))</f>
        <v>HRP-31</v>
      </c>
      <c r="C134" s="23" t="str">
        <f>INDEX(KPI_Master!$D:$D,MATCH($A134,KPI_Master!$A:$A,0))</f>
        <v>Marketing Average Annual Wage per FTE</v>
      </c>
      <c r="D134" s="23" t="str">
        <f>INDEX(KPI_Master!$K:$K,MATCH($A134,KPI_Master!$A:$A,0))</f>
        <v>3 - Optional</v>
      </c>
      <c r="E134" s="24" t="s">
        <v>1015</v>
      </c>
      <c r="F134" s="23" t="str">
        <f>INDEX(Common_Formula_Elements!$B:$B,MATCH($E134,Common_Formula_Elements!$A:$A,0))</f>
        <v>FTEs by Department</v>
      </c>
      <c r="G134" s="21" t="str">
        <f>INDEX(Common_Formula_Elements!$G:$G,MATCH($E134,Common_Formula_Elements!$A:$A,0))</f>
        <v>D06</v>
      </c>
      <c r="H134" s="23" t="str">
        <f>INDEX(Minimum_Documents!$B:$B,MATCH($G134,Minimum_Documents!$A:$A,0))</f>
        <v>Payroll Register (hours and wages by employee, job class and department)</v>
      </c>
    </row>
    <row r="135" spans="1:8" ht="28.5" customHeight="1">
      <c r="A135" s="21">
        <v>70</v>
      </c>
      <c r="B135" s="23" t="str">
        <f>INDEX(KPI_Master!$B:$B,MATCH($A135,KPI_Master!$A:$A,0))</f>
        <v>HRP-32</v>
      </c>
      <c r="C135" s="23" t="str">
        <f>INDEX(KPI_Master!$D:$D,MATCH($A135,KPI_Master!$A:$A,0))</f>
        <v>Assisted Living Care Staff Average Annual Wage per FTE</v>
      </c>
      <c r="D135" s="23" t="str">
        <f>INDEX(KPI_Master!$K:$K,MATCH($A135,KPI_Master!$A:$A,0))</f>
        <v>3 - Optional</v>
      </c>
      <c r="E135" s="24" t="s">
        <v>1012</v>
      </c>
      <c r="F135" s="23" t="str">
        <f>INDEX(Common_Formula_Elements!$B:$B,MATCH($E135,Common_Formula_Elements!$A:$A,0))</f>
        <v>Wages by Job Class / Department</v>
      </c>
      <c r="G135" s="21" t="str">
        <f>INDEX(Common_Formula_Elements!$G:$G,MATCH($E135,Common_Formula_Elements!$A:$A,0))</f>
        <v>D06</v>
      </c>
      <c r="H135" s="23" t="str">
        <f>INDEX(Minimum_Documents!$B:$B,MATCH($G135,Minimum_Documents!$A:$A,0))</f>
        <v>Payroll Register (hours and wages by employee, job class and department)</v>
      </c>
    </row>
    <row r="136" spans="1:8" ht="28.5" customHeight="1">
      <c r="A136" s="21">
        <v>70</v>
      </c>
      <c r="B136" s="23" t="str">
        <f>INDEX(KPI_Master!$B:$B,MATCH($A136,KPI_Master!$A:$A,0))</f>
        <v>HRP-32</v>
      </c>
      <c r="C136" s="23" t="str">
        <f>INDEX(KPI_Master!$D:$D,MATCH($A136,KPI_Master!$A:$A,0))</f>
        <v>Assisted Living Care Staff Average Annual Wage per FTE</v>
      </c>
      <c r="D136" s="23" t="str">
        <f>INDEX(KPI_Master!$K:$K,MATCH($A136,KPI_Master!$A:$A,0))</f>
        <v>3 - Optional</v>
      </c>
      <c r="E136" s="24" t="s">
        <v>1015</v>
      </c>
      <c r="F136" s="23" t="str">
        <f>INDEX(Common_Formula_Elements!$B:$B,MATCH($E136,Common_Formula_Elements!$A:$A,0))</f>
        <v>FTEs by Department</v>
      </c>
      <c r="G136" s="21" t="str">
        <f>INDEX(Common_Formula_Elements!$G:$G,MATCH($E136,Common_Formula_Elements!$A:$A,0))</f>
        <v>D06</v>
      </c>
      <c r="H136" s="23" t="str">
        <f>INDEX(Minimum_Documents!$B:$B,MATCH($G136,Minimum_Documents!$A:$A,0))</f>
        <v>Payroll Register (hours and wages by employee, job class and department)</v>
      </c>
    </row>
    <row r="137" spans="1:8" ht="28.5" customHeight="1">
      <c r="A137" s="21">
        <v>71</v>
      </c>
      <c r="B137" s="23" t="str">
        <f>INDEX(KPI_Master!$B:$B,MATCH($A137,KPI_Master!$A:$A,0))</f>
        <v>HRP-33</v>
      </c>
      <c r="C137" s="23" t="str">
        <f>INDEX(KPI_Master!$D:$D,MATCH($A137,KPI_Master!$A:$A,0))</f>
        <v>Activities Average Annual Wage per FTE</v>
      </c>
      <c r="D137" s="23" t="str">
        <f>INDEX(KPI_Master!$K:$K,MATCH($A137,KPI_Master!$A:$A,0))</f>
        <v>3 - Optional</v>
      </c>
      <c r="E137" s="24" t="s">
        <v>1012</v>
      </c>
      <c r="F137" s="23" t="str">
        <f>INDEX(Common_Formula_Elements!$B:$B,MATCH($E137,Common_Formula_Elements!$A:$A,0))</f>
        <v>Wages by Job Class / Department</v>
      </c>
      <c r="G137" s="21" t="str">
        <f>INDEX(Common_Formula_Elements!$G:$G,MATCH($E137,Common_Formula_Elements!$A:$A,0))</f>
        <v>D06</v>
      </c>
      <c r="H137" s="23" t="str">
        <f>INDEX(Minimum_Documents!$B:$B,MATCH($G137,Minimum_Documents!$A:$A,0))</f>
        <v>Payroll Register (hours and wages by employee, job class and department)</v>
      </c>
    </row>
    <row r="138" spans="1:8" ht="28.5" customHeight="1">
      <c r="A138" s="21">
        <v>71</v>
      </c>
      <c r="B138" s="23" t="str">
        <f>INDEX(KPI_Master!$B:$B,MATCH($A138,KPI_Master!$A:$A,0))</f>
        <v>HRP-33</v>
      </c>
      <c r="C138" s="23" t="str">
        <f>INDEX(KPI_Master!$D:$D,MATCH($A138,KPI_Master!$A:$A,0))</f>
        <v>Activities Average Annual Wage per FTE</v>
      </c>
      <c r="D138" s="23" t="str">
        <f>INDEX(KPI_Master!$K:$K,MATCH($A138,KPI_Master!$A:$A,0))</f>
        <v>3 - Optional</v>
      </c>
      <c r="E138" s="24" t="s">
        <v>1015</v>
      </c>
      <c r="F138" s="23" t="str">
        <f>INDEX(Common_Formula_Elements!$B:$B,MATCH($E138,Common_Formula_Elements!$A:$A,0))</f>
        <v>FTEs by Department</v>
      </c>
      <c r="G138" s="21" t="str">
        <f>INDEX(Common_Formula_Elements!$G:$G,MATCH($E138,Common_Formula_Elements!$A:$A,0))</f>
        <v>D06</v>
      </c>
      <c r="H138" s="23" t="str">
        <f>INDEX(Minimum_Documents!$B:$B,MATCH($G138,Minimum_Documents!$A:$A,0))</f>
        <v>Payroll Register (hours and wages by employee, job class and department)</v>
      </c>
    </row>
    <row r="139" spans="1:8" ht="42.75" customHeight="1">
      <c r="A139" s="21">
        <v>72</v>
      </c>
      <c r="B139" s="23" t="str">
        <f>INDEX(KPI_Master!$B:$B,MATCH($A139,KPI_Master!$A:$A,0))</f>
        <v>HRP-34</v>
      </c>
      <c r="C139" s="23" t="str">
        <f>INDEX(KPI_Master!$D:$D,MATCH($A139,KPI_Master!$A:$A,0))</f>
        <v>Average Compensation per FTE (All Staff)</v>
      </c>
      <c r="D139" s="23" t="str">
        <f>INDEX(KPI_Master!$K:$K,MATCH($A139,KPI_Master!$A:$A,0))</f>
        <v>3 - Optional</v>
      </c>
      <c r="E139" s="24" t="s">
        <v>997</v>
      </c>
      <c r="F139" s="23" t="str">
        <f>INDEX(Common_Formula_Elements!$B:$B,MATCH($E139,Common_Formula_Elements!$A:$A,0))</f>
        <v>Labor Cost $ (wages, benefits, agency, WC premium)</v>
      </c>
      <c r="G139" s="21" t="str">
        <f>INDEX(Common_Formula_Elements!$G:$G,MATCH($E139,Common_Formula_Elements!$A:$A,0))</f>
        <v>D03</v>
      </c>
      <c r="H139" s="23" t="str">
        <f>INDEX(Minimum_Documents!$B:$B,MATCH($G139,Minimum_Documents!$A:$A,0))</f>
        <v>Monthly Financial Statement Package - consolidated (P&amp;L with budget, balance sheet, cash flow, trial balance; no department split needed)</v>
      </c>
    </row>
    <row r="140" spans="1:8" ht="28.5" customHeight="1">
      <c r="A140" s="21">
        <v>72</v>
      </c>
      <c r="B140" s="23" t="str">
        <f>INDEX(KPI_Master!$B:$B,MATCH($A140,KPI_Master!$A:$A,0))</f>
        <v>HRP-34</v>
      </c>
      <c r="C140" s="23" t="str">
        <f>INDEX(KPI_Master!$D:$D,MATCH($A140,KPI_Master!$A:$A,0))</f>
        <v>Average Compensation per FTE (All Staff)</v>
      </c>
      <c r="D140" s="23" t="str">
        <f>INDEX(KPI_Master!$K:$K,MATCH($A140,KPI_Master!$A:$A,0))</f>
        <v>3 - Optional</v>
      </c>
      <c r="E140" s="24" t="s">
        <v>1015</v>
      </c>
      <c r="F140" s="23" t="str">
        <f>INDEX(Common_Formula_Elements!$B:$B,MATCH($E140,Common_Formula_Elements!$A:$A,0))</f>
        <v>FTEs by Department</v>
      </c>
      <c r="G140" s="21" t="str">
        <f>INDEX(Common_Formula_Elements!$G:$G,MATCH($E140,Common_Formula_Elements!$A:$A,0))</f>
        <v>D06</v>
      </c>
      <c r="H140" s="23" t="str">
        <f>INDEX(Minimum_Documents!$B:$B,MATCH($G140,Minimum_Documents!$A:$A,0))</f>
        <v>Payroll Register (hours and wages by employee, job class and department)</v>
      </c>
    </row>
    <row r="141" spans="1:8">
      <c r="A141" s="21">
        <v>73</v>
      </c>
      <c r="B141" s="23" t="str">
        <f>INDEX(KPI_Master!$B:$B,MATCH($A141,KPI_Master!$A:$A,0))</f>
        <v>LEAT-01</v>
      </c>
      <c r="C141" s="23" t="str">
        <f>INDEX(KPI_Master!$D:$D,MATCH($A141,KPI_Master!$A:$A,0))</f>
        <v>Mandatory Training Completion Rate</v>
      </c>
      <c r="D141" s="23" t="str">
        <f>INDEX(KPI_Master!$K:$K,MATCH($A141,KPI_Master!$A:$A,0))</f>
        <v>1 - Core</v>
      </c>
      <c r="E141" s="24" t="s">
        <v>1040</v>
      </c>
      <c r="F141" s="23" t="str">
        <f>INDEX(Common_Formula_Elements!$B:$B,MATCH($E141,Common_Formula_Elements!$A:$A,0))</f>
        <v>Training Assignments &amp; Completions</v>
      </c>
      <c r="G141" s="21" t="str">
        <f>INDEX(Common_Formula_Elements!$G:$G,MATCH($E141,Common_Formula_Elements!$A:$A,0))</f>
        <v>D11</v>
      </c>
      <c r="H141" s="23" t="str">
        <f>INDEX(Minimum_Documents!$B:$B,MATCH($G141,Minimum_Documents!$A:$A,0))</f>
        <v>LMS Training Completion Report</v>
      </c>
    </row>
    <row r="142" spans="1:8">
      <c r="A142" s="21">
        <v>74</v>
      </c>
      <c r="B142" s="23" t="str">
        <f>INDEX(KPI_Master!$B:$B,MATCH($A142,KPI_Master!$A:$A,0))</f>
        <v>LIFE-01</v>
      </c>
      <c r="C142" s="23" t="str">
        <f>INDEX(KPI_Master!$D:$D,MATCH($A142,KPI_Master!$A:$A,0))</f>
        <v>Activity Participation Rate</v>
      </c>
      <c r="D142" s="23" t="str">
        <f>INDEX(KPI_Master!$K:$K,MATCH($A142,KPI_Master!$A:$A,0))</f>
        <v>1 - Core</v>
      </c>
      <c r="E142" s="24" t="s">
        <v>1099</v>
      </c>
      <c r="F142" s="23" t="str">
        <f>INDEX(Common_Formula_Elements!$B:$B,MATCH($E142,Common_Formula_Elements!$A:$A,0))</f>
        <v>Activity Attendance</v>
      </c>
      <c r="G142" s="21" t="str">
        <f>INDEX(Common_Formula_Elements!$G:$G,MATCH($E142,Common_Formula_Elements!$A:$A,0))</f>
        <v>D24</v>
      </c>
      <c r="H142" s="23" t="str">
        <f>INDEX(Minimum_Documents!$B:$B,MATCH($G142,Minimum_Documents!$A:$A,0))</f>
        <v>Activity Calendar &amp; Attendance Report</v>
      </c>
    </row>
    <row r="143" spans="1:8">
      <c r="A143" s="21">
        <v>74</v>
      </c>
      <c r="B143" s="23" t="str">
        <f>INDEX(KPI_Master!$B:$B,MATCH($A143,KPI_Master!$A:$A,0))</f>
        <v>LIFE-01</v>
      </c>
      <c r="C143" s="23" t="str">
        <f>INDEX(KPI_Master!$D:$D,MATCH($A143,KPI_Master!$A:$A,0))</f>
        <v>Activity Participation Rate</v>
      </c>
      <c r="D143" s="23" t="str">
        <f>INDEX(KPI_Master!$K:$K,MATCH($A143,KPI_Master!$A:$A,0))</f>
        <v>1 - Core</v>
      </c>
      <c r="E143" s="24" t="s">
        <v>1095</v>
      </c>
      <c r="F143" s="23" t="str">
        <f>INDEX(Common_Formula_Elements!$B:$B,MATCH($E143,Common_Formula_Elements!$A:$A,0))</f>
        <v>Activity Programs Offered</v>
      </c>
      <c r="G143" s="21" t="str">
        <f>INDEX(Common_Formula_Elements!$G:$G,MATCH($E143,Common_Formula_Elements!$A:$A,0))</f>
        <v>D24</v>
      </c>
      <c r="H143" s="23" t="str">
        <f>INDEX(Minimum_Documents!$B:$B,MATCH($G143,Minimum_Documents!$A:$A,0))</f>
        <v>Activity Calendar &amp; Attendance Report</v>
      </c>
    </row>
    <row r="144" spans="1:8">
      <c r="A144" s="21">
        <v>74</v>
      </c>
      <c r="B144" s="23" t="str">
        <f>INDEX(KPI_Master!$B:$B,MATCH($A144,KPI_Master!$A:$A,0))</f>
        <v>LIFE-01</v>
      </c>
      <c r="C144" s="23" t="str">
        <f>INDEX(KPI_Master!$D:$D,MATCH($A144,KPI_Master!$A:$A,0))</f>
        <v>Activity Participation Rate</v>
      </c>
      <c r="D144" s="23" t="str">
        <f>INDEX(KPI_Master!$K:$K,MATCH($A144,KPI_Master!$A:$A,0))</f>
        <v>1 - Core</v>
      </c>
      <c r="E144" s="24" t="s">
        <v>935</v>
      </c>
      <c r="F144" s="23" t="str">
        <f>INDEX(Common_Formula_Elements!$B:$B,MATCH($E144,Common_Formula_Elements!$A:$A,0))</f>
        <v>Total Residents (headcount)</v>
      </c>
      <c r="G144" s="21" t="str">
        <f>INDEX(Common_Formula_Elements!$G:$G,MATCH($E144,Common_Formula_Elements!$A:$A,0))</f>
        <v>D01</v>
      </c>
      <c r="H144" s="23" t="str">
        <f>INDEX(Minimum_Documents!$B:$B,MATCH($G144,Minimum_Documents!$A:$A,0))</f>
        <v>Census &amp; ADT Register</v>
      </c>
    </row>
    <row r="145" spans="1:8">
      <c r="A145" s="21">
        <v>75</v>
      </c>
      <c r="B145" s="23" t="str">
        <f>INDEX(KPI_Master!$B:$B,MATCH($A145,KPI_Master!$A:$A,0))</f>
        <v>LIFE-02</v>
      </c>
      <c r="C145" s="23" t="str">
        <f>INDEX(KPI_Master!$D:$D,MATCH($A145,KPI_Master!$A:$A,0))</f>
        <v>Unique Resident Participation Rate</v>
      </c>
      <c r="D145" s="23" t="str">
        <f>INDEX(KPI_Master!$K:$K,MATCH($A145,KPI_Master!$A:$A,0))</f>
        <v>2 - Standard</v>
      </c>
      <c r="E145" s="24" t="s">
        <v>1099</v>
      </c>
      <c r="F145" s="23" t="str">
        <f>INDEX(Common_Formula_Elements!$B:$B,MATCH($E145,Common_Formula_Elements!$A:$A,0))</f>
        <v>Activity Attendance</v>
      </c>
      <c r="G145" s="21" t="str">
        <f>INDEX(Common_Formula_Elements!$G:$G,MATCH($E145,Common_Formula_Elements!$A:$A,0))</f>
        <v>D24</v>
      </c>
      <c r="H145" s="23" t="str">
        <f>INDEX(Minimum_Documents!$B:$B,MATCH($G145,Minimum_Documents!$A:$A,0))</f>
        <v>Activity Calendar &amp; Attendance Report</v>
      </c>
    </row>
    <row r="146" spans="1:8">
      <c r="A146" s="21">
        <v>75</v>
      </c>
      <c r="B146" s="23" t="str">
        <f>INDEX(KPI_Master!$B:$B,MATCH($A146,KPI_Master!$A:$A,0))</f>
        <v>LIFE-02</v>
      </c>
      <c r="C146" s="23" t="str">
        <f>INDEX(KPI_Master!$D:$D,MATCH($A146,KPI_Master!$A:$A,0))</f>
        <v>Unique Resident Participation Rate</v>
      </c>
      <c r="D146" s="23" t="str">
        <f>INDEX(KPI_Master!$K:$K,MATCH($A146,KPI_Master!$A:$A,0))</f>
        <v>2 - Standard</v>
      </c>
      <c r="E146" s="24" t="s">
        <v>935</v>
      </c>
      <c r="F146" s="23" t="str">
        <f>INDEX(Common_Formula_Elements!$B:$B,MATCH($E146,Common_Formula_Elements!$A:$A,0))</f>
        <v>Total Residents (headcount)</v>
      </c>
      <c r="G146" s="21" t="str">
        <f>INDEX(Common_Formula_Elements!$G:$G,MATCH($E146,Common_Formula_Elements!$A:$A,0))</f>
        <v>D01</v>
      </c>
      <c r="H146" s="23" t="str">
        <f>INDEX(Minimum_Documents!$B:$B,MATCH($G146,Minimum_Documents!$A:$A,0))</f>
        <v>Census &amp; ADT Register</v>
      </c>
    </row>
    <row r="147" spans="1:8" ht="28.5" customHeight="1">
      <c r="A147" s="21">
        <v>76</v>
      </c>
      <c r="B147" s="23" t="str">
        <f>INDEX(KPI_Master!$B:$B,MATCH($A147,KPI_Master!$A:$A,0))</f>
        <v>LIFE-08</v>
      </c>
      <c r="C147" s="23" t="str">
        <f>INDEX(KPI_Master!$D:$D,MATCH($A147,KPI_Master!$A:$A,0))</f>
        <v>Resident Program Satisfaction Score</v>
      </c>
      <c r="D147" s="23" t="str">
        <f>INDEX(KPI_Master!$K:$K,MATCH($A147,KPI_Master!$A:$A,0))</f>
        <v>2 - Standard</v>
      </c>
      <c r="E147" s="24" t="s">
        <v>1044</v>
      </c>
      <c r="F147" s="23" t="str">
        <f>INDEX(Common_Formula_Elements!$B:$B,MATCH($E147,Common_Formula_Elements!$A:$A,0))</f>
        <v>Survey Ratings &amp; Response Counts</v>
      </c>
      <c r="G147" s="21" t="str">
        <f>INDEX(Common_Formula_Elements!$G:$G,MATCH($E147,Common_Formula_Elements!$A:$A,0))</f>
        <v>D12</v>
      </c>
      <c r="H147" s="23" t="str">
        <f>INDEX(Minimum_Documents!$B:$B,MATCH($G147,Minimum_Documents!$A:$A,0))</f>
        <v>Satisfaction &amp; Engagement Survey Results (resident, family, employee)</v>
      </c>
    </row>
    <row r="148" spans="1:8" ht="28.5" customHeight="1">
      <c r="A148" s="21">
        <v>77</v>
      </c>
      <c r="B148" s="23" t="str">
        <f>INDEX(KPI_Master!$B:$B,MATCH($A148,KPI_Master!$A:$A,0))</f>
        <v>LIFE-11</v>
      </c>
      <c r="C148" s="23" t="str">
        <f>INDEX(KPI_Master!$D:$D,MATCH($A148,KPI_Master!$A:$A,0))</f>
        <v>Memory Care Structured Engagement Hours per Resident per Day</v>
      </c>
      <c r="D148" s="23" t="str">
        <f>INDEX(KPI_Master!$K:$K,MATCH($A148,KPI_Master!$A:$A,0))</f>
        <v>2 - Standard</v>
      </c>
      <c r="E148" s="24" t="s">
        <v>1099</v>
      </c>
      <c r="F148" s="23" t="str">
        <f>INDEX(Common_Formula_Elements!$B:$B,MATCH($E148,Common_Formula_Elements!$A:$A,0))</f>
        <v>Activity Attendance</v>
      </c>
      <c r="G148" s="21" t="str">
        <f>INDEX(Common_Formula_Elements!$G:$G,MATCH($E148,Common_Formula_Elements!$A:$A,0))</f>
        <v>D24</v>
      </c>
      <c r="H148" s="23" t="str">
        <f>INDEX(Minimum_Documents!$B:$B,MATCH($G148,Minimum_Documents!$A:$A,0))</f>
        <v>Activity Calendar &amp; Attendance Report</v>
      </c>
    </row>
    <row r="149" spans="1:8" ht="28.5" customHeight="1">
      <c r="A149" s="21">
        <v>77</v>
      </c>
      <c r="B149" s="23" t="str">
        <f>INDEX(KPI_Master!$B:$B,MATCH($A149,KPI_Master!$A:$A,0))</f>
        <v>LIFE-11</v>
      </c>
      <c r="C149" s="23" t="str">
        <f>INDEX(KPI_Master!$D:$D,MATCH($A149,KPI_Master!$A:$A,0))</f>
        <v>Memory Care Structured Engagement Hours per Resident per Day</v>
      </c>
      <c r="D149" s="23" t="str">
        <f>INDEX(KPI_Master!$K:$K,MATCH($A149,KPI_Master!$A:$A,0))</f>
        <v>2 - Standard</v>
      </c>
      <c r="E149" s="24" t="s">
        <v>944</v>
      </c>
      <c r="F149" s="23" t="str">
        <f>INDEX(Common_Formula_Elements!$B:$B,MATCH($E149,Common_Formula_Elements!$A:$A,0))</f>
        <v>Census by Level of Care (AL / MC / SNF)</v>
      </c>
      <c r="G149" s="21" t="str">
        <f>INDEX(Common_Formula_Elements!$G:$G,MATCH($E149,Common_Formula_Elements!$A:$A,0))</f>
        <v>D01</v>
      </c>
      <c r="H149" s="23" t="str">
        <f>INDEX(Minimum_Documents!$B:$B,MATCH($G149,Minimum_Documents!$A:$A,0))</f>
        <v>Census &amp; ADT Register</v>
      </c>
    </row>
    <row r="150" spans="1:8">
      <c r="A150" s="21">
        <v>78</v>
      </c>
      <c r="B150" s="23" t="str">
        <f>INDEX(KPI_Master!$B:$B,MATCH($A150,KPI_Master!$A:$A,0))</f>
        <v>LIFE-12</v>
      </c>
      <c r="C150" s="23" t="str">
        <f>INDEX(KPI_Master!$D:$D,MATCH($A150,KPI_Master!$A:$A,0))</f>
        <v>Programs Offered per Resident per Week</v>
      </c>
      <c r="D150" s="23" t="str">
        <f>INDEX(KPI_Master!$K:$K,MATCH($A150,KPI_Master!$A:$A,0))</f>
        <v>3 - Optional</v>
      </c>
      <c r="E150" s="24" t="s">
        <v>1095</v>
      </c>
      <c r="F150" s="23" t="str">
        <f>INDEX(Common_Formula_Elements!$B:$B,MATCH($E150,Common_Formula_Elements!$A:$A,0))</f>
        <v>Activity Programs Offered</v>
      </c>
      <c r="G150" s="21" t="str">
        <f>INDEX(Common_Formula_Elements!$G:$G,MATCH($E150,Common_Formula_Elements!$A:$A,0))</f>
        <v>D24</v>
      </c>
      <c r="H150" s="23" t="str">
        <f>INDEX(Minimum_Documents!$B:$B,MATCH($G150,Minimum_Documents!$A:$A,0))</f>
        <v>Activity Calendar &amp; Attendance Report</v>
      </c>
    </row>
    <row r="151" spans="1:8">
      <c r="A151" s="21">
        <v>78</v>
      </c>
      <c r="B151" s="23" t="str">
        <f>INDEX(KPI_Master!$B:$B,MATCH($A151,KPI_Master!$A:$A,0))</f>
        <v>LIFE-12</v>
      </c>
      <c r="C151" s="23" t="str">
        <f>INDEX(KPI_Master!$D:$D,MATCH($A151,KPI_Master!$A:$A,0))</f>
        <v>Programs Offered per Resident per Week</v>
      </c>
      <c r="D151" s="23" t="str">
        <f>INDEX(KPI_Master!$K:$K,MATCH($A151,KPI_Master!$A:$A,0))</f>
        <v>3 - Optional</v>
      </c>
      <c r="E151" s="24" t="s">
        <v>932</v>
      </c>
      <c r="F151" s="23" t="str">
        <f>INDEX(Common_Formula_Elements!$B:$B,MATCH($E151,Common_Formula_Elements!$A:$A,0))</f>
        <v>Occupied Units / Beds</v>
      </c>
      <c r="G151" s="21" t="str">
        <f>INDEX(Common_Formula_Elements!$G:$G,MATCH($E151,Common_Formula_Elements!$A:$A,0))</f>
        <v>D01</v>
      </c>
      <c r="H151" s="23" t="str">
        <f>INDEX(Minimum_Documents!$B:$B,MATCH($G151,Minimum_Documents!$A:$A,0))</f>
        <v>Census &amp; ADT Register</v>
      </c>
    </row>
    <row r="152" spans="1:8">
      <c r="A152" s="21">
        <v>79</v>
      </c>
      <c r="B152" s="23" t="str">
        <f>INDEX(KPI_Master!$B:$B,MATCH($A152,KPI_Master!$A:$A,0))</f>
        <v>LIFE-13</v>
      </c>
      <c r="C152" s="23" t="str">
        <f>INDEX(KPI_Master!$D:$D,MATCH($A152,KPI_Master!$A:$A,0))</f>
        <v>Participation Mix by Wellness Dimension</v>
      </c>
      <c r="D152" s="23" t="str">
        <f>INDEX(KPI_Master!$K:$K,MATCH($A152,KPI_Master!$A:$A,0))</f>
        <v>3 - Optional</v>
      </c>
      <c r="E152" s="24" t="s">
        <v>1099</v>
      </c>
      <c r="F152" s="23" t="str">
        <f>INDEX(Common_Formula_Elements!$B:$B,MATCH($E152,Common_Formula_Elements!$A:$A,0))</f>
        <v>Activity Attendance</v>
      </c>
      <c r="G152" s="21" t="str">
        <f>INDEX(Common_Formula_Elements!$G:$G,MATCH($E152,Common_Formula_Elements!$A:$A,0))</f>
        <v>D24</v>
      </c>
      <c r="H152" s="23" t="str">
        <f>INDEX(Minimum_Documents!$B:$B,MATCH($G152,Minimum_Documents!$A:$A,0))</f>
        <v>Activity Calendar &amp; Attendance Report</v>
      </c>
    </row>
    <row r="153" spans="1:8">
      <c r="A153" s="21">
        <v>79</v>
      </c>
      <c r="B153" s="23" t="str">
        <f>INDEX(KPI_Master!$B:$B,MATCH($A153,KPI_Master!$A:$A,0))</f>
        <v>LIFE-13</v>
      </c>
      <c r="C153" s="23" t="str">
        <f>INDEX(KPI_Master!$D:$D,MATCH($A153,KPI_Master!$A:$A,0))</f>
        <v>Participation Mix by Wellness Dimension</v>
      </c>
      <c r="D153" s="23" t="str">
        <f>INDEX(KPI_Master!$K:$K,MATCH($A153,KPI_Master!$A:$A,0))</f>
        <v>3 - Optional</v>
      </c>
      <c r="E153" s="24" t="s">
        <v>1095</v>
      </c>
      <c r="F153" s="23" t="str">
        <f>INDEX(Common_Formula_Elements!$B:$B,MATCH($E153,Common_Formula_Elements!$A:$A,0))</f>
        <v>Activity Programs Offered</v>
      </c>
      <c r="G153" s="21" t="str">
        <f>INDEX(Common_Formula_Elements!$G:$G,MATCH($E153,Common_Formula_Elements!$A:$A,0))</f>
        <v>D24</v>
      </c>
      <c r="H153" s="23" t="str">
        <f>INDEX(Minimum_Documents!$B:$B,MATCH($G153,Minimum_Documents!$A:$A,0))</f>
        <v>Activity Calendar &amp; Attendance Report</v>
      </c>
    </row>
    <row r="154" spans="1:8" ht="28.5" customHeight="1">
      <c r="A154" s="21">
        <v>80</v>
      </c>
      <c r="B154" s="23" t="str">
        <f>INDEX(KPI_Master!$B:$B,MATCH($A154,KPI_Master!$A:$A,0))</f>
        <v>LIFE-14</v>
      </c>
      <c r="C154" s="23" t="str">
        <f>INDEX(KPI_Master!$D:$D,MATCH($A154,KPI_Master!$A:$A,0))</f>
        <v>Life Enrichment Programming Coverage (Hours per Day)</v>
      </c>
      <c r="D154" s="23" t="str">
        <f>INDEX(KPI_Master!$K:$K,MATCH($A154,KPI_Master!$A:$A,0))</f>
        <v>2 - Standard</v>
      </c>
      <c r="E154" s="24" t="s">
        <v>1095</v>
      </c>
      <c r="F154" s="23" t="str">
        <f>INDEX(Common_Formula_Elements!$B:$B,MATCH($E154,Common_Formula_Elements!$A:$A,0))</f>
        <v>Activity Programs Offered</v>
      </c>
      <c r="G154" s="21" t="str">
        <f>INDEX(Common_Formula_Elements!$G:$G,MATCH($E154,Common_Formula_Elements!$A:$A,0))</f>
        <v>D24</v>
      </c>
      <c r="H154" s="23" t="str">
        <f>INDEX(Minimum_Documents!$B:$B,MATCH($G154,Minimum_Documents!$A:$A,0))</f>
        <v>Activity Calendar &amp; Attendance Report</v>
      </c>
    </row>
    <row r="155" spans="1:8" ht="28.5" customHeight="1">
      <c r="A155" s="21">
        <v>81</v>
      </c>
      <c r="B155" s="23" t="str">
        <f>INDEX(KPI_Master!$B:$B,MATCH($A155,KPI_Master!$A:$A,0))</f>
        <v>NURC-01</v>
      </c>
      <c r="C155" s="23" t="str">
        <f>INDEX(KPI_Master!$D:$D,MATCH($A155,KPI_Master!$A:$A,0))</f>
        <v>Falls per 1,000 Resident Days</v>
      </c>
      <c r="D155" s="23" t="str">
        <f>INDEX(KPI_Master!$K:$K,MATCH($A155,KPI_Master!$A:$A,0))</f>
        <v>1 - Core</v>
      </c>
      <c r="E155" s="24" t="s">
        <v>1048</v>
      </c>
      <c r="F155" s="23" t="str">
        <f>INDEX(Common_Formula_Elements!$B:$B,MATCH($E155,Common_Formula_Elements!$A:$A,0))</f>
        <v>Incidents by Type</v>
      </c>
      <c r="G155" s="21" t="str">
        <f>INDEX(Common_Formula_Elements!$G:$G,MATCH($E155,Common_Formula_Elements!$A:$A,0))</f>
        <v>D13</v>
      </c>
      <c r="H155" s="23" t="str">
        <f>INDEX(Minimum_Documents!$B:$B,MATCH($G155,Minimum_Documents!$A:$A,0))</f>
        <v>Incident &amp; Accident Log (falls, med errors, reportable, security, elopement)</v>
      </c>
    </row>
    <row r="156" spans="1:8">
      <c r="A156" s="21">
        <v>81</v>
      </c>
      <c r="B156" s="23" t="str">
        <f>INDEX(KPI_Master!$B:$B,MATCH($A156,KPI_Master!$A:$A,0))</f>
        <v>NURC-01</v>
      </c>
      <c r="C156" s="23" t="str">
        <f>INDEX(KPI_Master!$D:$D,MATCH($A156,KPI_Master!$A:$A,0))</f>
        <v>Falls per 1,000 Resident Days</v>
      </c>
      <c r="D156" s="23" t="str">
        <f>INDEX(KPI_Master!$K:$K,MATCH($A156,KPI_Master!$A:$A,0))</f>
        <v>1 - Core</v>
      </c>
      <c r="E156" s="24" t="s">
        <v>928</v>
      </c>
      <c r="F156" s="23" t="str">
        <f>INDEX(Common_Formula_Elements!$B:$B,MATCH($E156,Common_Formula_Elements!$A:$A,0))</f>
        <v>Total Resident Days</v>
      </c>
      <c r="G156" s="21" t="str">
        <f>INDEX(Common_Formula_Elements!$G:$G,MATCH($E156,Common_Formula_Elements!$A:$A,0))</f>
        <v>D01</v>
      </c>
      <c r="H156" s="23" t="str">
        <f>INDEX(Minimum_Documents!$B:$B,MATCH($G156,Minimum_Documents!$A:$A,0))</f>
        <v>Census &amp; ADT Register</v>
      </c>
    </row>
    <row r="157" spans="1:8" ht="28.5" customHeight="1">
      <c r="A157" s="21">
        <v>82</v>
      </c>
      <c r="B157" s="23" t="str">
        <f>INDEX(KPI_Master!$B:$B,MATCH($A157,KPI_Master!$A:$A,0))</f>
        <v>NURC-02</v>
      </c>
      <c r="C157" s="23" t="str">
        <f>INDEX(KPI_Master!$D:$D,MATCH($A157,KPI_Master!$A:$A,0))</f>
        <v>Fall with Major Injury Rate</v>
      </c>
      <c r="D157" s="23" t="str">
        <f>INDEX(KPI_Master!$K:$K,MATCH($A157,KPI_Master!$A:$A,0))</f>
        <v>2 - Standard</v>
      </c>
      <c r="E157" s="24" t="s">
        <v>1048</v>
      </c>
      <c r="F157" s="23" t="str">
        <f>INDEX(Common_Formula_Elements!$B:$B,MATCH($E157,Common_Formula_Elements!$A:$A,0))</f>
        <v>Incidents by Type</v>
      </c>
      <c r="G157" s="21" t="str">
        <f>INDEX(Common_Formula_Elements!$G:$G,MATCH($E157,Common_Formula_Elements!$A:$A,0))</f>
        <v>D13</v>
      </c>
      <c r="H157" s="23" t="str">
        <f>INDEX(Minimum_Documents!$B:$B,MATCH($G157,Minimum_Documents!$A:$A,0))</f>
        <v>Incident &amp; Accident Log (falls, med errors, reportable, security, elopement)</v>
      </c>
    </row>
    <row r="158" spans="1:8">
      <c r="A158" s="21">
        <v>83</v>
      </c>
      <c r="B158" s="23" t="str">
        <f>INDEX(KPI_Master!$B:$B,MATCH($A158,KPI_Master!$A:$A,0))</f>
        <v>NURC-03</v>
      </c>
      <c r="C158" s="23" t="str">
        <f>INDEX(KPI_Master!$D:$D,MATCH($A158,KPI_Master!$A:$A,0))</f>
        <v>Pressure Injury Prevalence Rate</v>
      </c>
      <c r="D158" s="23" t="str">
        <f>INDEX(KPI_Master!$K:$K,MATCH($A158,KPI_Master!$A:$A,0))</f>
        <v>1 - Core</v>
      </c>
      <c r="E158" s="24" t="s">
        <v>1056</v>
      </c>
      <c r="F158" s="23" t="str">
        <f>INDEX(Common_Formula_Elements!$B:$B,MATCH($E158,Common_Formula_Elements!$A:$A,0))</f>
        <v>Clinical Assessment Results</v>
      </c>
      <c r="G158" s="21" t="str">
        <f>INDEX(Common_Formula_Elements!$G:$G,MATCH($E158,Common_Formula_Elements!$A:$A,0))</f>
        <v>D15</v>
      </c>
      <c r="H158" s="23" t="str">
        <f>INDEX(Minimum_Documents!$B:$B,MATCH($G158,Minimum_Documents!$A:$A,0))</f>
        <v>EHR Clinical Assessment &amp; Care Plan Report</v>
      </c>
    </row>
    <row r="159" spans="1:8">
      <c r="A159" s="21">
        <v>84</v>
      </c>
      <c r="B159" s="23" t="str">
        <f>INDEX(KPI_Master!$B:$B,MATCH($A159,KPI_Master!$A:$A,0))</f>
        <v>NURC-04</v>
      </c>
      <c r="C159" s="23" t="str">
        <f>INDEX(KPI_Master!$D:$D,MATCH($A159,KPI_Master!$A:$A,0))</f>
        <v>Facility-Acquired Pressure Injury Rate</v>
      </c>
      <c r="D159" s="23" t="str">
        <f>INDEX(KPI_Master!$K:$K,MATCH($A159,KPI_Master!$A:$A,0))</f>
        <v>2 - Standard</v>
      </c>
      <c r="E159" s="24" t="s">
        <v>1056</v>
      </c>
      <c r="F159" s="23" t="str">
        <f>INDEX(Common_Formula_Elements!$B:$B,MATCH($E159,Common_Formula_Elements!$A:$A,0))</f>
        <v>Clinical Assessment Results</v>
      </c>
      <c r="G159" s="21" t="str">
        <f>INDEX(Common_Formula_Elements!$G:$G,MATCH($E159,Common_Formula_Elements!$A:$A,0))</f>
        <v>D15</v>
      </c>
      <c r="H159" s="23" t="str">
        <f>INDEX(Minimum_Documents!$B:$B,MATCH($G159,Minimum_Documents!$A:$A,0))</f>
        <v>EHR Clinical Assessment &amp; Care Plan Report</v>
      </c>
    </row>
    <row r="160" spans="1:8">
      <c r="A160" s="21">
        <v>84</v>
      </c>
      <c r="B160" s="23" t="str">
        <f>INDEX(KPI_Master!$B:$B,MATCH($A160,KPI_Master!$A:$A,0))</f>
        <v>NURC-04</v>
      </c>
      <c r="C160" s="23" t="str">
        <f>INDEX(KPI_Master!$D:$D,MATCH($A160,KPI_Master!$A:$A,0))</f>
        <v>Facility-Acquired Pressure Injury Rate</v>
      </c>
      <c r="D160" s="23" t="str">
        <f>INDEX(KPI_Master!$K:$K,MATCH($A160,KPI_Master!$A:$A,0))</f>
        <v>2 - Standard</v>
      </c>
      <c r="E160" s="24" t="s">
        <v>928</v>
      </c>
      <c r="F160" s="23" t="str">
        <f>INDEX(Common_Formula_Elements!$B:$B,MATCH($E160,Common_Formula_Elements!$A:$A,0))</f>
        <v>Total Resident Days</v>
      </c>
      <c r="G160" s="21" t="str">
        <f>INDEX(Common_Formula_Elements!$G:$G,MATCH($E160,Common_Formula_Elements!$A:$A,0))</f>
        <v>D01</v>
      </c>
      <c r="H160" s="23" t="str">
        <f>INDEX(Minimum_Documents!$B:$B,MATCH($G160,Minimum_Documents!$A:$A,0))</f>
        <v>Census &amp; ADT Register</v>
      </c>
    </row>
    <row r="161" spans="1:8" ht="28.5" customHeight="1">
      <c r="A161" s="21">
        <v>85</v>
      </c>
      <c r="B161" s="23" t="str">
        <f>INDEX(KPI_Master!$B:$B,MATCH($A161,KPI_Master!$A:$A,0))</f>
        <v>NURC-05</v>
      </c>
      <c r="C161" s="23" t="str">
        <f>INDEX(KPI_Master!$D:$D,MATCH($A161,KPI_Master!$A:$A,0))</f>
        <v>Medication Error Rate</v>
      </c>
      <c r="D161" s="23" t="str">
        <f>INDEX(KPI_Master!$K:$K,MATCH($A161,KPI_Master!$A:$A,0))</f>
        <v>1 - Core</v>
      </c>
      <c r="E161" s="24" t="s">
        <v>1048</v>
      </c>
      <c r="F161" s="23" t="str">
        <f>INDEX(Common_Formula_Elements!$B:$B,MATCH($E161,Common_Formula_Elements!$A:$A,0))</f>
        <v>Incidents by Type</v>
      </c>
      <c r="G161" s="21" t="str">
        <f>INDEX(Common_Formula_Elements!$G:$G,MATCH($E161,Common_Formula_Elements!$A:$A,0))</f>
        <v>D13</v>
      </c>
      <c r="H161" s="23" t="str">
        <f>INDEX(Minimum_Documents!$B:$B,MATCH($G161,Minimum_Documents!$A:$A,0))</f>
        <v>Incident &amp; Accident Log (falls, med errors, reportable, security, elopement)</v>
      </c>
    </row>
    <row r="162" spans="1:8">
      <c r="A162" s="21">
        <v>85</v>
      </c>
      <c r="B162" s="23" t="str">
        <f>INDEX(KPI_Master!$B:$B,MATCH($A162,KPI_Master!$A:$A,0))</f>
        <v>NURC-05</v>
      </c>
      <c r="C162" s="23" t="str">
        <f>INDEX(KPI_Master!$D:$D,MATCH($A162,KPI_Master!$A:$A,0))</f>
        <v>Medication Error Rate</v>
      </c>
      <c r="D162" s="23" t="str">
        <f>INDEX(KPI_Master!$K:$K,MATCH($A162,KPI_Master!$A:$A,0))</f>
        <v>1 - Core</v>
      </c>
      <c r="E162" s="24" t="s">
        <v>1052</v>
      </c>
      <c r="F162" s="23" t="str">
        <f>INDEX(Common_Formula_Elements!$B:$B,MATCH($E162,Common_Formula_Elements!$A:$A,0))</f>
        <v>Medication Administrations</v>
      </c>
      <c r="G162" s="21" t="str">
        <f>INDEX(Common_Formula_Elements!$G:$G,MATCH($E162,Common_Formula_Elements!$A:$A,0))</f>
        <v>D14</v>
      </c>
      <c r="H162" s="23" t="str">
        <f>INDEX(Minimum_Documents!$B:$B,MATCH($G162,Minimum_Documents!$A:$A,0))</f>
        <v>eMAR Administration Report</v>
      </c>
    </row>
    <row r="163" spans="1:8">
      <c r="A163" s="21">
        <v>86</v>
      </c>
      <c r="B163" s="23" t="str">
        <f>INDEX(KPI_Master!$B:$B,MATCH($A163,KPI_Master!$A:$A,0))</f>
        <v>NURC-07</v>
      </c>
      <c r="C163" s="23" t="str">
        <f>INDEX(KPI_Master!$D:$D,MATCH($A163,KPI_Master!$A:$A,0))</f>
        <v>30-Day Hospital Readmission Rate</v>
      </c>
      <c r="D163" s="23" t="str">
        <f>INDEX(KPI_Master!$K:$K,MATCH($A163,KPI_Master!$A:$A,0))</f>
        <v>1 - Core</v>
      </c>
      <c r="E163" s="24" t="s">
        <v>953</v>
      </c>
      <c r="F163" s="23" t="str">
        <f>INDEX(Common_Formula_Elements!$B:$B,MATCH($E163,Common_Formula_Elements!$A:$A,0))</f>
        <v>Hospital Transfers &amp; Readmissions</v>
      </c>
      <c r="G163" s="21" t="str">
        <f>INDEX(Common_Formula_Elements!$G:$G,MATCH($E163,Common_Formula_Elements!$A:$A,0))</f>
        <v>D01</v>
      </c>
      <c r="H163" s="23" t="str">
        <f>INDEX(Minimum_Documents!$B:$B,MATCH($G163,Minimum_Documents!$A:$A,0))</f>
        <v>Census &amp; ADT Register</v>
      </c>
    </row>
    <row r="164" spans="1:8">
      <c r="A164" s="21">
        <v>86</v>
      </c>
      <c r="B164" s="23" t="str">
        <f>INDEX(KPI_Master!$B:$B,MATCH($A164,KPI_Master!$A:$A,0))</f>
        <v>NURC-07</v>
      </c>
      <c r="C164" s="23" t="str">
        <f>INDEX(KPI_Master!$D:$D,MATCH($A164,KPI_Master!$A:$A,0))</f>
        <v>30-Day Hospital Readmission Rate</v>
      </c>
      <c r="D164" s="23" t="str">
        <f>INDEX(KPI_Master!$K:$K,MATCH($A164,KPI_Master!$A:$A,0))</f>
        <v>1 - Core</v>
      </c>
      <c r="E164" s="24" t="s">
        <v>947</v>
      </c>
      <c r="F164" s="23" t="str">
        <f>INDEX(Common_Formula_Elements!$B:$B,MATCH($E164,Common_Formula_Elements!$A:$A,0))</f>
        <v>Move-Ins / Admissions</v>
      </c>
      <c r="G164" s="21" t="str">
        <f>INDEX(Common_Formula_Elements!$G:$G,MATCH($E164,Common_Formula_Elements!$A:$A,0))</f>
        <v>D01</v>
      </c>
      <c r="H164" s="23" t="str">
        <f>INDEX(Minimum_Documents!$B:$B,MATCH($G164,Minimum_Documents!$A:$A,0))</f>
        <v>Census &amp; ADT Register</v>
      </c>
    </row>
    <row r="165" spans="1:8">
      <c r="A165" s="21">
        <v>87</v>
      </c>
      <c r="B165" s="23" t="str">
        <f>INDEX(KPI_Master!$B:$B,MATCH($A165,KPI_Master!$A:$A,0))</f>
        <v>NURC-08</v>
      </c>
      <c r="C165" s="23" t="str">
        <f>INDEX(KPI_Master!$D:$D,MATCH($A165,KPI_Master!$A:$A,0))</f>
        <v>Unplanned Hospital Transfer Rate</v>
      </c>
      <c r="D165" s="23" t="str">
        <f>INDEX(KPI_Master!$K:$K,MATCH($A165,KPI_Master!$A:$A,0))</f>
        <v>2 - Standard</v>
      </c>
      <c r="E165" s="24" t="s">
        <v>953</v>
      </c>
      <c r="F165" s="23" t="str">
        <f>INDEX(Common_Formula_Elements!$B:$B,MATCH($E165,Common_Formula_Elements!$A:$A,0))</f>
        <v>Hospital Transfers &amp; Readmissions</v>
      </c>
      <c r="G165" s="21" t="str">
        <f>INDEX(Common_Formula_Elements!$G:$G,MATCH($E165,Common_Formula_Elements!$A:$A,0))</f>
        <v>D01</v>
      </c>
      <c r="H165" s="23" t="str">
        <f>INDEX(Minimum_Documents!$B:$B,MATCH($G165,Minimum_Documents!$A:$A,0))</f>
        <v>Census &amp; ADT Register</v>
      </c>
    </row>
    <row r="166" spans="1:8">
      <c r="A166" s="21">
        <v>87</v>
      </c>
      <c r="B166" s="23" t="str">
        <f>INDEX(KPI_Master!$B:$B,MATCH($A166,KPI_Master!$A:$A,0))</f>
        <v>NURC-08</v>
      </c>
      <c r="C166" s="23" t="str">
        <f>INDEX(KPI_Master!$D:$D,MATCH($A166,KPI_Master!$A:$A,0))</f>
        <v>Unplanned Hospital Transfer Rate</v>
      </c>
      <c r="D166" s="23" t="str">
        <f>INDEX(KPI_Master!$K:$K,MATCH($A166,KPI_Master!$A:$A,0))</f>
        <v>2 - Standard</v>
      </c>
      <c r="E166" s="24" t="s">
        <v>928</v>
      </c>
      <c r="F166" s="23" t="str">
        <f>INDEX(Common_Formula_Elements!$B:$B,MATCH($E166,Common_Formula_Elements!$A:$A,0))</f>
        <v>Total Resident Days</v>
      </c>
      <c r="G166" s="21" t="str">
        <f>INDEX(Common_Formula_Elements!$G:$G,MATCH($E166,Common_Formula_Elements!$A:$A,0))</f>
        <v>D01</v>
      </c>
      <c r="H166" s="23" t="str">
        <f>INDEX(Minimum_Documents!$B:$B,MATCH($G166,Minimum_Documents!$A:$A,0))</f>
        <v>Census &amp; ADT Register</v>
      </c>
    </row>
    <row r="167" spans="1:8">
      <c r="A167" s="21">
        <v>88</v>
      </c>
      <c r="B167" s="23" t="str">
        <f>INDEX(KPI_Master!$B:$B,MATCH($A167,KPI_Master!$A:$A,0))</f>
        <v>NURC-09</v>
      </c>
      <c r="C167" s="23" t="str">
        <f>INDEX(KPI_Master!$D:$D,MATCH($A167,KPI_Master!$A:$A,0))</f>
        <v>Infection Rate per 1,000 Resident Days</v>
      </c>
      <c r="D167" s="23" t="str">
        <f>INDEX(KPI_Master!$K:$K,MATCH($A167,KPI_Master!$A:$A,0))</f>
        <v>2 - Standard</v>
      </c>
      <c r="E167" s="24" t="s">
        <v>1075</v>
      </c>
      <c r="F167" s="23" t="str">
        <f>INDEX(Common_Formula_Elements!$B:$B,MATCH($E167,Common_Formula_Elements!$A:$A,0))</f>
        <v>Confirmed Infections</v>
      </c>
      <c r="G167" s="21" t="str">
        <f>INDEX(Common_Formula_Elements!$G:$G,MATCH($E167,Common_Formula_Elements!$A:$A,0))</f>
        <v>D19</v>
      </c>
      <c r="H167" s="23" t="str">
        <f>INDEX(Minimum_Documents!$B:$B,MATCH($G167,Minimum_Documents!$A:$A,0))</f>
        <v>Infection Surveillance Line Listing</v>
      </c>
    </row>
    <row r="168" spans="1:8">
      <c r="A168" s="21">
        <v>88</v>
      </c>
      <c r="B168" s="23" t="str">
        <f>INDEX(KPI_Master!$B:$B,MATCH($A168,KPI_Master!$A:$A,0))</f>
        <v>NURC-09</v>
      </c>
      <c r="C168" s="23" t="str">
        <f>INDEX(KPI_Master!$D:$D,MATCH($A168,KPI_Master!$A:$A,0))</f>
        <v>Infection Rate per 1,000 Resident Days</v>
      </c>
      <c r="D168" s="23" t="str">
        <f>INDEX(KPI_Master!$K:$K,MATCH($A168,KPI_Master!$A:$A,0))</f>
        <v>2 - Standard</v>
      </c>
      <c r="E168" s="24" t="s">
        <v>928</v>
      </c>
      <c r="F168" s="23" t="str">
        <f>INDEX(Common_Formula_Elements!$B:$B,MATCH($E168,Common_Formula_Elements!$A:$A,0))</f>
        <v>Total Resident Days</v>
      </c>
      <c r="G168" s="21" t="str">
        <f>INDEX(Common_Formula_Elements!$G:$G,MATCH($E168,Common_Formula_Elements!$A:$A,0))</f>
        <v>D01</v>
      </c>
      <c r="H168" s="23" t="str">
        <f>INDEX(Minimum_Documents!$B:$B,MATCH($G168,Minimum_Documents!$A:$A,0))</f>
        <v>Census &amp; ADT Register</v>
      </c>
    </row>
    <row r="169" spans="1:8">
      <c r="A169" s="21">
        <v>89</v>
      </c>
      <c r="B169" s="23" t="str">
        <f>INDEX(KPI_Master!$B:$B,MATCH($A169,KPI_Master!$A:$A,0))</f>
        <v>NURC-10</v>
      </c>
      <c r="C169" s="23" t="str">
        <f>INDEX(KPI_Master!$D:$D,MATCH($A169,KPI_Master!$A:$A,0))</f>
        <v>UTI Rate per 1,000 Resident Days</v>
      </c>
      <c r="D169" s="23" t="str">
        <f>INDEX(KPI_Master!$K:$K,MATCH($A169,KPI_Master!$A:$A,0))</f>
        <v>2 - Standard</v>
      </c>
      <c r="E169" s="24" t="s">
        <v>1075</v>
      </c>
      <c r="F169" s="23" t="str">
        <f>INDEX(Common_Formula_Elements!$B:$B,MATCH($E169,Common_Formula_Elements!$A:$A,0))</f>
        <v>Confirmed Infections</v>
      </c>
      <c r="G169" s="21" t="str">
        <f>INDEX(Common_Formula_Elements!$G:$G,MATCH($E169,Common_Formula_Elements!$A:$A,0))</f>
        <v>D19</v>
      </c>
      <c r="H169" s="23" t="str">
        <f>INDEX(Minimum_Documents!$B:$B,MATCH($G169,Minimum_Documents!$A:$A,0))</f>
        <v>Infection Surveillance Line Listing</v>
      </c>
    </row>
    <row r="170" spans="1:8">
      <c r="A170" s="21">
        <v>89</v>
      </c>
      <c r="B170" s="23" t="str">
        <f>INDEX(KPI_Master!$B:$B,MATCH($A170,KPI_Master!$A:$A,0))</f>
        <v>NURC-10</v>
      </c>
      <c r="C170" s="23" t="str">
        <f>INDEX(KPI_Master!$D:$D,MATCH($A170,KPI_Master!$A:$A,0))</f>
        <v>UTI Rate per 1,000 Resident Days</v>
      </c>
      <c r="D170" s="23" t="str">
        <f>INDEX(KPI_Master!$K:$K,MATCH($A170,KPI_Master!$A:$A,0))</f>
        <v>2 - Standard</v>
      </c>
      <c r="E170" s="24" t="s">
        <v>928</v>
      </c>
      <c r="F170" s="23" t="str">
        <f>INDEX(Common_Formula_Elements!$B:$B,MATCH($E170,Common_Formula_Elements!$A:$A,0))</f>
        <v>Total Resident Days</v>
      </c>
      <c r="G170" s="21" t="str">
        <f>INDEX(Common_Formula_Elements!$G:$G,MATCH($E170,Common_Formula_Elements!$A:$A,0))</f>
        <v>D01</v>
      </c>
      <c r="H170" s="23" t="str">
        <f>INDEX(Minimum_Documents!$B:$B,MATCH($G170,Minimum_Documents!$A:$A,0))</f>
        <v>Census &amp; ADT Register</v>
      </c>
    </row>
    <row r="171" spans="1:8">
      <c r="A171" s="21">
        <v>90</v>
      </c>
      <c r="B171" s="23" t="str">
        <f>INDEX(KPI_Master!$B:$B,MATCH($A171,KPI_Master!$A:$A,0))</f>
        <v>NURC-12</v>
      </c>
      <c r="C171" s="23" t="str">
        <f>INDEX(KPI_Master!$D:$D,MATCH($A171,KPI_Master!$A:$A,0))</f>
        <v>Unplanned Weight Loss Rate</v>
      </c>
      <c r="D171" s="23" t="str">
        <f>INDEX(KPI_Master!$K:$K,MATCH($A171,KPI_Master!$A:$A,0))</f>
        <v>2 - Standard</v>
      </c>
      <c r="E171" s="24" t="s">
        <v>1056</v>
      </c>
      <c r="F171" s="23" t="str">
        <f>INDEX(Common_Formula_Elements!$B:$B,MATCH($E171,Common_Formula_Elements!$A:$A,0))</f>
        <v>Clinical Assessment Results</v>
      </c>
      <c r="G171" s="21" t="str">
        <f>INDEX(Common_Formula_Elements!$G:$G,MATCH($E171,Common_Formula_Elements!$A:$A,0))</f>
        <v>D15</v>
      </c>
      <c r="H171" s="23" t="str">
        <f>INDEX(Minimum_Documents!$B:$B,MATCH($G171,Minimum_Documents!$A:$A,0))</f>
        <v>EHR Clinical Assessment &amp; Care Plan Report</v>
      </c>
    </row>
    <row r="172" spans="1:8">
      <c r="A172" s="21">
        <v>91</v>
      </c>
      <c r="B172" s="23" t="str">
        <f>INDEX(KPI_Master!$B:$B,MATCH($A172,KPI_Master!$A:$A,0))</f>
        <v>NURC-13</v>
      </c>
      <c r="C172" s="23" t="str">
        <f>INDEX(KPI_Master!$D:$D,MATCH($A172,KPI_Master!$A:$A,0))</f>
        <v>Antipsychotic Medication Use Rate</v>
      </c>
      <c r="D172" s="23" t="str">
        <f>INDEX(KPI_Master!$K:$K,MATCH($A172,KPI_Master!$A:$A,0))</f>
        <v>2 - Standard</v>
      </c>
      <c r="E172" s="24" t="s">
        <v>1052</v>
      </c>
      <c r="F172" s="23" t="str">
        <f>INDEX(Common_Formula_Elements!$B:$B,MATCH($E172,Common_Formula_Elements!$A:$A,0))</f>
        <v>Medication Administrations</v>
      </c>
      <c r="G172" s="21" t="str">
        <f>INDEX(Common_Formula_Elements!$G:$G,MATCH($E172,Common_Formula_Elements!$A:$A,0))</f>
        <v>D14</v>
      </c>
      <c r="H172" s="23" t="str">
        <f>INDEX(Minimum_Documents!$B:$B,MATCH($G172,Minimum_Documents!$A:$A,0))</f>
        <v>eMAR Administration Report</v>
      </c>
    </row>
    <row r="173" spans="1:8">
      <c r="A173" s="21">
        <v>91</v>
      </c>
      <c r="B173" s="23" t="str">
        <f>INDEX(KPI_Master!$B:$B,MATCH($A173,KPI_Master!$A:$A,0))</f>
        <v>NURC-13</v>
      </c>
      <c r="C173" s="23" t="str">
        <f>INDEX(KPI_Master!$D:$D,MATCH($A173,KPI_Master!$A:$A,0))</f>
        <v>Antipsychotic Medication Use Rate</v>
      </c>
      <c r="D173" s="23" t="str">
        <f>INDEX(KPI_Master!$K:$K,MATCH($A173,KPI_Master!$A:$A,0))</f>
        <v>2 - Standard</v>
      </c>
      <c r="E173" s="24" t="s">
        <v>1056</v>
      </c>
      <c r="F173" s="23" t="str">
        <f>INDEX(Common_Formula_Elements!$B:$B,MATCH($E173,Common_Formula_Elements!$A:$A,0))</f>
        <v>Clinical Assessment Results</v>
      </c>
      <c r="G173" s="21" t="str">
        <f>INDEX(Common_Formula_Elements!$G:$G,MATCH($E173,Common_Formula_Elements!$A:$A,0))</f>
        <v>D15</v>
      </c>
      <c r="H173" s="23" t="str">
        <f>INDEX(Minimum_Documents!$B:$B,MATCH($G173,Minimum_Documents!$A:$A,0))</f>
        <v>EHR Clinical Assessment &amp; Care Plan Report</v>
      </c>
    </row>
    <row r="174" spans="1:8">
      <c r="A174" s="21">
        <v>91</v>
      </c>
      <c r="B174" s="23" t="str">
        <f>INDEX(KPI_Master!$B:$B,MATCH($A174,KPI_Master!$A:$A,0))</f>
        <v>NURC-13</v>
      </c>
      <c r="C174" s="23" t="str">
        <f>INDEX(KPI_Master!$D:$D,MATCH($A174,KPI_Master!$A:$A,0))</f>
        <v>Antipsychotic Medication Use Rate</v>
      </c>
      <c r="D174" s="23" t="str">
        <f>INDEX(KPI_Master!$K:$K,MATCH($A174,KPI_Master!$A:$A,0))</f>
        <v>2 - Standard</v>
      </c>
      <c r="E174" s="24" t="s">
        <v>935</v>
      </c>
      <c r="F174" s="23" t="str">
        <f>INDEX(Common_Formula_Elements!$B:$B,MATCH($E174,Common_Formula_Elements!$A:$A,0))</f>
        <v>Total Residents (headcount)</v>
      </c>
      <c r="G174" s="21" t="str">
        <f>INDEX(Common_Formula_Elements!$G:$G,MATCH($E174,Common_Formula_Elements!$A:$A,0))</f>
        <v>D01</v>
      </c>
      <c r="H174" s="23" t="str">
        <f>INDEX(Minimum_Documents!$B:$B,MATCH($G174,Minimum_Documents!$A:$A,0))</f>
        <v>Census &amp; ADT Register</v>
      </c>
    </row>
    <row r="175" spans="1:8">
      <c r="A175" s="21">
        <v>92</v>
      </c>
      <c r="B175" s="23" t="str">
        <f>INDEX(KPI_Master!$B:$B,MATCH($A175,KPI_Master!$A:$A,0))</f>
        <v>NURC-14</v>
      </c>
      <c r="C175" s="23" t="str">
        <f>INDEX(KPI_Master!$D:$D,MATCH($A175,KPI_Master!$A:$A,0))</f>
        <v>Care Plan Timeliness Compliance</v>
      </c>
      <c r="D175" s="23" t="str">
        <f>INDEX(KPI_Master!$K:$K,MATCH($A175,KPI_Master!$A:$A,0))</f>
        <v>2 - Standard</v>
      </c>
      <c r="E175" s="24" t="s">
        <v>1060</v>
      </c>
      <c r="F175" s="23" t="str">
        <f>INDEX(Common_Formula_Elements!$B:$B,MATCH($E175,Common_Formula_Elements!$A:$A,0))</f>
        <v>Care Plan &amp; Assessment Schedule</v>
      </c>
      <c r="G175" s="21" t="str">
        <f>INDEX(Common_Formula_Elements!$G:$G,MATCH($E175,Common_Formula_Elements!$A:$A,0))</f>
        <v>D15</v>
      </c>
      <c r="H175" s="23" t="str">
        <f>INDEX(Minimum_Documents!$B:$B,MATCH($G175,Minimum_Documents!$A:$A,0))</f>
        <v>EHR Clinical Assessment &amp; Care Plan Report</v>
      </c>
    </row>
    <row r="176" spans="1:8">
      <c r="A176" s="21">
        <v>93</v>
      </c>
      <c r="B176" s="23" t="str">
        <f>INDEX(KPI_Master!$B:$B,MATCH($A176,KPI_Master!$A:$A,0))</f>
        <v>NURC-15</v>
      </c>
      <c r="C176" s="23" t="str">
        <f>INDEX(KPI_Master!$D:$D,MATCH($A176,KPI_Master!$A:$A,0))</f>
        <v>Assessment Completion Rate (MDS / Service Plan)</v>
      </c>
      <c r="D176" s="23" t="str">
        <f>INDEX(KPI_Master!$K:$K,MATCH($A176,KPI_Master!$A:$A,0))</f>
        <v>2 - Standard</v>
      </c>
      <c r="E176" s="24" t="s">
        <v>1060</v>
      </c>
      <c r="F176" s="23" t="str">
        <f>INDEX(Common_Formula_Elements!$B:$B,MATCH($E176,Common_Formula_Elements!$A:$A,0))</f>
        <v>Care Plan &amp; Assessment Schedule</v>
      </c>
      <c r="G176" s="21" t="str">
        <f>INDEX(Common_Formula_Elements!$G:$G,MATCH($E176,Common_Formula_Elements!$A:$A,0))</f>
        <v>D15</v>
      </c>
      <c r="H176" s="23" t="str">
        <f>INDEX(Minimum_Documents!$B:$B,MATCH($G176,Minimum_Documents!$A:$A,0))</f>
        <v>EHR Clinical Assessment &amp; Care Plan Report</v>
      </c>
    </row>
    <row r="177" spans="1:8">
      <c r="A177" s="21">
        <v>94</v>
      </c>
      <c r="B177" s="23" t="str">
        <f>INDEX(KPI_Master!$B:$B,MATCH($A177,KPI_Master!$A:$A,0))</f>
        <v>NURC-16</v>
      </c>
      <c r="C177" s="23" t="str">
        <f>INDEX(KPI_Master!$D:$D,MATCH($A177,KPI_Master!$A:$A,0))</f>
        <v>Average Acuity Score per Resident</v>
      </c>
      <c r="D177" s="23" t="str">
        <f>INDEX(KPI_Master!$K:$K,MATCH($A177,KPI_Master!$A:$A,0))</f>
        <v>3 - Optional</v>
      </c>
      <c r="E177" s="24" t="s">
        <v>1056</v>
      </c>
      <c r="F177" s="23" t="str">
        <f>INDEX(Common_Formula_Elements!$B:$B,MATCH($E177,Common_Formula_Elements!$A:$A,0))</f>
        <v>Clinical Assessment Results</v>
      </c>
      <c r="G177" s="21" t="str">
        <f>INDEX(Common_Formula_Elements!$G:$G,MATCH($E177,Common_Formula_Elements!$A:$A,0))</f>
        <v>D15</v>
      </c>
      <c r="H177" s="23" t="str">
        <f>INDEX(Minimum_Documents!$B:$B,MATCH($G177,Minimum_Documents!$A:$A,0))</f>
        <v>EHR Clinical Assessment &amp; Care Plan Report</v>
      </c>
    </row>
    <row r="178" spans="1:8">
      <c r="A178" s="21">
        <v>94</v>
      </c>
      <c r="B178" s="23" t="str">
        <f>INDEX(KPI_Master!$B:$B,MATCH($A178,KPI_Master!$A:$A,0))</f>
        <v>NURC-16</v>
      </c>
      <c r="C178" s="23" t="str">
        <f>INDEX(KPI_Master!$D:$D,MATCH($A178,KPI_Master!$A:$A,0))</f>
        <v>Average Acuity Score per Resident</v>
      </c>
      <c r="D178" s="23" t="str">
        <f>INDEX(KPI_Master!$K:$K,MATCH($A178,KPI_Master!$A:$A,0))</f>
        <v>3 - Optional</v>
      </c>
      <c r="E178" s="24" t="s">
        <v>935</v>
      </c>
      <c r="F178" s="23" t="str">
        <f>INDEX(Common_Formula_Elements!$B:$B,MATCH($E178,Common_Formula_Elements!$A:$A,0))</f>
        <v>Total Residents (headcount)</v>
      </c>
      <c r="G178" s="21" t="str">
        <f>INDEX(Common_Formula_Elements!$G:$G,MATCH($E178,Common_Formula_Elements!$A:$A,0))</f>
        <v>D01</v>
      </c>
      <c r="H178" s="23" t="str">
        <f>INDEX(Minimum_Documents!$B:$B,MATCH($G178,Minimum_Documents!$A:$A,0))</f>
        <v>Census &amp; ADT Register</v>
      </c>
    </row>
    <row r="179" spans="1:8" ht="28.5" customHeight="1">
      <c r="A179" s="21">
        <v>95</v>
      </c>
      <c r="B179" s="23" t="str">
        <f>INDEX(KPI_Master!$B:$B,MATCH($A179,KPI_Master!$A:$A,0))</f>
        <v>NURC-17</v>
      </c>
      <c r="C179" s="23" t="str">
        <f>INDEX(KPI_Master!$D:$D,MATCH($A179,KPI_Master!$A:$A,0))</f>
        <v>Nursing Hours per Resident Day (HPRD)</v>
      </c>
      <c r="D179" s="23" t="str">
        <f>INDEX(KPI_Master!$K:$K,MATCH($A179,KPI_Master!$A:$A,0))</f>
        <v>1 - Core</v>
      </c>
      <c r="E179" s="24" t="s">
        <v>1008</v>
      </c>
      <c r="F179" s="23" t="str">
        <f>INDEX(Common_Formula_Elements!$B:$B,MATCH($E179,Common_Formula_Elements!$A:$A,0))</f>
        <v>Hours Worked (regular / OT, by department &amp; job class)</v>
      </c>
      <c r="G179" s="21" t="str">
        <f>INDEX(Common_Formula_Elements!$G:$G,MATCH($E179,Common_Formula_Elements!$A:$A,0))</f>
        <v>D06</v>
      </c>
      <c r="H179" s="23" t="str">
        <f>INDEX(Minimum_Documents!$B:$B,MATCH($G179,Minimum_Documents!$A:$A,0))</f>
        <v>Payroll Register (hours and wages by employee, job class and department)</v>
      </c>
    </row>
    <row r="180" spans="1:8">
      <c r="A180" s="21">
        <v>95</v>
      </c>
      <c r="B180" s="23" t="str">
        <f>INDEX(KPI_Master!$B:$B,MATCH($A180,KPI_Master!$A:$A,0))</f>
        <v>NURC-17</v>
      </c>
      <c r="C180" s="23" t="str">
        <f>INDEX(KPI_Master!$D:$D,MATCH($A180,KPI_Master!$A:$A,0))</f>
        <v>Nursing Hours per Resident Day (HPRD)</v>
      </c>
      <c r="D180" s="23" t="str">
        <f>INDEX(KPI_Master!$K:$K,MATCH($A180,KPI_Master!$A:$A,0))</f>
        <v>1 - Core</v>
      </c>
      <c r="E180" s="24" t="s">
        <v>928</v>
      </c>
      <c r="F180" s="23" t="str">
        <f>INDEX(Common_Formula_Elements!$B:$B,MATCH($E180,Common_Formula_Elements!$A:$A,0))</f>
        <v>Total Resident Days</v>
      </c>
      <c r="G180" s="21" t="str">
        <f>INDEX(Common_Formula_Elements!$G:$G,MATCH($E180,Common_Formula_Elements!$A:$A,0))</f>
        <v>D01</v>
      </c>
      <c r="H180" s="23" t="str">
        <f>INDEX(Minimum_Documents!$B:$B,MATCH($G180,Minimum_Documents!$A:$A,0))</f>
        <v>Census &amp; ADT Register</v>
      </c>
    </row>
    <row r="181" spans="1:8">
      <c r="A181" s="21">
        <v>96</v>
      </c>
      <c r="B181" s="23" t="str">
        <f>INDEX(KPI_Master!$B:$B,MATCH($A181,KPI_Master!$A:$A,0))</f>
        <v>NURC-19</v>
      </c>
      <c r="C181" s="23" t="str">
        <f>INDEX(KPI_Master!$D:$D,MATCH($A181,KPI_Master!$A:$A,0))</f>
        <v>ARD Accuracy Rate</v>
      </c>
      <c r="D181" s="23" t="str">
        <f>INDEX(KPI_Master!$K:$K,MATCH($A181,KPI_Master!$A:$A,0))</f>
        <v>2 - Standard</v>
      </c>
      <c r="E181" s="24" t="s">
        <v>1063</v>
      </c>
      <c r="F181" s="23" t="str">
        <f>INDEX(Common_Formula_Elements!$B:$B,MATCH($E181,Common_Formula_Elements!$A:$A,0))</f>
        <v>MDS Data (ARD, PDPM CMI)</v>
      </c>
      <c r="G181" s="21" t="str">
        <f>INDEX(Common_Formula_Elements!$G:$G,MATCH($E181,Common_Formula_Elements!$A:$A,0))</f>
        <v>D16</v>
      </c>
      <c r="H181" s="23" t="str">
        <f>INDEX(Minimum_Documents!$B:$B,MATCH($G181,Minimum_Documents!$A:$A,0))</f>
        <v>MDS 3.0 Assessment Export (SNF only)</v>
      </c>
    </row>
    <row r="182" spans="1:8">
      <c r="A182" s="21">
        <v>97</v>
      </c>
      <c r="B182" s="23" t="str">
        <f>INDEX(KPI_Master!$B:$B,MATCH($A182,KPI_Master!$A:$A,0))</f>
        <v>NURC-20</v>
      </c>
      <c r="C182" s="23" t="str">
        <f>INDEX(KPI_Master!$D:$D,MATCH($A182,KPI_Master!$A:$A,0))</f>
        <v>PRN Psychotropic Medication Use Rate</v>
      </c>
      <c r="D182" s="23" t="str">
        <f>INDEX(KPI_Master!$K:$K,MATCH($A182,KPI_Master!$A:$A,0))</f>
        <v>2 - Standard</v>
      </c>
      <c r="E182" s="24" t="s">
        <v>1052</v>
      </c>
      <c r="F182" s="23" t="str">
        <f>INDEX(Common_Formula_Elements!$B:$B,MATCH($E182,Common_Formula_Elements!$A:$A,0))</f>
        <v>Medication Administrations</v>
      </c>
      <c r="G182" s="21" t="str">
        <f>INDEX(Common_Formula_Elements!$G:$G,MATCH($E182,Common_Formula_Elements!$A:$A,0))</f>
        <v>D14</v>
      </c>
      <c r="H182" s="23" t="str">
        <f>INDEX(Minimum_Documents!$B:$B,MATCH($G182,Minimum_Documents!$A:$A,0))</f>
        <v>eMAR Administration Report</v>
      </c>
    </row>
    <row r="183" spans="1:8">
      <c r="A183" s="21">
        <v>97</v>
      </c>
      <c r="B183" s="23" t="str">
        <f>INDEX(KPI_Master!$B:$B,MATCH($A183,KPI_Master!$A:$A,0))</f>
        <v>NURC-20</v>
      </c>
      <c r="C183" s="23" t="str">
        <f>INDEX(KPI_Master!$D:$D,MATCH($A183,KPI_Master!$A:$A,0))</f>
        <v>PRN Psychotropic Medication Use Rate</v>
      </c>
      <c r="D183" s="23" t="str">
        <f>INDEX(KPI_Master!$K:$K,MATCH($A183,KPI_Master!$A:$A,0))</f>
        <v>2 - Standard</v>
      </c>
      <c r="E183" s="24" t="s">
        <v>935</v>
      </c>
      <c r="F183" s="23" t="str">
        <f>INDEX(Common_Formula_Elements!$B:$B,MATCH($E183,Common_Formula_Elements!$A:$A,0))</f>
        <v>Total Residents (headcount)</v>
      </c>
      <c r="G183" s="21" t="str">
        <f>INDEX(Common_Formula_Elements!$G:$G,MATCH($E183,Common_Formula_Elements!$A:$A,0))</f>
        <v>D01</v>
      </c>
      <c r="H183" s="23" t="str">
        <f>INDEX(Minimum_Documents!$B:$B,MATCH($G183,Minimum_Documents!$A:$A,0))</f>
        <v>Census &amp; ADT Register</v>
      </c>
    </row>
    <row r="184" spans="1:8" ht="28.5" customHeight="1">
      <c r="A184" s="21">
        <v>98</v>
      </c>
      <c r="B184" s="23" t="str">
        <f>INDEX(KPI_Master!$B:$B,MATCH($A184,KPI_Master!$A:$A,0))</f>
        <v>NURC-21</v>
      </c>
      <c r="C184" s="23" t="str">
        <f>INDEX(KPI_Master!$D:$D,MATCH($A184,KPI_Master!$A:$A,0))</f>
        <v>Weekend Staffing Ratio</v>
      </c>
      <c r="D184" s="23" t="str">
        <f>INDEX(KPI_Master!$K:$K,MATCH($A184,KPI_Master!$A:$A,0))</f>
        <v>2 - Standard</v>
      </c>
      <c r="E184" s="24" t="s">
        <v>1018</v>
      </c>
      <c r="F184" s="23" t="str">
        <f>INDEX(Common_Formula_Elements!$B:$B,MATCH($E184,Common_Formula_Elements!$A:$A,0))</f>
        <v>Scheduled vs Worked by Day &amp; Shift</v>
      </c>
      <c r="G184" s="21" t="str">
        <f>INDEX(Common_Formula_Elements!$G:$G,MATCH($E184,Common_Formula_Elements!$A:$A,0))</f>
        <v>D07</v>
      </c>
      <c r="H184" s="23" t="str">
        <f>INDEX(Minimum_Documents!$B:$B,MATCH($G184,Minimum_Documents!$A:$A,0))</f>
        <v>Time &amp; Attendance / Scheduling Report (scheduled vs worked, by day and shift)</v>
      </c>
    </row>
    <row r="185" spans="1:8">
      <c r="A185" s="21">
        <v>98</v>
      </c>
      <c r="B185" s="23" t="str">
        <f>INDEX(KPI_Master!$B:$B,MATCH($A185,KPI_Master!$A:$A,0))</f>
        <v>NURC-21</v>
      </c>
      <c r="C185" s="23" t="str">
        <f>INDEX(KPI_Master!$D:$D,MATCH($A185,KPI_Master!$A:$A,0))</f>
        <v>Weekend Staffing Ratio</v>
      </c>
      <c r="D185" s="23" t="str">
        <f>INDEX(KPI_Master!$K:$K,MATCH($A185,KPI_Master!$A:$A,0))</f>
        <v>2 - Standard</v>
      </c>
      <c r="E185" s="24" t="s">
        <v>928</v>
      </c>
      <c r="F185" s="23" t="str">
        <f>INDEX(Common_Formula_Elements!$B:$B,MATCH($E185,Common_Formula_Elements!$A:$A,0))</f>
        <v>Total Resident Days</v>
      </c>
      <c r="G185" s="21" t="str">
        <f>INDEX(Common_Formula_Elements!$G:$G,MATCH($E185,Common_Formula_Elements!$A:$A,0))</f>
        <v>D01</v>
      </c>
      <c r="H185" s="23" t="str">
        <f>INDEX(Minimum_Documents!$B:$B,MATCH($G185,Minimum_Documents!$A:$A,0))</f>
        <v>Census &amp; ADT Register</v>
      </c>
    </row>
    <row r="186" spans="1:8">
      <c r="A186" s="21">
        <v>99</v>
      </c>
      <c r="B186" s="23" t="str">
        <f>INDEX(KPI_Master!$B:$B,MATCH($A186,KPI_Master!$A:$A,0))</f>
        <v>NURC-22</v>
      </c>
      <c r="C186" s="23" t="str">
        <f>INDEX(KPI_Master!$D:$D,MATCH($A186,KPI_Master!$A:$A,0))</f>
        <v>Long-Stay Indwelling Catheter Rate (CMS QM)</v>
      </c>
      <c r="D186" s="23" t="str">
        <f>INDEX(KPI_Master!$K:$K,MATCH($A186,KPI_Master!$A:$A,0))</f>
        <v>2 - Standard</v>
      </c>
      <c r="E186" s="24" t="s">
        <v>1067</v>
      </c>
      <c r="F186" s="23" t="str">
        <f>INDEX(Common_Formula_Elements!$B:$B,MATCH($E186,Common_Formula_Elements!$A:$A,0))</f>
        <v>CMS-Published Measures &amp; Ratings</v>
      </c>
      <c r="G186" s="21" t="str">
        <f>INDEX(Common_Formula_Elements!$G:$G,MATCH($E186,Common_Formula_Elements!$A:$A,0))</f>
        <v>D17</v>
      </c>
      <c r="H186" s="23" t="str">
        <f>INDEX(Minimum_Documents!$B:$B,MATCH($G186,Minimum_Documents!$A:$A,0))</f>
        <v>CMS Care Compare Provider Data Download (monthly)</v>
      </c>
    </row>
    <row r="187" spans="1:8">
      <c r="A187" s="21">
        <v>100</v>
      </c>
      <c r="B187" s="23" t="str">
        <f>INDEX(KPI_Master!$B:$B,MATCH($A187,KPI_Master!$A:$A,0))</f>
        <v>NURC-23</v>
      </c>
      <c r="C187" s="23" t="str">
        <f>INDEX(KPI_Master!$D:$D,MATCH($A187,KPI_Master!$A:$A,0))</f>
        <v>Short-Stay Outpatient ED Visit Rate (CMS QM)</v>
      </c>
      <c r="D187" s="23" t="str">
        <f>INDEX(KPI_Master!$K:$K,MATCH($A187,KPI_Master!$A:$A,0))</f>
        <v>2 - Standard</v>
      </c>
      <c r="E187" s="24" t="s">
        <v>1067</v>
      </c>
      <c r="F187" s="23" t="str">
        <f>INDEX(Common_Formula_Elements!$B:$B,MATCH($E187,Common_Formula_Elements!$A:$A,0))</f>
        <v>CMS-Published Measures &amp; Ratings</v>
      </c>
      <c r="G187" s="21" t="str">
        <f>INDEX(Common_Formula_Elements!$G:$G,MATCH($E187,Common_Formula_Elements!$A:$A,0))</f>
        <v>D17</v>
      </c>
      <c r="H187" s="23" t="str">
        <f>INDEX(Minimum_Documents!$B:$B,MATCH($G187,Minimum_Documents!$A:$A,0))</f>
        <v>CMS Care Compare Provider Data Download (monthly)</v>
      </c>
    </row>
    <row r="188" spans="1:8" ht="28.5" customHeight="1">
      <c r="A188" s="21">
        <v>101</v>
      </c>
      <c r="B188" s="23" t="str">
        <f>INDEX(KPI_Master!$B:$B,MATCH($A188,KPI_Master!$A:$A,0))</f>
        <v>NURC-24</v>
      </c>
      <c r="C188" s="23" t="str">
        <f>INDEX(KPI_Master!$D:$D,MATCH($A188,KPI_Master!$A:$A,0))</f>
        <v>Short-Stay Moderate-to-Severe Pain Rate (CMS QM)</v>
      </c>
      <c r="D188" s="23" t="str">
        <f>INDEX(KPI_Master!$K:$K,MATCH($A188,KPI_Master!$A:$A,0))</f>
        <v>3 - Optional</v>
      </c>
      <c r="E188" s="24" t="s">
        <v>1067</v>
      </c>
      <c r="F188" s="23" t="str">
        <f>INDEX(Common_Formula_Elements!$B:$B,MATCH($E188,Common_Formula_Elements!$A:$A,0))</f>
        <v>CMS-Published Measures &amp; Ratings</v>
      </c>
      <c r="G188" s="21" t="str">
        <f>INDEX(Common_Formula_Elements!$G:$G,MATCH($E188,Common_Formula_Elements!$A:$A,0))</f>
        <v>D17</v>
      </c>
      <c r="H188" s="23" t="str">
        <f>INDEX(Minimum_Documents!$B:$B,MATCH($G188,Minimum_Documents!$A:$A,0))</f>
        <v>CMS Care Compare Provider Data Download (monthly)</v>
      </c>
    </row>
    <row r="189" spans="1:8">
      <c r="A189" s="21">
        <v>102</v>
      </c>
      <c r="B189" s="23" t="str">
        <f>INDEX(KPI_Master!$B:$B,MATCH($A189,KPI_Master!$A:$A,0))</f>
        <v>NURC-25</v>
      </c>
      <c r="C189" s="23" t="str">
        <f>INDEX(KPI_Master!$D:$D,MATCH($A189,KPI_Master!$A:$A,0))</f>
        <v>Short-Stay Discharge to Community Rate (CMS QM)</v>
      </c>
      <c r="D189" s="23" t="str">
        <f>INDEX(KPI_Master!$K:$K,MATCH($A189,KPI_Master!$A:$A,0))</f>
        <v>2 - Standard</v>
      </c>
      <c r="E189" s="24" t="s">
        <v>1067</v>
      </c>
      <c r="F189" s="23" t="str">
        <f>INDEX(Common_Formula_Elements!$B:$B,MATCH($E189,Common_Formula_Elements!$A:$A,0))</f>
        <v>CMS-Published Measures &amp; Ratings</v>
      </c>
      <c r="G189" s="21" t="str">
        <f>INDEX(Common_Formula_Elements!$G:$G,MATCH($E189,Common_Formula_Elements!$A:$A,0))</f>
        <v>D17</v>
      </c>
      <c r="H189" s="23" t="str">
        <f>INDEX(Minimum_Documents!$B:$B,MATCH($G189,Minimum_Documents!$A:$A,0))</f>
        <v>CMS Care Compare Provider Data Download (monthly)</v>
      </c>
    </row>
    <row r="190" spans="1:8">
      <c r="A190" s="21">
        <v>103</v>
      </c>
      <c r="B190" s="23" t="str">
        <f>INDEX(KPI_Master!$B:$B,MATCH($A190,KPI_Master!$A:$A,0))</f>
        <v>NURC-26</v>
      </c>
      <c r="C190" s="23" t="str">
        <f>INDEX(KPI_Master!$D:$D,MATCH($A190,KPI_Master!$A:$A,0))</f>
        <v>Hospital Length of Stay Before SNF Admission</v>
      </c>
      <c r="D190" s="23" t="str">
        <f>INDEX(KPI_Master!$K:$K,MATCH($A190,KPI_Master!$A:$A,0))</f>
        <v>3 - Optional</v>
      </c>
      <c r="E190" s="24" t="s">
        <v>956</v>
      </c>
      <c r="F190" s="23" t="str">
        <f>INDEX(Common_Formula_Elements!$B:$B,MATCH($E190,Common_Formula_Elements!$A:$A,0))</f>
        <v>Prior Hospital Stay Dates</v>
      </c>
      <c r="G190" s="21" t="str">
        <f>INDEX(Common_Formula_Elements!$G:$G,MATCH($E190,Common_Formula_Elements!$A:$A,0))</f>
        <v>D01</v>
      </c>
      <c r="H190" s="23" t="str">
        <f>INDEX(Minimum_Documents!$B:$B,MATCH($G190,Minimum_Documents!$A:$A,0))</f>
        <v>Census &amp; ADT Register</v>
      </c>
    </row>
    <row r="191" spans="1:8">
      <c r="A191" s="21">
        <v>103</v>
      </c>
      <c r="B191" s="23" t="str">
        <f>INDEX(KPI_Master!$B:$B,MATCH($A191,KPI_Master!$A:$A,0))</f>
        <v>NURC-26</v>
      </c>
      <c r="C191" s="23" t="str">
        <f>INDEX(KPI_Master!$D:$D,MATCH($A191,KPI_Master!$A:$A,0))</f>
        <v>Hospital Length of Stay Before SNF Admission</v>
      </c>
      <c r="D191" s="23" t="str">
        <f>INDEX(KPI_Master!$K:$K,MATCH($A191,KPI_Master!$A:$A,0))</f>
        <v>3 - Optional</v>
      </c>
      <c r="E191" s="24" t="s">
        <v>947</v>
      </c>
      <c r="F191" s="23" t="str">
        <f>INDEX(Common_Formula_Elements!$B:$B,MATCH($E191,Common_Formula_Elements!$A:$A,0))</f>
        <v>Move-Ins / Admissions</v>
      </c>
      <c r="G191" s="21" t="str">
        <f>INDEX(Common_Formula_Elements!$G:$G,MATCH($E191,Common_Formula_Elements!$A:$A,0))</f>
        <v>D01</v>
      </c>
      <c r="H191" s="23" t="str">
        <f>INDEX(Minimum_Documents!$B:$B,MATCH($G191,Minimum_Documents!$A:$A,0))</f>
        <v>Census &amp; ADT Register</v>
      </c>
    </row>
    <row r="192" spans="1:8">
      <c r="A192" s="21">
        <v>104</v>
      </c>
      <c r="B192" s="23" t="str">
        <f>INDEX(KPI_Master!$B:$B,MATCH($A192,KPI_Master!$A:$A,0))</f>
        <v>NURC-27</v>
      </c>
      <c r="C192" s="23" t="str">
        <f>INDEX(KPI_Master!$D:$D,MATCH($A192,KPI_Master!$A:$A,0))</f>
        <v>PDPM Case Mix Index by Component</v>
      </c>
      <c r="D192" s="23" t="str">
        <f>INDEX(KPI_Master!$K:$K,MATCH($A192,KPI_Master!$A:$A,0))</f>
        <v>2 - Standard</v>
      </c>
      <c r="E192" s="24" t="s">
        <v>1063</v>
      </c>
      <c r="F192" s="23" t="str">
        <f>INDEX(Common_Formula_Elements!$B:$B,MATCH($E192,Common_Formula_Elements!$A:$A,0))</f>
        <v>MDS Data (ARD, PDPM CMI)</v>
      </c>
      <c r="G192" s="21" t="str">
        <f>INDEX(Common_Formula_Elements!$G:$G,MATCH($E192,Common_Formula_Elements!$A:$A,0))</f>
        <v>D16</v>
      </c>
      <c r="H192" s="23" t="str">
        <f>INDEX(Minimum_Documents!$B:$B,MATCH($G192,Minimum_Documents!$A:$A,0))</f>
        <v>MDS 3.0 Assessment Export (SNF only)</v>
      </c>
    </row>
    <row r="193" spans="1:8">
      <c r="A193" s="21">
        <v>104</v>
      </c>
      <c r="B193" s="23" t="str">
        <f>INDEX(KPI_Master!$B:$B,MATCH($A193,KPI_Master!$A:$A,0))</f>
        <v>NURC-27</v>
      </c>
      <c r="C193" s="23" t="str">
        <f>INDEX(KPI_Master!$D:$D,MATCH($A193,KPI_Master!$A:$A,0))</f>
        <v>PDPM Case Mix Index by Component</v>
      </c>
      <c r="D193" s="23" t="str">
        <f>INDEX(KPI_Master!$K:$K,MATCH($A193,KPI_Master!$A:$A,0))</f>
        <v>2 - Standard</v>
      </c>
      <c r="E193" s="24" t="s">
        <v>941</v>
      </c>
      <c r="F193" s="23" t="str">
        <f>INDEX(Common_Formula_Elements!$B:$B,MATCH($E193,Common_Formula_Elements!$A:$A,0))</f>
        <v>Skilled / Medicare Part A Days &amp; Census</v>
      </c>
      <c r="G193" s="21" t="str">
        <f>INDEX(Common_Formula_Elements!$G:$G,MATCH($E193,Common_Formula_Elements!$A:$A,0))</f>
        <v>D01</v>
      </c>
      <c r="H193" s="23" t="str">
        <f>INDEX(Minimum_Documents!$B:$B,MATCH($G193,Minimum_Documents!$A:$A,0))</f>
        <v>Census &amp; ADT Register</v>
      </c>
    </row>
    <row r="194" spans="1:8" ht="28.5" customHeight="1">
      <c r="A194" s="21">
        <v>105</v>
      </c>
      <c r="B194" s="23" t="str">
        <f>INDEX(KPI_Master!$B:$B,MATCH($A194,KPI_Master!$A:$A,0))</f>
        <v>NURC-28</v>
      </c>
      <c r="C194" s="23" t="str">
        <f>INDEX(KPI_Master!$D:$D,MATCH($A194,KPI_Master!$A:$A,0))</f>
        <v>Case-Mix Adjusted RN Hours per Resident Day (CMS)</v>
      </c>
      <c r="D194" s="23" t="str">
        <f>INDEX(KPI_Master!$K:$K,MATCH($A194,KPI_Master!$A:$A,0))</f>
        <v>2 - Standard</v>
      </c>
      <c r="E194" s="24" t="s">
        <v>1067</v>
      </c>
      <c r="F194" s="23" t="str">
        <f>INDEX(Common_Formula_Elements!$B:$B,MATCH($E194,Common_Formula_Elements!$A:$A,0))</f>
        <v>CMS-Published Measures &amp; Ratings</v>
      </c>
      <c r="G194" s="21" t="str">
        <f>INDEX(Common_Formula_Elements!$G:$G,MATCH($E194,Common_Formula_Elements!$A:$A,0))</f>
        <v>D17</v>
      </c>
      <c r="H194" s="23" t="str">
        <f>INDEX(Minimum_Documents!$B:$B,MATCH($G194,Minimum_Documents!$A:$A,0))</f>
        <v>CMS Care Compare Provider Data Download (monthly)</v>
      </c>
    </row>
    <row r="195" spans="1:8" ht="28.5" customHeight="1">
      <c r="A195" s="21">
        <v>106</v>
      </c>
      <c r="B195" s="23" t="str">
        <f>INDEX(KPI_Master!$B:$B,MATCH($A195,KPI_Master!$A:$A,0))</f>
        <v>NURC-29</v>
      </c>
      <c r="C195" s="23" t="str">
        <f>INDEX(KPI_Master!$D:$D,MATCH($A195,KPI_Master!$A:$A,0))</f>
        <v>Long-Stay: Need for Help with Daily Activities Increased (CMS QM)</v>
      </c>
      <c r="D195" s="23" t="str">
        <f>INDEX(KPI_Master!$K:$K,MATCH($A195,KPI_Master!$A:$A,0))</f>
        <v>2 - Standard</v>
      </c>
      <c r="E195" s="24" t="s">
        <v>1067</v>
      </c>
      <c r="F195" s="23" t="str">
        <f>INDEX(Common_Formula_Elements!$B:$B,MATCH($E195,Common_Formula_Elements!$A:$A,0))</f>
        <v>CMS-Published Measures &amp; Ratings</v>
      </c>
      <c r="G195" s="21" t="str">
        <f>INDEX(Common_Formula_Elements!$G:$G,MATCH($E195,Common_Formula_Elements!$A:$A,0))</f>
        <v>D17</v>
      </c>
      <c r="H195" s="23" t="str">
        <f>INDEX(Minimum_Documents!$B:$B,MATCH($G195,Minimum_Documents!$A:$A,0))</f>
        <v>CMS Care Compare Provider Data Download (monthly)</v>
      </c>
    </row>
    <row r="196" spans="1:8" ht="28.5" customHeight="1">
      <c r="A196" s="21">
        <v>107</v>
      </c>
      <c r="B196" s="23" t="str">
        <f>INDEX(KPI_Master!$B:$B,MATCH($A196,KPI_Master!$A:$A,0))</f>
        <v>NURC-30</v>
      </c>
      <c r="C196" s="23" t="str">
        <f>INDEX(KPI_Master!$D:$D,MATCH($A196,KPI_Master!$A:$A,0))</f>
        <v>Long-Stay: Ability to Walk Independently Worsened (CMS QM)</v>
      </c>
      <c r="D196" s="23" t="str">
        <f>INDEX(KPI_Master!$K:$K,MATCH($A196,KPI_Master!$A:$A,0))</f>
        <v>2 - Standard</v>
      </c>
      <c r="E196" s="24" t="s">
        <v>1067</v>
      </c>
      <c r="F196" s="23" t="str">
        <f>INDEX(Common_Formula_Elements!$B:$B,MATCH($E196,Common_Formula_Elements!$A:$A,0))</f>
        <v>CMS-Published Measures &amp; Ratings</v>
      </c>
      <c r="G196" s="21" t="str">
        <f>INDEX(Common_Formula_Elements!$G:$G,MATCH($E196,Common_Formula_Elements!$A:$A,0))</f>
        <v>D17</v>
      </c>
      <c r="H196" s="23" t="str">
        <f>INDEX(Minimum_Documents!$B:$B,MATCH($G196,Minimum_Documents!$A:$A,0))</f>
        <v>CMS Care Compare Provider Data Download (monthly)</v>
      </c>
    </row>
    <row r="197" spans="1:8" ht="28.5" customHeight="1">
      <c r="A197" s="21">
        <v>108</v>
      </c>
      <c r="B197" s="23" t="str">
        <f>INDEX(KPI_Master!$B:$B,MATCH($A197,KPI_Master!$A:$A,0))</f>
        <v>NURC-31</v>
      </c>
      <c r="C197" s="23" t="str">
        <f>INDEX(KPI_Master!$D:$D,MATCH($A197,KPI_Master!$A:$A,0))</f>
        <v>Long-Stay: Outpatient ED Visits per 1,000 Resident Days (CMS QM)</v>
      </c>
      <c r="D197" s="23" t="str">
        <f>INDEX(KPI_Master!$K:$K,MATCH($A197,KPI_Master!$A:$A,0))</f>
        <v>2 - Standard</v>
      </c>
      <c r="E197" s="24" t="s">
        <v>1067</v>
      </c>
      <c r="F197" s="23" t="str">
        <f>INDEX(Common_Formula_Elements!$B:$B,MATCH($E197,Common_Formula_Elements!$A:$A,0))</f>
        <v>CMS-Published Measures &amp; Ratings</v>
      </c>
      <c r="G197" s="21" t="str">
        <f>INDEX(Common_Formula_Elements!$G:$G,MATCH($E197,Common_Formula_Elements!$A:$A,0))</f>
        <v>D17</v>
      </c>
      <c r="H197" s="23" t="str">
        <f>INDEX(Minimum_Documents!$B:$B,MATCH($G197,Minimum_Documents!$A:$A,0))</f>
        <v>CMS Care Compare Provider Data Download (monthly)</v>
      </c>
    </row>
    <row r="198" spans="1:8" ht="28.5" customHeight="1">
      <c r="A198" s="21">
        <v>109</v>
      </c>
      <c r="B198" s="23" t="str">
        <f>INDEX(KPI_Master!$B:$B,MATCH($A198,KPI_Master!$A:$A,0))</f>
        <v>NURC-32</v>
      </c>
      <c r="C198" s="23" t="str">
        <f>INDEX(KPI_Master!$D:$D,MATCH($A198,KPI_Master!$A:$A,0))</f>
        <v>Short-Stay: First-Time Antipsychotic Medication (CMS QM)</v>
      </c>
      <c r="D198" s="23" t="str">
        <f>INDEX(KPI_Master!$K:$K,MATCH($A198,KPI_Master!$A:$A,0))</f>
        <v>2 - Standard</v>
      </c>
      <c r="E198" s="24" t="s">
        <v>1067</v>
      </c>
      <c r="F198" s="23" t="str">
        <f>INDEX(Common_Formula_Elements!$B:$B,MATCH($E198,Common_Formula_Elements!$A:$A,0))</f>
        <v>CMS-Published Measures &amp; Ratings</v>
      </c>
      <c r="G198" s="21" t="str">
        <f>INDEX(Common_Formula_Elements!$G:$G,MATCH($E198,Common_Formula_Elements!$A:$A,0))</f>
        <v>D17</v>
      </c>
      <c r="H198" s="23" t="str">
        <f>INDEX(Minimum_Documents!$B:$B,MATCH($G198,Minimum_Documents!$A:$A,0))</f>
        <v>CMS Care Compare Provider Data Download (monthly)</v>
      </c>
    </row>
    <row r="199" spans="1:8" ht="28.5" customHeight="1">
      <c r="A199" s="21">
        <v>110</v>
      </c>
      <c r="B199" s="23" t="str">
        <f>INDEX(KPI_Master!$B:$B,MATCH($A199,KPI_Master!$A:$A,0))</f>
        <v>NURC-33</v>
      </c>
      <c r="C199" s="23" t="str">
        <f>INDEX(KPI_Master!$D:$D,MATCH($A199,KPI_Master!$A:$A,0))</f>
        <v>Residents per Direct Care Staff Member by Shift</v>
      </c>
      <c r="D199" s="23" t="str">
        <f>INDEX(KPI_Master!$K:$K,MATCH($A199,KPI_Master!$A:$A,0))</f>
        <v>2 - Standard</v>
      </c>
      <c r="E199" s="24" t="s">
        <v>1018</v>
      </c>
      <c r="F199" s="23" t="str">
        <f>INDEX(Common_Formula_Elements!$B:$B,MATCH($E199,Common_Formula_Elements!$A:$A,0))</f>
        <v>Scheduled vs Worked by Day &amp; Shift</v>
      </c>
      <c r="G199" s="21" t="str">
        <f>INDEX(Common_Formula_Elements!$G:$G,MATCH($E199,Common_Formula_Elements!$A:$A,0))</f>
        <v>D07</v>
      </c>
      <c r="H199" s="23" t="str">
        <f>INDEX(Minimum_Documents!$B:$B,MATCH($G199,Minimum_Documents!$A:$A,0))</f>
        <v>Time &amp; Attendance / Scheduling Report (scheduled vs worked, by day and shift)</v>
      </c>
    </row>
    <row r="200" spans="1:8">
      <c r="A200" s="21">
        <v>110</v>
      </c>
      <c r="B200" s="23" t="str">
        <f>INDEX(KPI_Master!$B:$B,MATCH($A200,KPI_Master!$A:$A,0))</f>
        <v>NURC-33</v>
      </c>
      <c r="C200" s="23" t="str">
        <f>INDEX(KPI_Master!$D:$D,MATCH($A200,KPI_Master!$A:$A,0))</f>
        <v>Residents per Direct Care Staff Member by Shift</v>
      </c>
      <c r="D200" s="23" t="str">
        <f>INDEX(KPI_Master!$K:$K,MATCH($A200,KPI_Master!$A:$A,0))</f>
        <v>2 - Standard</v>
      </c>
      <c r="E200" s="24" t="s">
        <v>935</v>
      </c>
      <c r="F200" s="23" t="str">
        <f>INDEX(Common_Formula_Elements!$B:$B,MATCH($E200,Common_Formula_Elements!$A:$A,0))</f>
        <v>Total Residents (headcount)</v>
      </c>
      <c r="G200" s="21" t="str">
        <f>INDEX(Common_Formula_Elements!$G:$G,MATCH($E200,Common_Formula_Elements!$A:$A,0))</f>
        <v>D01</v>
      </c>
      <c r="H200" s="23" t="str">
        <f>INDEX(Minimum_Documents!$B:$B,MATCH($G200,Minimum_Documents!$A:$A,0))</f>
        <v>Census &amp; ADT Register</v>
      </c>
    </row>
    <row r="201" spans="1:8" ht="28.5" customHeight="1">
      <c r="A201" s="21">
        <v>111</v>
      </c>
      <c r="B201" s="23" t="str">
        <f>INDEX(KPI_Master!$B:$B,MATCH($A201,KPI_Master!$A:$A,0))</f>
        <v>PLAO-01</v>
      </c>
      <c r="C201" s="23" t="str">
        <f>INDEX(KPI_Master!$D:$D,MATCH($A201,KPI_Master!$A:$A,0))</f>
        <v>Preventive Maintenance (PM) Completion Rate</v>
      </c>
      <c r="D201" s="23" t="str">
        <f>INDEX(KPI_Master!$K:$K,MATCH($A201,KPI_Master!$A:$A,0))</f>
        <v>1 - Core</v>
      </c>
      <c r="E201" s="24" t="s">
        <v>1118</v>
      </c>
      <c r="F201" s="23" t="str">
        <f>INDEX(Common_Formula_Elements!$B:$B,MATCH($E201,Common_Formula_Elements!$A:$A,0))</f>
        <v>Work Orders &amp; PM Tasks</v>
      </c>
      <c r="G201" s="21" t="str">
        <f>INDEX(Common_Formula_Elements!$G:$G,MATCH($E201,Common_Formula_Elements!$A:$A,0))</f>
        <v>D29</v>
      </c>
      <c r="H201" s="23" t="str">
        <f>INDEX(Minimum_Documents!$B:$B,MATCH($G201,Minimum_Documents!$A:$A,0))</f>
        <v>CMMS Work Order &amp; PM Report (incl. life-safety and vehicle PM tasks)</v>
      </c>
    </row>
    <row r="202" spans="1:8" ht="28.5" customHeight="1">
      <c r="A202" s="21">
        <v>112</v>
      </c>
      <c r="B202" s="23" t="str">
        <f>INDEX(KPI_Master!$B:$B,MATCH($A202,KPI_Master!$A:$A,0))</f>
        <v>PLAO-02</v>
      </c>
      <c r="C202" s="23" t="str">
        <f>INDEX(KPI_Master!$D:$D,MATCH($A202,KPI_Master!$A:$A,0))</f>
        <v>Work Order Backlog</v>
      </c>
      <c r="D202" s="23" t="str">
        <f>INDEX(KPI_Master!$K:$K,MATCH($A202,KPI_Master!$A:$A,0))</f>
        <v>1 - Core</v>
      </c>
      <c r="E202" s="24" t="s">
        <v>1118</v>
      </c>
      <c r="F202" s="23" t="str">
        <f>INDEX(Common_Formula_Elements!$B:$B,MATCH($E202,Common_Formula_Elements!$A:$A,0))</f>
        <v>Work Orders &amp; PM Tasks</v>
      </c>
      <c r="G202" s="21" t="str">
        <f>INDEX(Common_Formula_Elements!$G:$G,MATCH($E202,Common_Formula_Elements!$A:$A,0))</f>
        <v>D29</v>
      </c>
      <c r="H202" s="23" t="str">
        <f>INDEX(Minimum_Documents!$B:$B,MATCH($G202,Minimum_Documents!$A:$A,0))</f>
        <v>CMMS Work Order &amp; PM Report (incl. life-safety and vehicle PM tasks)</v>
      </c>
    </row>
    <row r="203" spans="1:8">
      <c r="A203" s="21">
        <v>113</v>
      </c>
      <c r="B203" s="23" t="str">
        <f>INDEX(KPI_Master!$B:$B,MATCH($A203,KPI_Master!$A:$A,0))</f>
        <v>PLAO-07</v>
      </c>
      <c r="C203" s="23" t="str">
        <f>INDEX(KPI_Master!$D:$D,MATCH($A203,KPI_Master!$A:$A,0))</f>
        <v>Maintenance Cost per Occupied Unit</v>
      </c>
      <c r="D203" s="23" t="str">
        <f>INDEX(KPI_Master!$K:$K,MATCH($A203,KPI_Master!$A:$A,0))</f>
        <v>2 - Standard</v>
      </c>
      <c r="E203" s="24" t="s">
        <v>1126</v>
      </c>
      <c r="F203" s="23" t="str">
        <f>INDEX(Common_Formula_Elements!$B:$B,MATCH($E203,Common_Formula_Elements!$A:$A,0))</f>
        <v>Department Non-Labor Expense</v>
      </c>
      <c r="G203" s="21" t="str">
        <f>INDEX(Common_Formula_Elements!$G:$G,MATCH($E203,Common_Formula_Elements!$A:$A,0))</f>
        <v>D31</v>
      </c>
      <c r="H203" s="23" t="str">
        <f>INDEX(Minimum_Documents!$B:$B,MATCH($G203,Minimum_Documents!$A:$A,0))</f>
        <v>AP Invoice Register coded by Department / Cost Centre</v>
      </c>
    </row>
    <row r="204" spans="1:8" ht="28.5" customHeight="1">
      <c r="A204" s="21">
        <v>113</v>
      </c>
      <c r="B204" s="23" t="str">
        <f>INDEX(KPI_Master!$B:$B,MATCH($A204,KPI_Master!$A:$A,0))</f>
        <v>PLAO-07</v>
      </c>
      <c r="C204" s="23" t="str">
        <f>INDEX(KPI_Master!$D:$D,MATCH($A204,KPI_Master!$A:$A,0))</f>
        <v>Maintenance Cost per Occupied Unit</v>
      </c>
      <c r="D204" s="23" t="str">
        <f>INDEX(KPI_Master!$K:$K,MATCH($A204,KPI_Master!$A:$A,0))</f>
        <v>2 - Standard</v>
      </c>
      <c r="E204" s="24" t="s">
        <v>1012</v>
      </c>
      <c r="F204" s="23" t="str">
        <f>INDEX(Common_Formula_Elements!$B:$B,MATCH($E204,Common_Formula_Elements!$A:$A,0))</f>
        <v>Wages by Job Class / Department</v>
      </c>
      <c r="G204" s="21" t="str">
        <f>INDEX(Common_Formula_Elements!$G:$G,MATCH($E204,Common_Formula_Elements!$A:$A,0))</f>
        <v>D06</v>
      </c>
      <c r="H204" s="23" t="str">
        <f>INDEX(Minimum_Documents!$B:$B,MATCH($G204,Minimum_Documents!$A:$A,0))</f>
        <v>Payroll Register (hours and wages by employee, job class and department)</v>
      </c>
    </row>
    <row r="205" spans="1:8">
      <c r="A205" s="21">
        <v>113</v>
      </c>
      <c r="B205" s="23" t="str">
        <f>INDEX(KPI_Master!$B:$B,MATCH($A205,KPI_Master!$A:$A,0))</f>
        <v>PLAO-07</v>
      </c>
      <c r="C205" s="23" t="str">
        <f>INDEX(KPI_Master!$D:$D,MATCH($A205,KPI_Master!$A:$A,0))</f>
        <v>Maintenance Cost per Occupied Unit</v>
      </c>
      <c r="D205" s="23" t="str">
        <f>INDEX(KPI_Master!$K:$K,MATCH($A205,KPI_Master!$A:$A,0))</f>
        <v>2 - Standard</v>
      </c>
      <c r="E205" s="24" t="s">
        <v>932</v>
      </c>
      <c r="F205" s="23" t="str">
        <f>INDEX(Common_Formula_Elements!$B:$B,MATCH($E205,Common_Formula_Elements!$A:$A,0))</f>
        <v>Occupied Units / Beds</v>
      </c>
      <c r="G205" s="21" t="str">
        <f>INDEX(Common_Formula_Elements!$G:$G,MATCH($E205,Common_Formula_Elements!$A:$A,0))</f>
        <v>D01</v>
      </c>
      <c r="H205" s="23" t="str">
        <f>INDEX(Minimum_Documents!$B:$B,MATCH($G205,Minimum_Documents!$A:$A,0))</f>
        <v>Census &amp; ADT Register</v>
      </c>
    </row>
    <row r="206" spans="1:8" ht="42.75" customHeight="1">
      <c r="A206" s="21">
        <v>114</v>
      </c>
      <c r="B206" s="23" t="str">
        <f>INDEX(KPI_Master!$B:$B,MATCH($A206,KPI_Master!$A:$A,0))</f>
        <v>PLAO-08</v>
      </c>
      <c r="C206" s="23" t="str">
        <f>INDEX(KPI_Master!$D:$D,MATCH($A206,KPI_Master!$A:$A,0))</f>
        <v>Energy Cost per Square Foot</v>
      </c>
      <c r="D206" s="23" t="str">
        <f>INDEX(KPI_Master!$K:$K,MATCH($A206,KPI_Master!$A:$A,0))</f>
        <v>2 - Standard</v>
      </c>
      <c r="E206" s="24" t="s">
        <v>979</v>
      </c>
      <c r="F206" s="23" t="str">
        <f>INDEX(Common_Formula_Elements!$B:$B,MATCH($E206,Common_Formula_Elements!$A:$A,0))</f>
        <v>Account-Level Expense Lines</v>
      </c>
      <c r="G206" s="21" t="str">
        <f>INDEX(Common_Formula_Elements!$G:$G,MATCH($E206,Common_Formula_Elements!$A:$A,0))</f>
        <v>D03</v>
      </c>
      <c r="H206" s="23" t="str">
        <f>INDEX(Minimum_Documents!$B:$B,MATCH($G206,Minimum_Documents!$A:$A,0))</f>
        <v>Monthly Financial Statement Package - consolidated (P&amp;L with budget, balance sheet, cash flow, trial balance; no department split needed)</v>
      </c>
    </row>
    <row r="207" spans="1:8">
      <c r="A207" s="21">
        <v>114</v>
      </c>
      <c r="B207" s="23" t="str">
        <f>INDEX(KPI_Master!$B:$B,MATCH($A207,KPI_Master!$A:$A,0))</f>
        <v>PLAO-08</v>
      </c>
      <c r="C207" s="23" t="str">
        <f>INDEX(KPI_Master!$D:$D,MATCH($A207,KPI_Master!$A:$A,0))</f>
        <v>Energy Cost per Square Foot</v>
      </c>
      <c r="D207" s="23" t="str">
        <f>INDEX(KPI_Master!$K:$K,MATCH($A207,KPI_Master!$A:$A,0))</f>
        <v>2 - Standard</v>
      </c>
      <c r="E207" s="24" t="s">
        <v>963</v>
      </c>
      <c r="F207" s="23" t="str">
        <f>INDEX(Common_Formula_Elements!$B:$B,MATCH($E207,Common_Formula_Elements!$A:$A,0))</f>
        <v>Square Footage (building / cleanable)</v>
      </c>
      <c r="G207" s="21" t="str">
        <f>INDEX(Common_Formula_Elements!$G:$G,MATCH($E207,Common_Formula_Elements!$A:$A,0))</f>
        <v>D02</v>
      </c>
      <c r="H207" s="23" t="str">
        <f>INDEX(Minimum_Documents!$B:$B,MATCH($G207,Minimum_Documents!$A:$A,0))</f>
        <v>Property &amp; Unit Master Schedule</v>
      </c>
    </row>
    <row r="208" spans="1:8">
      <c r="A208" s="21">
        <v>115</v>
      </c>
      <c r="B208" s="23" t="str">
        <f>INDEX(KPI_Master!$B:$B,MATCH($A208,KPI_Master!$A:$A,0))</f>
        <v>PLAO-09</v>
      </c>
      <c r="C208" s="23" t="str">
        <f>INDEX(KPI_Master!$D:$D,MATCH($A208,KPI_Master!$A:$A,0))</f>
        <v>Utility Consumption per Resident Day</v>
      </c>
      <c r="D208" s="23" t="str">
        <f>INDEX(KPI_Master!$K:$K,MATCH($A208,KPI_Master!$A:$A,0))</f>
        <v>3 - Optional</v>
      </c>
      <c r="E208" s="24" t="s">
        <v>1122</v>
      </c>
      <c r="F208" s="23" t="str">
        <f>INDEX(Common_Formula_Elements!$B:$B,MATCH($E208,Common_Formula_Elements!$A:$A,0))</f>
        <v>Utility Consumption</v>
      </c>
      <c r="G208" s="21" t="str">
        <f>INDEX(Common_Formula_Elements!$G:$G,MATCH($E208,Common_Formula_Elements!$A:$A,0))</f>
        <v>D30</v>
      </c>
      <c r="H208" s="23" t="str">
        <f>INDEX(Minimum_Documents!$B:$B,MATCH($G208,Minimum_Documents!$A:$A,0))</f>
        <v>Utility Bills (consumption: kWh, therms, water)</v>
      </c>
    </row>
    <row r="209" spans="1:8">
      <c r="A209" s="21">
        <v>115</v>
      </c>
      <c r="B209" s="23" t="str">
        <f>INDEX(KPI_Master!$B:$B,MATCH($A209,KPI_Master!$A:$A,0))</f>
        <v>PLAO-09</v>
      </c>
      <c r="C209" s="23" t="str">
        <f>INDEX(KPI_Master!$D:$D,MATCH($A209,KPI_Master!$A:$A,0))</f>
        <v>Utility Consumption per Resident Day</v>
      </c>
      <c r="D209" s="23" t="str">
        <f>INDEX(KPI_Master!$K:$K,MATCH($A209,KPI_Master!$A:$A,0))</f>
        <v>3 - Optional</v>
      </c>
      <c r="E209" s="24" t="s">
        <v>928</v>
      </c>
      <c r="F209" s="23" t="str">
        <f>INDEX(Common_Formula_Elements!$B:$B,MATCH($E209,Common_Formula_Elements!$A:$A,0))</f>
        <v>Total Resident Days</v>
      </c>
      <c r="G209" s="21" t="str">
        <f>INDEX(Common_Formula_Elements!$G:$G,MATCH($E209,Common_Formula_Elements!$A:$A,0))</f>
        <v>D01</v>
      </c>
      <c r="H209" s="23" t="str">
        <f>INDEX(Minimum_Documents!$B:$B,MATCH($G209,Minimum_Documents!$A:$A,0))</f>
        <v>Census &amp; ADT Register</v>
      </c>
    </row>
    <row r="210" spans="1:8" ht="28.5" customHeight="1">
      <c r="A210" s="21">
        <v>116</v>
      </c>
      <c r="B210" s="23" t="str">
        <f>INDEX(KPI_Master!$B:$B,MATCH($A210,KPI_Master!$A:$A,0))</f>
        <v>PLAO-10</v>
      </c>
      <c r="C210" s="23" t="str">
        <f>INDEX(KPI_Master!$D:$D,MATCH($A210,KPI_Master!$A:$A,0))</f>
        <v>Life Safety Inspection Compliance</v>
      </c>
      <c r="D210" s="23" t="str">
        <f>INDEX(KPI_Master!$K:$K,MATCH($A210,KPI_Master!$A:$A,0))</f>
        <v>1 - Core</v>
      </c>
      <c r="E210" s="24" t="s">
        <v>1118</v>
      </c>
      <c r="F210" s="23" t="str">
        <f>INDEX(Common_Formula_Elements!$B:$B,MATCH($E210,Common_Formula_Elements!$A:$A,0))</f>
        <v>Work Orders &amp; PM Tasks</v>
      </c>
      <c r="G210" s="21" t="str">
        <f>INDEX(Common_Formula_Elements!$G:$G,MATCH($E210,Common_Formula_Elements!$A:$A,0))</f>
        <v>D29</v>
      </c>
      <c r="H210" s="23" t="str">
        <f>INDEX(Minimum_Documents!$B:$B,MATCH($G210,Minimum_Documents!$A:$A,0))</f>
        <v>CMMS Work Order &amp; PM Report (incl. life-safety and vehicle PM tasks)</v>
      </c>
    </row>
    <row r="211" spans="1:8" ht="42.75" customHeight="1">
      <c r="A211" s="21">
        <v>117</v>
      </c>
      <c r="B211" s="23" t="str">
        <f>INDEX(KPI_Master!$B:$B,MATCH($A211,KPI_Master!$A:$A,0))</f>
        <v>PLAO-13</v>
      </c>
      <c r="C211" s="23" t="str">
        <f>INDEX(KPI_Master!$D:$D,MATCH($A211,KPI_Master!$A:$A,0))</f>
        <v>Average Age of Plant</v>
      </c>
      <c r="D211" s="23" t="str">
        <f>INDEX(KPI_Master!$K:$K,MATCH($A211,KPI_Master!$A:$A,0))</f>
        <v>2 - Standard</v>
      </c>
      <c r="E211" s="24" t="s">
        <v>991</v>
      </c>
      <c r="F211" s="23" t="str">
        <f>INDEX(Common_Formula_Elements!$B:$B,MATCH($E211,Common_Formula_Elements!$A:$A,0))</f>
        <v>Balance Sheet Balances</v>
      </c>
      <c r="G211" s="21" t="str">
        <f>INDEX(Common_Formula_Elements!$G:$G,MATCH($E211,Common_Formula_Elements!$A:$A,0))</f>
        <v>D03</v>
      </c>
      <c r="H211" s="23" t="str">
        <f>INDEX(Minimum_Documents!$B:$B,MATCH($G211,Minimum_Documents!$A:$A,0))</f>
        <v>Monthly Financial Statement Package - consolidated (P&amp;L with budget, balance sheet, cash flow, trial balance; no department split needed)</v>
      </c>
    </row>
    <row r="212" spans="1:8" ht="42.75" customHeight="1">
      <c r="A212" s="21">
        <v>117</v>
      </c>
      <c r="B212" s="23" t="str">
        <f>INDEX(KPI_Master!$B:$B,MATCH($A212,KPI_Master!$A:$A,0))</f>
        <v>PLAO-13</v>
      </c>
      <c r="C212" s="23" t="str">
        <f>INDEX(KPI_Master!$D:$D,MATCH($A212,KPI_Master!$A:$A,0))</f>
        <v>Average Age of Plant</v>
      </c>
      <c r="D212" s="23" t="str">
        <f>INDEX(KPI_Master!$K:$K,MATCH($A212,KPI_Master!$A:$A,0))</f>
        <v>2 - Standard</v>
      </c>
      <c r="E212" s="24" t="s">
        <v>982</v>
      </c>
      <c r="F212" s="23" t="str">
        <f>INDEX(Common_Formula_Elements!$B:$B,MATCH($E212,Common_Formula_Elements!$A:$A,0))</f>
        <v>Depreciation &amp; Amortisation</v>
      </c>
      <c r="G212" s="21" t="str">
        <f>INDEX(Common_Formula_Elements!$G:$G,MATCH($E212,Common_Formula_Elements!$A:$A,0))</f>
        <v>D03</v>
      </c>
      <c r="H212" s="23" t="str">
        <f>INDEX(Minimum_Documents!$B:$B,MATCH($G212,Minimum_Documents!$A:$A,0))</f>
        <v>Monthly Financial Statement Package - consolidated (P&amp;L with budget, balance sheet, cash flow, trial balance; no department split needed)</v>
      </c>
    </row>
    <row r="213" spans="1:8" ht="28.5" customHeight="1">
      <c r="A213" s="21">
        <v>118</v>
      </c>
      <c r="B213" s="23" t="str">
        <f>INDEX(KPI_Master!$B:$B,MATCH($A213,KPI_Master!$A:$A,0))</f>
        <v>PLAO-14</v>
      </c>
      <c r="C213" s="23" t="str">
        <f>INDEX(KPI_Master!$D:$D,MATCH($A213,KPI_Master!$A:$A,0))</f>
        <v>Emergency / Unplanned Repair Rate</v>
      </c>
      <c r="D213" s="23" t="str">
        <f>INDEX(KPI_Master!$K:$K,MATCH($A213,KPI_Master!$A:$A,0))</f>
        <v>3 - Optional</v>
      </c>
      <c r="E213" s="24" t="s">
        <v>1118</v>
      </c>
      <c r="F213" s="23" t="str">
        <f>INDEX(Common_Formula_Elements!$B:$B,MATCH($E213,Common_Formula_Elements!$A:$A,0))</f>
        <v>Work Orders &amp; PM Tasks</v>
      </c>
      <c r="G213" s="21" t="str">
        <f>INDEX(Common_Formula_Elements!$G:$G,MATCH($E213,Common_Formula_Elements!$A:$A,0))</f>
        <v>D29</v>
      </c>
      <c r="H213" s="23" t="str">
        <f>INDEX(Minimum_Documents!$B:$B,MATCH($G213,Minimum_Documents!$A:$A,0))</f>
        <v>CMMS Work Order &amp; PM Report (incl. life-safety and vehicle PM tasks)</v>
      </c>
    </row>
    <row r="214" spans="1:8">
      <c r="A214" s="21">
        <v>119</v>
      </c>
      <c r="B214" s="23" t="str">
        <f>INDEX(KPI_Master!$B:$B,MATCH($A214,KPI_Master!$A:$A,0))</f>
        <v>PLAO-15</v>
      </c>
      <c r="C214" s="23" t="str">
        <f>INDEX(KPI_Master!$D:$D,MATCH($A214,KPI_Master!$A:$A,0))</f>
        <v>Square Feet per Maintenance FTE</v>
      </c>
      <c r="D214" s="23" t="str">
        <f>INDEX(KPI_Master!$K:$K,MATCH($A214,KPI_Master!$A:$A,0))</f>
        <v>3 - Optional</v>
      </c>
      <c r="E214" s="24" t="s">
        <v>963</v>
      </c>
      <c r="F214" s="23" t="str">
        <f>INDEX(Common_Formula_Elements!$B:$B,MATCH($E214,Common_Formula_Elements!$A:$A,0))</f>
        <v>Square Footage (building / cleanable)</v>
      </c>
      <c r="G214" s="21" t="str">
        <f>INDEX(Common_Formula_Elements!$G:$G,MATCH($E214,Common_Formula_Elements!$A:$A,0))</f>
        <v>D02</v>
      </c>
      <c r="H214" s="23" t="str">
        <f>INDEX(Minimum_Documents!$B:$B,MATCH($G214,Minimum_Documents!$A:$A,0))</f>
        <v>Property &amp; Unit Master Schedule</v>
      </c>
    </row>
    <row r="215" spans="1:8" ht="28.5" customHeight="1">
      <c r="A215" s="21">
        <v>119</v>
      </c>
      <c r="B215" s="23" t="str">
        <f>INDEX(KPI_Master!$B:$B,MATCH($A215,KPI_Master!$A:$A,0))</f>
        <v>PLAO-15</v>
      </c>
      <c r="C215" s="23" t="str">
        <f>INDEX(KPI_Master!$D:$D,MATCH($A215,KPI_Master!$A:$A,0))</f>
        <v>Square Feet per Maintenance FTE</v>
      </c>
      <c r="D215" s="23" t="str">
        <f>INDEX(KPI_Master!$K:$K,MATCH($A215,KPI_Master!$A:$A,0))</f>
        <v>3 - Optional</v>
      </c>
      <c r="E215" s="24" t="s">
        <v>1015</v>
      </c>
      <c r="F215" s="23" t="str">
        <f>INDEX(Common_Formula_Elements!$B:$B,MATCH($E215,Common_Formula_Elements!$A:$A,0))</f>
        <v>FTEs by Department</v>
      </c>
      <c r="G215" s="21" t="str">
        <f>INDEX(Common_Formula_Elements!$G:$G,MATCH($E215,Common_Formula_Elements!$A:$A,0))</f>
        <v>D06</v>
      </c>
      <c r="H215" s="23" t="str">
        <f>INDEX(Minimum_Documents!$B:$B,MATCH($G215,Minimum_Documents!$A:$A,0))</f>
        <v>Payroll Register (hours and wages by employee, job class and department)</v>
      </c>
    </row>
    <row r="216" spans="1:8">
      <c r="A216" s="21">
        <v>120</v>
      </c>
      <c r="B216" s="23" t="str">
        <f>INDEX(KPI_Master!$B:$B,MATCH($A216,KPI_Master!$A:$A,0))</f>
        <v>PLAO-16</v>
      </c>
      <c r="C216" s="23" t="str">
        <f>INDEX(KPI_Master!$D:$D,MATCH($A216,KPI_Master!$A:$A,0))</f>
        <v>Grounds Cost per Developed Acre</v>
      </c>
      <c r="D216" s="23" t="str">
        <f>INDEX(KPI_Master!$K:$K,MATCH($A216,KPI_Master!$A:$A,0))</f>
        <v>3 - Optional</v>
      </c>
      <c r="E216" s="24" t="s">
        <v>1126</v>
      </c>
      <c r="F216" s="23" t="str">
        <f>INDEX(Common_Formula_Elements!$B:$B,MATCH($E216,Common_Formula_Elements!$A:$A,0))</f>
        <v>Department Non-Labor Expense</v>
      </c>
      <c r="G216" s="21" t="str">
        <f>INDEX(Common_Formula_Elements!$G:$G,MATCH($E216,Common_Formula_Elements!$A:$A,0))</f>
        <v>D31</v>
      </c>
      <c r="H216" s="23" t="str">
        <f>INDEX(Minimum_Documents!$B:$B,MATCH($G216,Minimum_Documents!$A:$A,0))</f>
        <v>AP Invoice Register coded by Department / Cost Centre</v>
      </c>
    </row>
    <row r="217" spans="1:8">
      <c r="A217" s="21">
        <v>120</v>
      </c>
      <c r="B217" s="23" t="str">
        <f>INDEX(KPI_Master!$B:$B,MATCH($A217,KPI_Master!$A:$A,0))</f>
        <v>PLAO-16</v>
      </c>
      <c r="C217" s="23" t="str">
        <f>INDEX(KPI_Master!$D:$D,MATCH($A217,KPI_Master!$A:$A,0))</f>
        <v>Grounds Cost per Developed Acre</v>
      </c>
      <c r="D217" s="23" t="str">
        <f>INDEX(KPI_Master!$K:$K,MATCH($A217,KPI_Master!$A:$A,0))</f>
        <v>3 - Optional</v>
      </c>
      <c r="E217" s="24" t="s">
        <v>966</v>
      </c>
      <c r="F217" s="23" t="str">
        <f>INDEX(Common_Formula_Elements!$B:$B,MATCH($E217,Common_Formula_Elements!$A:$A,0))</f>
        <v>Developed Acreage</v>
      </c>
      <c r="G217" s="21" t="str">
        <f>INDEX(Common_Formula_Elements!$G:$G,MATCH($E217,Common_Formula_Elements!$A:$A,0))</f>
        <v>D02</v>
      </c>
      <c r="H217" s="23" t="str">
        <f>INDEX(Minimum_Documents!$B:$B,MATCH($G217,Minimum_Documents!$A:$A,0))</f>
        <v>Property &amp; Unit Master Schedule</v>
      </c>
    </row>
    <row r="218" spans="1:8" ht="28.5" customHeight="1">
      <c r="A218" s="21">
        <v>121</v>
      </c>
      <c r="B218" s="23" t="str">
        <f>INDEX(KPI_Master!$B:$B,MATCH($A218,KPI_Master!$A:$A,0))</f>
        <v>PLAO-17</v>
      </c>
      <c r="C218" s="23" t="str">
        <f>INDEX(KPI_Master!$D:$D,MATCH($A218,KPI_Master!$A:$A,0))</f>
        <v>Work Orders per Resident Unit</v>
      </c>
      <c r="D218" s="23" t="str">
        <f>INDEX(KPI_Master!$K:$K,MATCH($A218,KPI_Master!$A:$A,0))</f>
        <v>2 - Standard</v>
      </c>
      <c r="E218" s="24" t="s">
        <v>1118</v>
      </c>
      <c r="F218" s="23" t="str">
        <f>INDEX(Common_Formula_Elements!$B:$B,MATCH($E218,Common_Formula_Elements!$A:$A,0))</f>
        <v>Work Orders &amp; PM Tasks</v>
      </c>
      <c r="G218" s="21" t="str">
        <f>INDEX(Common_Formula_Elements!$G:$G,MATCH($E218,Common_Formula_Elements!$A:$A,0))</f>
        <v>D29</v>
      </c>
      <c r="H218" s="23" t="str">
        <f>INDEX(Minimum_Documents!$B:$B,MATCH($G218,Minimum_Documents!$A:$A,0))</f>
        <v>CMMS Work Order &amp; PM Report (incl. life-safety and vehicle PM tasks)</v>
      </c>
    </row>
    <row r="219" spans="1:8">
      <c r="A219" s="21">
        <v>121</v>
      </c>
      <c r="B219" s="23" t="str">
        <f>INDEX(KPI_Master!$B:$B,MATCH($A219,KPI_Master!$A:$A,0))</f>
        <v>PLAO-17</v>
      </c>
      <c r="C219" s="23" t="str">
        <f>INDEX(KPI_Master!$D:$D,MATCH($A219,KPI_Master!$A:$A,0))</f>
        <v>Work Orders per Resident Unit</v>
      </c>
      <c r="D219" s="23" t="str">
        <f>INDEX(KPI_Master!$K:$K,MATCH($A219,KPI_Master!$A:$A,0))</f>
        <v>2 - Standard</v>
      </c>
      <c r="E219" s="24" t="s">
        <v>959</v>
      </c>
      <c r="F219" s="23" t="str">
        <f>INDEX(Common_Formula_Elements!$B:$B,MATCH($E219,Common_Formula_Elements!$A:$A,0))</f>
        <v>Total Available Units / Licensed Beds</v>
      </c>
      <c r="G219" s="21" t="str">
        <f>INDEX(Common_Formula_Elements!$G:$G,MATCH($E219,Common_Formula_Elements!$A:$A,0))</f>
        <v>D02</v>
      </c>
      <c r="H219" s="23" t="str">
        <f>INDEX(Minimum_Documents!$B:$B,MATCH($G219,Minimum_Documents!$A:$A,0))</f>
        <v>Property &amp; Unit Master Schedule</v>
      </c>
    </row>
    <row r="220" spans="1:8" ht="28.5" customHeight="1">
      <c r="A220" s="21">
        <v>122</v>
      </c>
      <c r="B220" s="23" t="str">
        <f>INDEX(KPI_Master!$B:$B,MATCH($A220,KPI_Master!$A:$A,0))</f>
        <v>PLAO-18</v>
      </c>
      <c r="C220" s="23" t="str">
        <f>INDEX(KPI_Master!$D:$D,MATCH($A220,KPI_Master!$A:$A,0))</f>
        <v>Work Order On-Time Completion Rate</v>
      </c>
      <c r="D220" s="23" t="str">
        <f>INDEX(KPI_Master!$K:$K,MATCH($A220,KPI_Master!$A:$A,0))</f>
        <v>2 - Standard</v>
      </c>
      <c r="E220" s="24" t="s">
        <v>1118</v>
      </c>
      <c r="F220" s="23" t="str">
        <f>INDEX(Common_Formula_Elements!$B:$B,MATCH($E220,Common_Formula_Elements!$A:$A,0))</f>
        <v>Work Orders &amp; PM Tasks</v>
      </c>
      <c r="G220" s="21" t="str">
        <f>INDEX(Common_Formula_Elements!$G:$G,MATCH($E220,Common_Formula_Elements!$A:$A,0))</f>
        <v>D29</v>
      </c>
      <c r="H220" s="23" t="str">
        <f>INDEX(Minimum_Documents!$B:$B,MATCH($G220,Minimum_Documents!$A:$A,0))</f>
        <v>CMMS Work Order &amp; PM Report (incl. life-safety and vehicle PM tasks)</v>
      </c>
    </row>
    <row r="221" spans="1:8" ht="28.5" customHeight="1">
      <c r="A221" s="21">
        <v>123</v>
      </c>
      <c r="B221" s="23" t="str">
        <f>INDEX(KPI_Master!$B:$B,MATCH($A221,KPI_Master!$A:$A,0))</f>
        <v>PLAO-19</v>
      </c>
      <c r="C221" s="23" t="str">
        <f>INDEX(KPI_Master!$D:$D,MATCH($A221,KPI_Master!$A:$A,0))</f>
        <v>Maintenance Labor Hours per Resident Unit</v>
      </c>
      <c r="D221" s="23" t="str">
        <f>INDEX(KPI_Master!$K:$K,MATCH($A221,KPI_Master!$A:$A,0))</f>
        <v>3 - Optional</v>
      </c>
      <c r="E221" s="24" t="s">
        <v>1118</v>
      </c>
      <c r="F221" s="23" t="str">
        <f>INDEX(Common_Formula_Elements!$B:$B,MATCH($E221,Common_Formula_Elements!$A:$A,0))</f>
        <v>Work Orders &amp; PM Tasks</v>
      </c>
      <c r="G221" s="21" t="str">
        <f>INDEX(Common_Formula_Elements!$G:$G,MATCH($E221,Common_Formula_Elements!$A:$A,0))</f>
        <v>D29</v>
      </c>
      <c r="H221" s="23" t="str">
        <f>INDEX(Minimum_Documents!$B:$B,MATCH($G221,Minimum_Documents!$A:$A,0))</f>
        <v>CMMS Work Order &amp; PM Report (incl. life-safety and vehicle PM tasks)</v>
      </c>
    </row>
    <row r="222" spans="1:8">
      <c r="A222" s="21">
        <v>123</v>
      </c>
      <c r="B222" s="23" t="str">
        <f>INDEX(KPI_Master!$B:$B,MATCH($A222,KPI_Master!$A:$A,0))</f>
        <v>PLAO-19</v>
      </c>
      <c r="C222" s="23" t="str">
        <f>INDEX(KPI_Master!$D:$D,MATCH($A222,KPI_Master!$A:$A,0))</f>
        <v>Maintenance Labor Hours per Resident Unit</v>
      </c>
      <c r="D222" s="23" t="str">
        <f>INDEX(KPI_Master!$K:$K,MATCH($A222,KPI_Master!$A:$A,0))</f>
        <v>3 - Optional</v>
      </c>
      <c r="E222" s="24" t="s">
        <v>959</v>
      </c>
      <c r="F222" s="23" t="str">
        <f>INDEX(Common_Formula_Elements!$B:$B,MATCH($E222,Common_Formula_Elements!$A:$A,0))</f>
        <v>Total Available Units / Licensed Beds</v>
      </c>
      <c r="G222" s="21" t="str">
        <f>INDEX(Common_Formula_Elements!$G:$G,MATCH($E222,Common_Formula_Elements!$A:$A,0))</f>
        <v>D02</v>
      </c>
      <c r="H222" s="23" t="str">
        <f>INDEX(Minimum_Documents!$B:$B,MATCH($G222,Minimum_Documents!$A:$A,0))</f>
        <v>Property &amp; Unit Master Schedule</v>
      </c>
    </row>
    <row r="223" spans="1:8" ht="28.5" customHeight="1">
      <c r="A223" s="21">
        <v>124</v>
      </c>
      <c r="B223" s="23" t="str">
        <f>INDEX(KPI_Master!$B:$B,MATCH($A223,KPI_Master!$A:$A,0))</f>
        <v>PLAO-20</v>
      </c>
      <c r="C223" s="23" t="str">
        <f>INDEX(KPI_Master!$D:$D,MATCH($A223,KPI_Master!$A:$A,0))</f>
        <v>Average Days Overdue per Overdue Work Order</v>
      </c>
      <c r="D223" s="23" t="str">
        <f>INDEX(KPI_Master!$K:$K,MATCH($A223,KPI_Master!$A:$A,0))</f>
        <v>2 - Standard</v>
      </c>
      <c r="E223" s="24" t="s">
        <v>1118</v>
      </c>
      <c r="F223" s="23" t="str">
        <f>INDEX(Common_Formula_Elements!$B:$B,MATCH($E223,Common_Formula_Elements!$A:$A,0))</f>
        <v>Work Orders &amp; PM Tasks</v>
      </c>
      <c r="G223" s="21" t="str">
        <f>INDEX(Common_Formula_Elements!$G:$G,MATCH($E223,Common_Formula_Elements!$A:$A,0))</f>
        <v>D29</v>
      </c>
      <c r="H223" s="23" t="str">
        <f>INDEX(Minimum_Documents!$B:$B,MATCH($G223,Minimum_Documents!$A:$A,0))</f>
        <v>CMMS Work Order &amp; PM Report (incl. life-safety and vehicle PM tasks)</v>
      </c>
    </row>
    <row r="224" spans="1:8" ht="28.5" customHeight="1">
      <c r="A224" s="21">
        <v>125</v>
      </c>
      <c r="B224" s="23" t="str">
        <f>INDEX(KPI_Master!$B:$B,MATCH($A224,KPI_Master!$A:$A,0))</f>
        <v>PLAO-21</v>
      </c>
      <c r="C224" s="23" t="str">
        <f>INDEX(KPI_Master!$D:$D,MATCH($A224,KPI_Master!$A:$A,0))</f>
        <v>Average Days Open per Work Order</v>
      </c>
      <c r="D224" s="23" t="str">
        <f>INDEX(KPI_Master!$K:$K,MATCH($A224,KPI_Master!$A:$A,0))</f>
        <v>2 - Standard</v>
      </c>
      <c r="E224" s="24" t="s">
        <v>1118</v>
      </c>
      <c r="F224" s="23" t="str">
        <f>INDEX(Common_Formula_Elements!$B:$B,MATCH($E224,Common_Formula_Elements!$A:$A,0))</f>
        <v>Work Orders &amp; PM Tasks</v>
      </c>
      <c r="G224" s="21" t="str">
        <f>INDEX(Common_Formula_Elements!$G:$G,MATCH($E224,Common_Formula_Elements!$A:$A,0))</f>
        <v>D29</v>
      </c>
      <c r="H224" s="23" t="str">
        <f>INDEX(Minimum_Documents!$B:$B,MATCH($G224,Minimum_Documents!$A:$A,0))</f>
        <v>CMMS Work Order &amp; PM Report (incl. life-safety and vehicle PM tasks)</v>
      </c>
    </row>
    <row r="225" spans="1:8" ht="28.5" customHeight="1">
      <c r="A225" s="21">
        <v>126</v>
      </c>
      <c r="B225" s="23" t="str">
        <f>INDEX(KPI_Master!$B:$B,MATCH($A225,KPI_Master!$A:$A,0))</f>
        <v>PLAO-22</v>
      </c>
      <c r="C225" s="23" t="str">
        <f>INDEX(KPI_Master!$D:$D,MATCH($A225,KPI_Master!$A:$A,0))</f>
        <v>Resident Billings per Resident Unit</v>
      </c>
      <c r="D225" s="23" t="str">
        <f>INDEX(KPI_Master!$K:$K,MATCH($A225,KPI_Master!$A:$A,0))</f>
        <v>3 - Optional</v>
      </c>
      <c r="E225" s="24" t="s">
        <v>1118</v>
      </c>
      <c r="F225" s="23" t="str">
        <f>INDEX(Common_Formula_Elements!$B:$B,MATCH($E225,Common_Formula_Elements!$A:$A,0))</f>
        <v>Work Orders &amp; PM Tasks</v>
      </c>
      <c r="G225" s="21" t="str">
        <f>INDEX(Common_Formula_Elements!$G:$G,MATCH($E225,Common_Formula_Elements!$A:$A,0))</f>
        <v>D29</v>
      </c>
      <c r="H225" s="23" t="str">
        <f>INDEX(Minimum_Documents!$B:$B,MATCH($G225,Minimum_Documents!$A:$A,0))</f>
        <v>CMMS Work Order &amp; PM Report (incl. life-safety and vehicle PM tasks)</v>
      </c>
    </row>
    <row r="226" spans="1:8">
      <c r="A226" s="21">
        <v>126</v>
      </c>
      <c r="B226" s="23" t="str">
        <f>INDEX(KPI_Master!$B:$B,MATCH($A226,KPI_Master!$A:$A,0))</f>
        <v>PLAO-22</v>
      </c>
      <c r="C226" s="23" t="str">
        <f>INDEX(KPI_Master!$D:$D,MATCH($A226,KPI_Master!$A:$A,0))</f>
        <v>Resident Billings per Resident Unit</v>
      </c>
      <c r="D226" s="23" t="str">
        <f>INDEX(KPI_Master!$K:$K,MATCH($A226,KPI_Master!$A:$A,0))</f>
        <v>3 - Optional</v>
      </c>
      <c r="E226" s="24" t="s">
        <v>959</v>
      </c>
      <c r="F226" s="23" t="str">
        <f>INDEX(Common_Formula_Elements!$B:$B,MATCH($E226,Common_Formula_Elements!$A:$A,0))</f>
        <v>Total Available Units / Licensed Beds</v>
      </c>
      <c r="G226" s="21" t="str">
        <f>INDEX(Common_Formula_Elements!$G:$G,MATCH($E226,Common_Formula_Elements!$A:$A,0))</f>
        <v>D02</v>
      </c>
      <c r="H226" s="23" t="str">
        <f>INDEX(Minimum_Documents!$B:$B,MATCH($G226,Minimum_Documents!$A:$A,0))</f>
        <v>Property &amp; Unit Master Schedule</v>
      </c>
    </row>
    <row r="227" spans="1:8" ht="28.5" customHeight="1">
      <c r="A227" s="21">
        <v>127</v>
      </c>
      <c r="B227" s="23" t="str">
        <f>INDEX(KPI_Master!$B:$B,MATCH($A227,KPI_Master!$A:$A,0))</f>
        <v>QUAC-01</v>
      </c>
      <c r="C227" s="23" t="str">
        <f>INDEX(KPI_Master!$D:$D,MATCH($A227,KPI_Master!$A:$A,0))</f>
        <v>Survey Deficiency Count</v>
      </c>
      <c r="D227" s="23" t="str">
        <f>INDEX(KPI_Master!$K:$K,MATCH($A227,KPI_Master!$A:$A,0))</f>
        <v>1 - Core</v>
      </c>
      <c r="E227" s="24" t="s">
        <v>1071</v>
      </c>
      <c r="F227" s="23" t="str">
        <f>INDEX(Common_Formula_Elements!$B:$B,MATCH($E227,Common_Formula_Elements!$A:$A,0))</f>
        <v>Survey Deficiencies</v>
      </c>
      <c r="G227" s="21" t="str">
        <f>INDEX(Common_Formula_Elements!$G:$G,MATCH($E227,Common_Formula_Elements!$A:$A,0))</f>
        <v>D18</v>
      </c>
      <c r="H227" s="23" t="str">
        <f>INDEX(Minimum_Documents!$B:$B,MATCH($G227,Minimum_Documents!$A:$A,0))</f>
        <v>Regulatory Survey Report (CMS-2567 / State survey, incl. Life Safety)</v>
      </c>
    </row>
    <row r="228" spans="1:8">
      <c r="A228" s="21">
        <v>128</v>
      </c>
      <c r="B228" s="23" t="str">
        <f>INDEX(KPI_Master!$B:$B,MATCH($A228,KPI_Master!$A:$A,0))</f>
        <v>QUAC-12</v>
      </c>
      <c r="C228" s="23" t="str">
        <f>INDEX(KPI_Master!$D:$D,MATCH($A228,KPI_Master!$A:$A,0))</f>
        <v>Infection Prevention Audit Score</v>
      </c>
      <c r="D228" s="23" t="str">
        <f>INDEX(KPI_Master!$K:$K,MATCH($A228,KPI_Master!$A:$A,0))</f>
        <v>2 - Standard</v>
      </c>
      <c r="E228" s="24" t="s">
        <v>1079</v>
      </c>
      <c r="F228" s="23" t="str">
        <f>INDEX(Common_Formula_Elements!$B:$B,MATCH($E228,Common_Formula_Elements!$A:$A,0))</f>
        <v>Audit Points Earned / Possible</v>
      </c>
      <c r="G228" s="21" t="str">
        <f>INDEX(Common_Formula_Elements!$G:$G,MATCH($E228,Common_Formula_Elements!$A:$A,0))</f>
        <v>D20</v>
      </c>
      <c r="H228" s="23" t="str">
        <f>INDEX(Minimum_Documents!$B:$B,MATCH($G228,Minimum_Documents!$A:$A,0))</f>
        <v>Quality Audit Tool Export (IP, sanitation, tray-line audits)</v>
      </c>
    </row>
    <row r="229" spans="1:8" ht="28.5" customHeight="1">
      <c r="A229" s="21">
        <v>129</v>
      </c>
      <c r="B229" s="23" t="str">
        <f>INDEX(KPI_Master!$B:$B,MATCH($A229,KPI_Master!$A:$A,0))</f>
        <v>QUAC-15</v>
      </c>
      <c r="C229" s="23" t="str">
        <f>INDEX(KPI_Master!$D:$D,MATCH($A229,KPI_Master!$A:$A,0))</f>
        <v>Life Safety Code Survey Deficiencies</v>
      </c>
      <c r="D229" s="23" t="str">
        <f>INDEX(KPI_Master!$K:$K,MATCH($A229,KPI_Master!$A:$A,0))</f>
        <v>1 - Core</v>
      </c>
      <c r="E229" s="24" t="s">
        <v>1071</v>
      </c>
      <c r="F229" s="23" t="str">
        <f>INDEX(Common_Formula_Elements!$B:$B,MATCH($E229,Common_Formula_Elements!$A:$A,0))</f>
        <v>Survey Deficiencies</v>
      </c>
      <c r="G229" s="21" t="str">
        <f>INDEX(Common_Formula_Elements!$G:$G,MATCH($E229,Common_Formula_Elements!$A:$A,0))</f>
        <v>D18</v>
      </c>
      <c r="H229" s="23" t="str">
        <f>INDEX(Minimum_Documents!$B:$B,MATCH($G229,Minimum_Documents!$A:$A,0))</f>
        <v>Regulatory Survey Report (CMS-2567 / State survey, incl. Life Safety)</v>
      </c>
    </row>
    <row r="230" spans="1:8">
      <c r="A230" s="21">
        <v>130</v>
      </c>
      <c r="B230" s="23" t="str">
        <f>INDEX(KPI_Master!$B:$B,MATCH($A230,KPI_Master!$A:$A,0))</f>
        <v>QUAC-16</v>
      </c>
      <c r="C230" s="23" t="str">
        <f>INDEX(KPI_Master!$D:$D,MATCH($A230,KPI_Master!$A:$A,0))</f>
        <v>CMS Five-Star Overall Rating</v>
      </c>
      <c r="D230" s="23" t="str">
        <f>INDEX(KPI_Master!$K:$K,MATCH($A230,KPI_Master!$A:$A,0))</f>
        <v>1 - Core</v>
      </c>
      <c r="E230" s="24" t="s">
        <v>1067</v>
      </c>
      <c r="F230" s="23" t="str">
        <f>INDEX(Common_Formula_Elements!$B:$B,MATCH($E230,Common_Formula_Elements!$A:$A,0))</f>
        <v>CMS-Published Measures &amp; Ratings</v>
      </c>
      <c r="G230" s="21" t="str">
        <f>INDEX(Common_Formula_Elements!$G:$G,MATCH($E230,Common_Formula_Elements!$A:$A,0))</f>
        <v>D17</v>
      </c>
      <c r="H230" s="23" t="str">
        <f>INDEX(Minimum_Documents!$B:$B,MATCH($G230,Minimum_Documents!$A:$A,0))</f>
        <v>CMS Care Compare Provider Data Download (monthly)</v>
      </c>
    </row>
    <row r="231" spans="1:8">
      <c r="A231" s="21">
        <v>131</v>
      </c>
      <c r="B231" s="23" t="str">
        <f>INDEX(KPI_Master!$B:$B,MATCH($A231,KPI_Master!$A:$A,0))</f>
        <v>QUAC-17</v>
      </c>
      <c r="C231" s="23" t="str">
        <f>INDEX(KPI_Master!$D:$D,MATCH($A231,KPI_Master!$A:$A,0))</f>
        <v>CMS Health Inspection Star Rating</v>
      </c>
      <c r="D231" s="23" t="str">
        <f>INDEX(KPI_Master!$K:$K,MATCH($A231,KPI_Master!$A:$A,0))</f>
        <v>2 - Standard</v>
      </c>
      <c r="E231" s="24" t="s">
        <v>1067</v>
      </c>
      <c r="F231" s="23" t="str">
        <f>INDEX(Common_Formula_Elements!$B:$B,MATCH($E231,Common_Formula_Elements!$A:$A,0))</f>
        <v>CMS-Published Measures &amp; Ratings</v>
      </c>
      <c r="G231" s="21" t="str">
        <f>INDEX(Common_Formula_Elements!$G:$G,MATCH($E231,Common_Formula_Elements!$A:$A,0))</f>
        <v>D17</v>
      </c>
      <c r="H231" s="23" t="str">
        <f>INDEX(Minimum_Documents!$B:$B,MATCH($G231,Minimum_Documents!$A:$A,0))</f>
        <v>CMS Care Compare Provider Data Download (monthly)</v>
      </c>
    </row>
    <row r="232" spans="1:8">
      <c r="A232" s="21">
        <v>132</v>
      </c>
      <c r="B232" s="23" t="str">
        <f>INDEX(KPI_Master!$B:$B,MATCH($A232,KPI_Master!$A:$A,0))</f>
        <v>QUAC-18</v>
      </c>
      <c r="C232" s="23" t="str">
        <f>INDEX(KPI_Master!$D:$D,MATCH($A232,KPI_Master!$A:$A,0))</f>
        <v>CMS Staffing Star Rating</v>
      </c>
      <c r="D232" s="23" t="str">
        <f>INDEX(KPI_Master!$K:$K,MATCH($A232,KPI_Master!$A:$A,0))</f>
        <v>2 - Standard</v>
      </c>
      <c r="E232" s="24" t="s">
        <v>1067</v>
      </c>
      <c r="F232" s="23" t="str">
        <f>INDEX(Common_Formula_Elements!$B:$B,MATCH($E232,Common_Formula_Elements!$A:$A,0))</f>
        <v>CMS-Published Measures &amp; Ratings</v>
      </c>
      <c r="G232" s="21" t="str">
        <f>INDEX(Common_Formula_Elements!$G:$G,MATCH($E232,Common_Formula_Elements!$A:$A,0))</f>
        <v>D17</v>
      </c>
      <c r="H232" s="23" t="str">
        <f>INDEX(Minimum_Documents!$B:$B,MATCH($G232,Minimum_Documents!$A:$A,0))</f>
        <v>CMS Care Compare Provider Data Download (monthly)</v>
      </c>
    </row>
    <row r="233" spans="1:8">
      <c r="A233" s="21">
        <v>133</v>
      </c>
      <c r="B233" s="23" t="str">
        <f>INDEX(KPI_Master!$B:$B,MATCH($A233,KPI_Master!$A:$A,0))</f>
        <v>QUAC-19</v>
      </c>
      <c r="C233" s="23" t="str">
        <f>INDEX(KPI_Master!$D:$D,MATCH($A233,KPI_Master!$A:$A,0))</f>
        <v>CMS Quality Measure Star Rating</v>
      </c>
      <c r="D233" s="23" t="str">
        <f>INDEX(KPI_Master!$K:$K,MATCH($A233,KPI_Master!$A:$A,0))</f>
        <v>2 - Standard</v>
      </c>
      <c r="E233" s="24" t="s">
        <v>1067</v>
      </c>
      <c r="F233" s="23" t="str">
        <f>INDEX(Common_Formula_Elements!$B:$B,MATCH($E233,Common_Formula_Elements!$A:$A,0))</f>
        <v>CMS-Published Measures &amp; Ratings</v>
      </c>
      <c r="G233" s="21" t="str">
        <f>INDEX(Common_Formula_Elements!$G:$G,MATCH($E233,Common_Formula_Elements!$A:$A,0))</f>
        <v>D17</v>
      </c>
      <c r="H233" s="23" t="str">
        <f>INDEX(Minimum_Documents!$B:$B,MATCH($G233,Minimum_Documents!$A:$A,0))</f>
        <v>CMS Care Compare Provider Data Download (monthly)</v>
      </c>
    </row>
    <row r="234" spans="1:8">
      <c r="A234" s="21">
        <v>134</v>
      </c>
      <c r="B234" s="23" t="str">
        <f>INDEX(KPI_Master!$B:$B,MATCH($A234,KPI_Master!$A:$A,0))</f>
        <v>QUAC-20</v>
      </c>
      <c r="C234" s="23" t="str">
        <f>INDEX(KPI_Master!$D:$D,MATCH($A234,KPI_Master!$A:$A,0))</f>
        <v>Weighted Health Inspection Score (CMS)</v>
      </c>
      <c r="D234" s="23" t="str">
        <f>INDEX(KPI_Master!$K:$K,MATCH($A234,KPI_Master!$A:$A,0))</f>
        <v>2 - Standard</v>
      </c>
      <c r="E234" s="24" t="s">
        <v>1067</v>
      </c>
      <c r="F234" s="23" t="str">
        <f>INDEX(Common_Formula_Elements!$B:$B,MATCH($E234,Common_Formula_Elements!$A:$A,0))</f>
        <v>CMS-Published Measures &amp; Ratings</v>
      </c>
      <c r="G234" s="21" t="str">
        <f>INDEX(Common_Formula_Elements!$G:$G,MATCH($E234,Common_Formula_Elements!$A:$A,0))</f>
        <v>D17</v>
      </c>
      <c r="H234" s="23" t="str">
        <f>INDEX(Minimum_Documents!$B:$B,MATCH($G234,Minimum_Documents!$A:$A,0))</f>
        <v>CMS Care Compare Provider Data Download (monthly)</v>
      </c>
    </row>
    <row r="235" spans="1:8">
      <c r="A235" s="21">
        <v>135</v>
      </c>
      <c r="B235" s="23" t="str">
        <f>INDEX(KPI_Master!$B:$B,MATCH($A235,KPI_Master!$A:$A,0))</f>
        <v>QUAC-21</v>
      </c>
      <c r="C235" s="23" t="str">
        <f>INDEX(KPI_Master!$D:$D,MATCH($A235,KPI_Master!$A:$A,0))</f>
        <v>Complaint Survey Deficiency Points (CMS)</v>
      </c>
      <c r="D235" s="23" t="str">
        <f>INDEX(KPI_Master!$K:$K,MATCH($A235,KPI_Master!$A:$A,0))</f>
        <v>2 - Standard</v>
      </c>
      <c r="E235" s="24" t="s">
        <v>1067</v>
      </c>
      <c r="F235" s="23" t="str">
        <f>INDEX(Common_Formula_Elements!$B:$B,MATCH($E235,Common_Formula_Elements!$A:$A,0))</f>
        <v>CMS-Published Measures &amp; Ratings</v>
      </c>
      <c r="G235" s="21" t="str">
        <f>INDEX(Common_Formula_Elements!$G:$G,MATCH($E235,Common_Formula_Elements!$A:$A,0))</f>
        <v>D17</v>
      </c>
      <c r="H235" s="23" t="str">
        <f>INDEX(Minimum_Documents!$B:$B,MATCH($G235,Minimum_Documents!$A:$A,0))</f>
        <v>CMS Care Compare Provider Data Download (monthly)</v>
      </c>
    </row>
    <row r="236" spans="1:8" ht="28.5" customHeight="1">
      <c r="A236" s="21">
        <v>136</v>
      </c>
      <c r="B236" s="23" t="str">
        <f>INDEX(KPI_Master!$B:$B,MATCH($A236,KPI_Master!$A:$A,0))</f>
        <v>QUAC-22</v>
      </c>
      <c r="C236" s="23" t="str">
        <f>INDEX(KPI_Master!$D:$D,MATCH($A236,KPI_Master!$A:$A,0))</f>
        <v>Focused Infection Control Survey Deficiency Points (CMS)</v>
      </c>
      <c r="D236" s="23" t="str">
        <f>INDEX(KPI_Master!$K:$K,MATCH($A236,KPI_Master!$A:$A,0))</f>
        <v>3 - Optional</v>
      </c>
      <c r="E236" s="24" t="s">
        <v>1067</v>
      </c>
      <c r="F236" s="23" t="str">
        <f>INDEX(Common_Formula_Elements!$B:$B,MATCH($E236,Common_Formula_Elements!$A:$A,0))</f>
        <v>CMS-Published Measures &amp; Ratings</v>
      </c>
      <c r="G236" s="21" t="str">
        <f>INDEX(Common_Formula_Elements!$G:$G,MATCH($E236,Common_Formula_Elements!$A:$A,0))</f>
        <v>D17</v>
      </c>
      <c r="H236" s="23" t="str">
        <f>INDEX(Minimum_Documents!$B:$B,MATCH($G236,Minimum_Documents!$A:$A,0))</f>
        <v>CMS Care Compare Provider Data Download (monthly)</v>
      </c>
    </row>
    <row r="237" spans="1:8">
      <c r="A237" s="21">
        <v>137</v>
      </c>
      <c r="B237" s="23" t="str">
        <f>INDEX(KPI_Master!$B:$B,MATCH($A237,KPI_Master!$A:$A,0))</f>
        <v>QUAC-23</v>
      </c>
      <c r="C237" s="23" t="str">
        <f>INDEX(KPI_Master!$D:$D,MATCH($A237,KPI_Master!$A:$A,0))</f>
        <v>Survey Revisit Points (CMS)</v>
      </c>
      <c r="D237" s="23" t="str">
        <f>INDEX(KPI_Master!$K:$K,MATCH($A237,KPI_Master!$A:$A,0))</f>
        <v>3 - Optional</v>
      </c>
      <c r="E237" s="24" t="s">
        <v>1067</v>
      </c>
      <c r="F237" s="23" t="str">
        <f>INDEX(Common_Formula_Elements!$B:$B,MATCH($E237,Common_Formula_Elements!$A:$A,0))</f>
        <v>CMS-Published Measures &amp; Ratings</v>
      </c>
      <c r="G237" s="21" t="str">
        <f>INDEX(Common_Formula_Elements!$G:$G,MATCH($E237,Common_Formula_Elements!$A:$A,0))</f>
        <v>D17</v>
      </c>
      <c r="H237" s="23" t="str">
        <f>INDEX(Minimum_Documents!$B:$B,MATCH($G237,Minimum_Documents!$A:$A,0))</f>
        <v>CMS Care Compare Provider Data Download (monthly)</v>
      </c>
    </row>
    <row r="238" spans="1:8" ht="28.5" customHeight="1">
      <c r="A238" s="21">
        <v>138</v>
      </c>
      <c r="B238" s="23" t="str">
        <f>INDEX(KPI_Master!$B:$B,MATCH($A238,KPI_Master!$A:$A,0))</f>
        <v>QUAC-24</v>
      </c>
      <c r="C238" s="23" t="str">
        <f>INDEX(KPI_Master!$D:$D,MATCH($A238,KPI_Master!$A:$A,0))</f>
        <v>Substandard Quality of Care Citations</v>
      </c>
      <c r="D238" s="23" t="str">
        <f>INDEX(KPI_Master!$K:$K,MATCH($A238,KPI_Master!$A:$A,0))</f>
        <v>2 - Standard</v>
      </c>
      <c r="E238" s="24" t="s">
        <v>1071</v>
      </c>
      <c r="F238" s="23" t="str">
        <f>INDEX(Common_Formula_Elements!$B:$B,MATCH($E238,Common_Formula_Elements!$A:$A,0))</f>
        <v>Survey Deficiencies</v>
      </c>
      <c r="G238" s="21" t="str">
        <f>INDEX(Common_Formula_Elements!$G:$G,MATCH($E238,Common_Formula_Elements!$A:$A,0))</f>
        <v>D18</v>
      </c>
      <c r="H238" s="23" t="str">
        <f>INDEX(Minimum_Documents!$B:$B,MATCH($G238,Minimum_Documents!$A:$A,0))</f>
        <v>Regulatory Survey Report (CMS-2567 / State survey, incl. Life Safety)</v>
      </c>
    </row>
    <row r="239" spans="1:8" ht="28.5" customHeight="1">
      <c r="A239" s="21">
        <v>139</v>
      </c>
      <c r="B239" s="23" t="str">
        <f>INDEX(KPI_Master!$B:$B,MATCH($A239,KPI_Master!$A:$A,0))</f>
        <v>QUAC-25</v>
      </c>
      <c r="C239" s="23" t="str">
        <f>INDEX(KPI_Master!$D:$D,MATCH($A239,KPI_Master!$A:$A,0))</f>
        <v>Immediate Jeopardy Citations</v>
      </c>
      <c r="D239" s="23" t="str">
        <f>INDEX(KPI_Master!$K:$K,MATCH($A239,KPI_Master!$A:$A,0))</f>
        <v>1 - Core</v>
      </c>
      <c r="E239" s="24" t="s">
        <v>1071</v>
      </c>
      <c r="F239" s="23" t="str">
        <f>INDEX(Common_Formula_Elements!$B:$B,MATCH($E239,Common_Formula_Elements!$A:$A,0))</f>
        <v>Survey Deficiencies</v>
      </c>
      <c r="G239" s="21" t="str">
        <f>INDEX(Common_Formula_Elements!$G:$G,MATCH($E239,Common_Formula_Elements!$A:$A,0))</f>
        <v>D18</v>
      </c>
      <c r="H239" s="23" t="str">
        <f>INDEX(Minimum_Documents!$B:$B,MATCH($G239,Minimum_Documents!$A:$A,0))</f>
        <v>Regulatory Survey Report (CMS-2567 / State survey, incl. Life Safety)</v>
      </c>
    </row>
    <row r="240" spans="1:8">
      <c r="A240" s="21">
        <v>140</v>
      </c>
      <c r="B240" s="23" t="str">
        <f>INDEX(KPI_Master!$B:$B,MATCH($A240,KPI_Master!$A:$A,0))</f>
        <v>QUAC-26</v>
      </c>
      <c r="C240" s="23" t="str">
        <f>INDEX(KPI_Master!$D:$D,MATCH($A240,KPI_Master!$A:$A,0))</f>
        <v>CMS Abuse Icon Status</v>
      </c>
      <c r="D240" s="23" t="str">
        <f>INDEX(KPI_Master!$K:$K,MATCH($A240,KPI_Master!$A:$A,0))</f>
        <v>1 - Core</v>
      </c>
      <c r="E240" s="24" t="s">
        <v>1067</v>
      </c>
      <c r="F240" s="23" t="str">
        <f>INDEX(Common_Formula_Elements!$B:$B,MATCH($E240,Common_Formula_Elements!$A:$A,0))</f>
        <v>CMS-Published Measures &amp; Ratings</v>
      </c>
      <c r="G240" s="21" t="str">
        <f>INDEX(Common_Formula_Elements!$G:$G,MATCH($E240,Common_Formula_Elements!$A:$A,0))</f>
        <v>D17</v>
      </c>
      <c r="H240" s="23" t="str">
        <f>INDEX(Minimum_Documents!$B:$B,MATCH($G240,Minimum_Documents!$A:$A,0))</f>
        <v>CMS Care Compare Provider Data Download (monthly)</v>
      </c>
    </row>
    <row r="241" spans="1:8">
      <c r="A241" s="21">
        <v>141</v>
      </c>
      <c r="B241" s="23" t="str">
        <f>INDEX(KPI_Master!$B:$B,MATCH($A241,KPI_Master!$A:$A,0))</f>
        <v>QUAC-27</v>
      </c>
      <c r="C241" s="23" t="str">
        <f>INDEX(KPI_Master!$D:$D,MATCH($A241,KPI_Master!$A:$A,0))</f>
        <v>Special Focus Facility (SFF) Status</v>
      </c>
      <c r="D241" s="23" t="str">
        <f>INDEX(KPI_Master!$K:$K,MATCH($A241,KPI_Master!$A:$A,0))</f>
        <v>2 - Standard</v>
      </c>
      <c r="E241" s="24" t="s">
        <v>1067</v>
      </c>
      <c r="F241" s="23" t="str">
        <f>INDEX(Common_Formula_Elements!$B:$B,MATCH($E241,Common_Formula_Elements!$A:$A,0))</f>
        <v>CMS-Published Measures &amp; Ratings</v>
      </c>
      <c r="G241" s="21" t="str">
        <f>INDEX(Common_Formula_Elements!$G:$G,MATCH($E241,Common_Formula_Elements!$A:$A,0))</f>
        <v>D17</v>
      </c>
      <c r="H241" s="23" t="str">
        <f>INDEX(Minimum_Documents!$B:$B,MATCH($G241,Minimum_Documents!$A:$A,0))</f>
        <v>CMS Care Compare Provider Data Download (monthly)</v>
      </c>
    </row>
    <row r="242" spans="1:8" ht="28.5" customHeight="1">
      <c r="A242" s="21">
        <v>142</v>
      </c>
      <c r="B242" s="23" t="str">
        <f>INDEX(KPI_Master!$B:$B,MATCH($A242,KPI_Master!$A:$A,0))</f>
        <v>QUAC-28</v>
      </c>
      <c r="C242" s="23" t="str">
        <f>INDEX(KPI_Master!$D:$D,MATCH($A242,KPI_Master!$A:$A,0))</f>
        <v>PBJ Submission and RN Coverage Exceptions</v>
      </c>
      <c r="D242" s="23" t="str">
        <f>INDEX(KPI_Master!$K:$K,MATCH($A242,KPI_Master!$A:$A,0))</f>
        <v>2 - Standard</v>
      </c>
      <c r="E242" s="24" t="s">
        <v>1018</v>
      </c>
      <c r="F242" s="23" t="str">
        <f>INDEX(Common_Formula_Elements!$B:$B,MATCH($E242,Common_Formula_Elements!$A:$A,0))</f>
        <v>Scheduled vs Worked by Day &amp; Shift</v>
      </c>
      <c r="G242" s="21" t="str">
        <f>INDEX(Common_Formula_Elements!$G:$G,MATCH($E242,Common_Formula_Elements!$A:$A,0))</f>
        <v>D07</v>
      </c>
      <c r="H242" s="23" t="str">
        <f>INDEX(Minimum_Documents!$B:$B,MATCH($G242,Minimum_Documents!$A:$A,0))</f>
        <v>Time &amp; Attendance / Scheduling Report (scheduled vs worked, by day and shift)</v>
      </c>
    </row>
    <row r="243" spans="1:8">
      <c r="A243" s="21">
        <v>142</v>
      </c>
      <c r="B243" s="23" t="str">
        <f>INDEX(KPI_Master!$B:$B,MATCH($A243,KPI_Master!$A:$A,0))</f>
        <v>QUAC-28</v>
      </c>
      <c r="C243" s="23" t="str">
        <f>INDEX(KPI_Master!$D:$D,MATCH($A243,KPI_Master!$A:$A,0))</f>
        <v>PBJ Submission and RN Coverage Exceptions</v>
      </c>
      <c r="D243" s="23" t="str">
        <f>INDEX(KPI_Master!$K:$K,MATCH($A243,KPI_Master!$A:$A,0))</f>
        <v>2 - Standard</v>
      </c>
      <c r="E243" s="24" t="s">
        <v>1067</v>
      </c>
      <c r="F243" s="23" t="str">
        <f>INDEX(Common_Formula_Elements!$B:$B,MATCH($E243,Common_Formula_Elements!$A:$A,0))</f>
        <v>CMS-Published Measures &amp; Ratings</v>
      </c>
      <c r="G243" s="21" t="str">
        <f>INDEX(Common_Formula_Elements!$G:$G,MATCH($E243,Common_Formula_Elements!$A:$A,0))</f>
        <v>D17</v>
      </c>
      <c r="H243" s="23" t="str">
        <f>INDEX(Minimum_Documents!$B:$B,MATCH($G243,Minimum_Documents!$A:$A,0))</f>
        <v>CMS Care Compare Provider Data Download (monthly)</v>
      </c>
    </row>
    <row r="244" spans="1:8">
      <c r="A244" s="21">
        <v>143</v>
      </c>
      <c r="B244" s="23" t="str">
        <f>INDEX(KPI_Master!$B:$B,MATCH($A244,KPI_Master!$A:$A,0))</f>
        <v>QUAC-29</v>
      </c>
      <c r="C244" s="23" t="str">
        <f>INDEX(KPI_Master!$D:$D,MATCH($A244,KPI_Master!$A:$A,0))</f>
        <v>Schizophrenia Coding Audit Status</v>
      </c>
      <c r="D244" s="23" t="str">
        <f>INDEX(KPI_Master!$K:$K,MATCH($A244,KPI_Master!$A:$A,0))</f>
        <v>3 - Optional</v>
      </c>
      <c r="E244" s="24" t="s">
        <v>1067</v>
      </c>
      <c r="F244" s="23" t="str">
        <f>INDEX(Common_Formula_Elements!$B:$B,MATCH($E244,Common_Formula_Elements!$A:$A,0))</f>
        <v>CMS-Published Measures &amp; Ratings</v>
      </c>
      <c r="G244" s="21" t="str">
        <f>INDEX(Common_Formula_Elements!$G:$G,MATCH($E244,Common_Formula_Elements!$A:$A,0))</f>
        <v>D17</v>
      </c>
      <c r="H244" s="23" t="str">
        <f>INDEX(Minimum_Documents!$B:$B,MATCH($G244,Minimum_Documents!$A:$A,0))</f>
        <v>CMS Care Compare Provider Data Download (monthly)</v>
      </c>
    </row>
    <row r="245" spans="1:8" ht="28.5" customHeight="1">
      <c r="A245" s="21">
        <v>144</v>
      </c>
      <c r="B245" s="23" t="str">
        <f>INDEX(KPI_Master!$B:$B,MATCH($A245,KPI_Master!$A:$A,0))</f>
        <v>QUAC-30</v>
      </c>
      <c r="C245" s="23" t="str">
        <f>INDEX(KPI_Master!$D:$D,MATCH($A245,KPI_Master!$A:$A,0))</f>
        <v>Reportable Incident Rate per 1,000 Resident Days</v>
      </c>
      <c r="D245" s="23" t="str">
        <f>INDEX(KPI_Master!$K:$K,MATCH($A245,KPI_Master!$A:$A,0))</f>
        <v>2 - Standard</v>
      </c>
      <c r="E245" s="24" t="s">
        <v>1048</v>
      </c>
      <c r="F245" s="23" t="str">
        <f>INDEX(Common_Formula_Elements!$B:$B,MATCH($E245,Common_Formula_Elements!$A:$A,0))</f>
        <v>Incidents by Type</v>
      </c>
      <c r="G245" s="21" t="str">
        <f>INDEX(Common_Formula_Elements!$G:$G,MATCH($E245,Common_Formula_Elements!$A:$A,0))</f>
        <v>D13</v>
      </c>
      <c r="H245" s="23" t="str">
        <f>INDEX(Minimum_Documents!$B:$B,MATCH($G245,Minimum_Documents!$A:$A,0))</f>
        <v>Incident &amp; Accident Log (falls, med errors, reportable, security, elopement)</v>
      </c>
    </row>
    <row r="246" spans="1:8">
      <c r="A246" s="21">
        <v>144</v>
      </c>
      <c r="B246" s="23" t="str">
        <f>INDEX(KPI_Master!$B:$B,MATCH($A246,KPI_Master!$A:$A,0))</f>
        <v>QUAC-30</v>
      </c>
      <c r="C246" s="23" t="str">
        <f>INDEX(KPI_Master!$D:$D,MATCH($A246,KPI_Master!$A:$A,0))</f>
        <v>Reportable Incident Rate per 1,000 Resident Days</v>
      </c>
      <c r="D246" s="23" t="str">
        <f>INDEX(KPI_Master!$K:$K,MATCH($A246,KPI_Master!$A:$A,0))</f>
        <v>2 - Standard</v>
      </c>
      <c r="E246" s="24" t="s">
        <v>928</v>
      </c>
      <c r="F246" s="23" t="str">
        <f>INDEX(Common_Formula_Elements!$B:$B,MATCH($E246,Common_Formula_Elements!$A:$A,0))</f>
        <v>Total Resident Days</v>
      </c>
      <c r="G246" s="21" t="str">
        <f>INDEX(Common_Formula_Elements!$G:$G,MATCH($E246,Common_Formula_Elements!$A:$A,0))</f>
        <v>D01</v>
      </c>
      <c r="H246" s="23" t="str">
        <f>INDEX(Minimum_Documents!$B:$B,MATCH($G246,Minimum_Documents!$A:$A,0))</f>
        <v>Census &amp; ADT Register</v>
      </c>
    </row>
    <row r="247" spans="1:8">
      <c r="A247" s="21">
        <v>145</v>
      </c>
      <c r="B247" s="23" t="str">
        <f>INDEX(KPI_Master!$B:$B,MATCH($A247,KPI_Master!$A:$A,0))</f>
        <v>REHT-04</v>
      </c>
      <c r="C247" s="23" t="str">
        <f>INDEX(KPI_Master!$D:$D,MATCH($A247,KPI_Master!$A:$A,0))</f>
        <v>Functional Improvement Rate</v>
      </c>
      <c r="D247" s="23" t="str">
        <f>INDEX(KPI_Master!$K:$K,MATCH($A247,KPI_Master!$A:$A,0))</f>
        <v>1 - Core</v>
      </c>
      <c r="E247" s="24" t="s">
        <v>1083</v>
      </c>
      <c r="F247" s="23" t="str">
        <f>INDEX(Common_Formula_Elements!$B:$B,MATCH($E247,Common_Formula_Elements!$A:$A,0))</f>
        <v>Therapy Functional Outcomes</v>
      </c>
      <c r="G247" s="21" t="str">
        <f>INDEX(Common_Formula_Elements!$G:$G,MATCH($E247,Common_Formula_Elements!$A:$A,0))</f>
        <v>D21</v>
      </c>
      <c r="H247" s="23" t="str">
        <f>INDEX(Minimum_Documents!$B:$B,MATCH($G247,Minimum_Documents!$A:$A,0))</f>
        <v>Therapy Discharge / Functional Outcomes Report</v>
      </c>
    </row>
    <row r="248" spans="1:8" ht="28.5" customHeight="1">
      <c r="A248" s="21">
        <v>146</v>
      </c>
      <c r="B248" s="23" t="str">
        <f>INDEX(KPI_Master!$B:$B,MATCH($A248,KPI_Master!$A:$A,0))</f>
        <v>RESE-01</v>
      </c>
      <c r="C248" s="23" t="str">
        <f>INDEX(KPI_Master!$D:$D,MATCH($A248,KPI_Master!$A:$A,0))</f>
        <v>Resident Satisfaction Score (Overall)</v>
      </c>
      <c r="D248" s="23" t="str">
        <f>INDEX(KPI_Master!$K:$K,MATCH($A248,KPI_Master!$A:$A,0))</f>
        <v>1 - Core</v>
      </c>
      <c r="E248" s="24" t="s">
        <v>1044</v>
      </c>
      <c r="F248" s="23" t="str">
        <f>INDEX(Common_Formula_Elements!$B:$B,MATCH($E248,Common_Formula_Elements!$A:$A,0))</f>
        <v>Survey Ratings &amp; Response Counts</v>
      </c>
      <c r="G248" s="21" t="str">
        <f>INDEX(Common_Formula_Elements!$G:$G,MATCH($E248,Common_Formula_Elements!$A:$A,0))</f>
        <v>D12</v>
      </c>
      <c r="H248" s="23" t="str">
        <f>INDEX(Minimum_Documents!$B:$B,MATCH($G248,Minimum_Documents!$A:$A,0))</f>
        <v>Satisfaction &amp; Engagement Survey Results (resident, family, employee)</v>
      </c>
    </row>
    <row r="249" spans="1:8" ht="28.5" customHeight="1">
      <c r="A249" s="21">
        <v>147</v>
      </c>
      <c r="B249" s="23" t="str">
        <f>INDEX(KPI_Master!$B:$B,MATCH($A249,KPI_Master!$A:$A,0))</f>
        <v>RESE-03</v>
      </c>
      <c r="C249" s="23" t="str">
        <f>INDEX(KPI_Master!$D:$D,MATCH($A249,KPI_Master!$A:$A,0))</f>
        <v>Family Satisfaction Score</v>
      </c>
      <c r="D249" s="23" t="str">
        <f>INDEX(KPI_Master!$K:$K,MATCH($A249,KPI_Master!$A:$A,0))</f>
        <v>1 - Core</v>
      </c>
      <c r="E249" s="24" t="s">
        <v>1044</v>
      </c>
      <c r="F249" s="23" t="str">
        <f>INDEX(Common_Formula_Elements!$B:$B,MATCH($E249,Common_Formula_Elements!$A:$A,0))</f>
        <v>Survey Ratings &amp; Response Counts</v>
      </c>
      <c r="G249" s="21" t="str">
        <f>INDEX(Common_Formula_Elements!$G:$G,MATCH($E249,Common_Formula_Elements!$A:$A,0))</f>
        <v>D12</v>
      </c>
      <c r="H249" s="23" t="str">
        <f>INDEX(Minimum_Documents!$B:$B,MATCH($G249,Minimum_Documents!$A:$A,0))</f>
        <v>Satisfaction &amp; Engagement Survey Results (resident, family, employee)</v>
      </c>
    </row>
    <row r="250" spans="1:8">
      <c r="A250" s="21">
        <v>148</v>
      </c>
      <c r="B250" s="23" t="str">
        <f>INDEX(KPI_Master!$B:$B,MATCH($A250,KPI_Master!$A:$A,0))</f>
        <v>RESE-05</v>
      </c>
      <c r="C250" s="23" t="str">
        <f>INDEX(KPI_Master!$D:$D,MATCH($A250,KPI_Master!$A:$A,0))</f>
        <v>Grievance Volume</v>
      </c>
      <c r="D250" s="23" t="str">
        <f>INDEX(KPI_Master!$K:$K,MATCH($A250,KPI_Master!$A:$A,0))</f>
        <v>1 - Core</v>
      </c>
      <c r="E250" s="24" t="s">
        <v>1102</v>
      </c>
      <c r="F250" s="23" t="str">
        <f>INDEX(Common_Formula_Elements!$B:$B,MATCH($E250,Common_Formula_Elements!$A:$A,0))</f>
        <v>Grievances</v>
      </c>
      <c r="G250" s="21" t="str">
        <f>INDEX(Common_Formula_Elements!$G:$G,MATCH($E250,Common_Formula_Elements!$A:$A,0))</f>
        <v>D25</v>
      </c>
      <c r="H250" s="23" t="str">
        <f>INDEX(Minimum_Documents!$B:$B,MATCH($G250,Minimum_Documents!$A:$A,0))</f>
        <v>Grievance Log (filed and resolved dates)</v>
      </c>
    </row>
    <row r="251" spans="1:8">
      <c r="A251" s="21">
        <v>149</v>
      </c>
      <c r="B251" s="23" t="str">
        <f>INDEX(KPI_Master!$B:$B,MATCH($A251,KPI_Master!$A:$A,0))</f>
        <v>RESE-06</v>
      </c>
      <c r="C251" s="23" t="str">
        <f>INDEX(KPI_Master!$D:$D,MATCH($A251,KPI_Master!$A:$A,0))</f>
        <v>Grievance Resolution Rate Within SLA</v>
      </c>
      <c r="D251" s="23" t="str">
        <f>INDEX(KPI_Master!$K:$K,MATCH($A251,KPI_Master!$A:$A,0))</f>
        <v>2 - Standard</v>
      </c>
      <c r="E251" s="24" t="s">
        <v>1102</v>
      </c>
      <c r="F251" s="23" t="str">
        <f>INDEX(Common_Formula_Elements!$B:$B,MATCH($E251,Common_Formula_Elements!$A:$A,0))</f>
        <v>Grievances</v>
      </c>
      <c r="G251" s="21" t="str">
        <f>INDEX(Common_Formula_Elements!$G:$G,MATCH($E251,Common_Formula_Elements!$A:$A,0))</f>
        <v>D25</v>
      </c>
      <c r="H251" s="23" t="str">
        <f>INDEX(Minimum_Documents!$B:$B,MATCH($G251,Minimum_Documents!$A:$A,0))</f>
        <v>Grievance Log (filed and resolved dates)</v>
      </c>
    </row>
    <row r="252" spans="1:8">
      <c r="A252" s="21">
        <v>150</v>
      </c>
      <c r="B252" s="23" t="str">
        <f>INDEX(KPI_Master!$B:$B,MATCH($A252,KPI_Master!$A:$A,0))</f>
        <v>RESE-07</v>
      </c>
      <c r="C252" s="23" t="str">
        <f>INDEX(KPI_Master!$D:$D,MATCH($A252,KPI_Master!$A:$A,0))</f>
        <v>Average Grievance Resolution Time</v>
      </c>
      <c r="D252" s="23" t="str">
        <f>INDEX(KPI_Master!$K:$K,MATCH($A252,KPI_Master!$A:$A,0))</f>
        <v>2 - Standard</v>
      </c>
      <c r="E252" s="24" t="s">
        <v>1102</v>
      </c>
      <c r="F252" s="23" t="str">
        <f>INDEX(Common_Formula_Elements!$B:$B,MATCH($E252,Common_Formula_Elements!$A:$A,0))</f>
        <v>Grievances</v>
      </c>
      <c r="G252" s="21" t="str">
        <f>INDEX(Common_Formula_Elements!$G:$G,MATCH($E252,Common_Formula_Elements!$A:$A,0))</f>
        <v>D25</v>
      </c>
      <c r="H252" s="23" t="str">
        <f>INDEX(Minimum_Documents!$B:$B,MATCH($G252,Minimum_Documents!$A:$A,0))</f>
        <v>Grievance Log (filed and resolved dates)</v>
      </c>
    </row>
    <row r="253" spans="1:8">
      <c r="A253" s="21">
        <v>151</v>
      </c>
      <c r="B253" s="23" t="str">
        <f>INDEX(KPI_Master!$B:$B,MATCH($A253,KPI_Master!$A:$A,0))</f>
        <v>RESE-12</v>
      </c>
      <c r="C253" s="23" t="str">
        <f>INDEX(KPI_Master!$D:$D,MATCH($A253,KPI_Master!$A:$A,0))</f>
        <v>Resident Length of Stay (Average)</v>
      </c>
      <c r="D253" s="23" t="str">
        <f>INDEX(KPI_Master!$K:$K,MATCH($A253,KPI_Master!$A:$A,0))</f>
        <v>2 - Standard</v>
      </c>
      <c r="E253" s="24" t="s">
        <v>947</v>
      </c>
      <c r="F253" s="23" t="str">
        <f>INDEX(Common_Formula_Elements!$B:$B,MATCH($E253,Common_Formula_Elements!$A:$A,0))</f>
        <v>Move-Ins / Admissions</v>
      </c>
      <c r="G253" s="21" t="str">
        <f>INDEX(Common_Formula_Elements!$G:$G,MATCH($E253,Common_Formula_Elements!$A:$A,0))</f>
        <v>D01</v>
      </c>
      <c r="H253" s="23" t="str">
        <f>INDEX(Minimum_Documents!$B:$B,MATCH($G253,Minimum_Documents!$A:$A,0))</f>
        <v>Census &amp; ADT Register</v>
      </c>
    </row>
    <row r="254" spans="1:8">
      <c r="A254" s="21">
        <v>151</v>
      </c>
      <c r="B254" s="23" t="str">
        <f>INDEX(KPI_Master!$B:$B,MATCH($A254,KPI_Master!$A:$A,0))</f>
        <v>RESE-12</v>
      </c>
      <c r="C254" s="23" t="str">
        <f>INDEX(KPI_Master!$D:$D,MATCH($A254,KPI_Master!$A:$A,0))</f>
        <v>Resident Length of Stay (Average)</v>
      </c>
      <c r="D254" s="23" t="str">
        <f>INDEX(KPI_Master!$K:$K,MATCH($A254,KPI_Master!$A:$A,0))</f>
        <v>2 - Standard</v>
      </c>
      <c r="E254" s="24" t="s">
        <v>950</v>
      </c>
      <c r="F254" s="23" t="str">
        <f>INDEX(Common_Formula_Elements!$B:$B,MATCH($E254,Common_Formula_Elements!$A:$A,0))</f>
        <v>Move-Outs / Discharges</v>
      </c>
      <c r="G254" s="21" t="str">
        <f>INDEX(Common_Formula_Elements!$G:$G,MATCH($E254,Common_Formula_Elements!$A:$A,0))</f>
        <v>D01</v>
      </c>
      <c r="H254" s="23" t="str">
        <f>INDEX(Minimum_Documents!$B:$B,MATCH($G254,Minimum_Documents!$A:$A,0))</f>
        <v>Census &amp; ADT Register</v>
      </c>
    </row>
    <row r="255" spans="1:8">
      <c r="A255" s="21">
        <v>152</v>
      </c>
      <c r="B255" s="23" t="str">
        <f>INDEX(KPI_Master!$B:$B,MATCH($A255,KPI_Master!$A:$A,0))</f>
        <v>RESE-13</v>
      </c>
      <c r="C255" s="23" t="str">
        <f>INDEX(KPI_Master!$D:$D,MATCH($A255,KPI_Master!$A:$A,0))</f>
        <v>Medicare Advantage SNF Length of Stay</v>
      </c>
      <c r="D255" s="23" t="str">
        <f>INDEX(KPI_Master!$K:$K,MATCH($A255,KPI_Master!$A:$A,0))</f>
        <v>3 - Optional</v>
      </c>
      <c r="E255" s="24" t="s">
        <v>950</v>
      </c>
      <c r="F255" s="23" t="str">
        <f>INDEX(Common_Formula_Elements!$B:$B,MATCH($E255,Common_Formula_Elements!$A:$A,0))</f>
        <v>Move-Outs / Discharges</v>
      </c>
      <c r="G255" s="21" t="str">
        <f>INDEX(Common_Formula_Elements!$G:$G,MATCH($E255,Common_Formula_Elements!$A:$A,0))</f>
        <v>D01</v>
      </c>
      <c r="H255" s="23" t="str">
        <f>INDEX(Minimum_Documents!$B:$B,MATCH($G255,Minimum_Documents!$A:$A,0))</f>
        <v>Census &amp; ADT Register</v>
      </c>
    </row>
    <row r="256" spans="1:8">
      <c r="A256" s="21">
        <v>153</v>
      </c>
      <c r="B256" s="23" t="str">
        <f>INDEX(KPI_Master!$B:$B,MATCH($A256,KPI_Master!$A:$A,0))</f>
        <v>RESE-14</v>
      </c>
      <c r="C256" s="23" t="str">
        <f>INDEX(KPI_Master!$D:$D,MATCH($A256,KPI_Master!$A:$A,0))</f>
        <v>Resident Technology Engagement Rate</v>
      </c>
      <c r="D256" s="23" t="str">
        <f>INDEX(KPI_Master!$K:$K,MATCH($A256,KPI_Master!$A:$A,0))</f>
        <v>3 - Optional</v>
      </c>
      <c r="E256" s="24" t="s">
        <v>1106</v>
      </c>
      <c r="F256" s="23" t="str">
        <f>INDEX(Common_Formula_Elements!$B:$B,MATCH($E256,Common_Formula_Elements!$A:$A,0))</f>
        <v>Platform Active Users</v>
      </c>
      <c r="G256" s="21" t="str">
        <f>INDEX(Common_Formula_Elements!$G:$G,MATCH($E256,Common_Formula_Elements!$A:$A,0))</f>
        <v>D26</v>
      </c>
      <c r="H256" s="23" t="str">
        <f>INDEX(Minimum_Documents!$B:$B,MATCH($G256,Minimum_Documents!$A:$A,0))</f>
        <v>Resident Engagement Platform Usage Report</v>
      </c>
    </row>
    <row r="257" spans="1:8">
      <c r="A257" s="21">
        <v>153</v>
      </c>
      <c r="B257" s="23" t="str">
        <f>INDEX(KPI_Master!$B:$B,MATCH($A257,KPI_Master!$A:$A,0))</f>
        <v>RESE-14</v>
      </c>
      <c r="C257" s="23" t="str">
        <f>INDEX(KPI_Master!$D:$D,MATCH($A257,KPI_Master!$A:$A,0))</f>
        <v>Resident Technology Engagement Rate</v>
      </c>
      <c r="D257" s="23" t="str">
        <f>INDEX(KPI_Master!$K:$K,MATCH($A257,KPI_Master!$A:$A,0))</f>
        <v>3 - Optional</v>
      </c>
      <c r="E257" s="24" t="s">
        <v>932</v>
      </c>
      <c r="F257" s="23" t="str">
        <f>INDEX(Common_Formula_Elements!$B:$B,MATCH($E257,Common_Formula_Elements!$A:$A,0))</f>
        <v>Occupied Units / Beds</v>
      </c>
      <c r="G257" s="21" t="str">
        <f>INDEX(Common_Formula_Elements!$G:$G,MATCH($E257,Common_Formula_Elements!$A:$A,0))</f>
        <v>D01</v>
      </c>
      <c r="H257" s="23" t="str">
        <f>INDEX(Minimum_Documents!$B:$B,MATCH($G257,Minimum_Documents!$A:$A,0))</f>
        <v>Census &amp; ADT Register</v>
      </c>
    </row>
    <row r="258" spans="1:8">
      <c r="A258" s="21">
        <v>154</v>
      </c>
      <c r="B258" s="23" t="str">
        <f>INDEX(KPI_Master!$B:$B,MATCH($A258,KPI_Master!$A:$A,0))</f>
        <v>SALM-01</v>
      </c>
      <c r="C258" s="23" t="str">
        <f>INDEX(KPI_Master!$D:$D,MATCH($A258,KPI_Master!$A:$A,0))</f>
        <v>Lead Volume (New Inquiries)</v>
      </c>
      <c r="D258" s="23" t="str">
        <f>INDEX(KPI_Master!$K:$K,MATCH($A258,KPI_Master!$A:$A,0))</f>
        <v>1 - Core</v>
      </c>
      <c r="E258" s="24" t="s">
        <v>1110</v>
      </c>
      <c r="F258" s="23" t="str">
        <f>INDEX(Common_Formula_Elements!$B:$B,MATCH($E258,Common_Formula_Elements!$A:$A,0))</f>
        <v>Sales Pipeline Events</v>
      </c>
      <c r="G258" s="21" t="str">
        <f>INDEX(Common_Formula_Elements!$G:$G,MATCH($E258,Common_Formula_Elements!$A:$A,0))</f>
        <v>D27</v>
      </c>
      <c r="H258" s="23" t="str">
        <f>INDEX(Minimum_Documents!$B:$B,MATCH($G258,Minimum_Documents!$A:$A,0))</f>
        <v>CRM Sales Pipeline Report</v>
      </c>
    </row>
    <row r="259" spans="1:8">
      <c r="A259" s="21">
        <v>155</v>
      </c>
      <c r="B259" s="23" t="str">
        <f>INDEX(KPI_Master!$B:$B,MATCH($A259,KPI_Master!$A:$A,0))</f>
        <v>SALM-02</v>
      </c>
      <c r="C259" s="23" t="str">
        <f>INDEX(KPI_Master!$D:$D,MATCH($A259,KPI_Master!$A:$A,0))</f>
        <v>Lead to Tour Conversion Rate</v>
      </c>
      <c r="D259" s="23" t="str">
        <f>INDEX(KPI_Master!$K:$K,MATCH($A259,KPI_Master!$A:$A,0))</f>
        <v>2 - Standard</v>
      </c>
      <c r="E259" s="24" t="s">
        <v>1110</v>
      </c>
      <c r="F259" s="23" t="str">
        <f>INDEX(Common_Formula_Elements!$B:$B,MATCH($E259,Common_Formula_Elements!$A:$A,0))</f>
        <v>Sales Pipeline Events</v>
      </c>
      <c r="G259" s="21" t="str">
        <f>INDEX(Common_Formula_Elements!$G:$G,MATCH($E259,Common_Formula_Elements!$A:$A,0))</f>
        <v>D27</v>
      </c>
      <c r="H259" s="23" t="str">
        <f>INDEX(Minimum_Documents!$B:$B,MATCH($G259,Minimum_Documents!$A:$A,0))</f>
        <v>CRM Sales Pipeline Report</v>
      </c>
    </row>
    <row r="260" spans="1:8">
      <c r="A260" s="21">
        <v>156</v>
      </c>
      <c r="B260" s="23" t="str">
        <f>INDEX(KPI_Master!$B:$B,MATCH($A260,KPI_Master!$A:$A,0))</f>
        <v>SALM-03</v>
      </c>
      <c r="C260" s="23" t="str">
        <f>INDEX(KPI_Master!$D:$D,MATCH($A260,KPI_Master!$A:$A,0))</f>
        <v>Tour to Deposit Conversion Rate</v>
      </c>
      <c r="D260" s="23" t="str">
        <f>INDEX(KPI_Master!$K:$K,MATCH($A260,KPI_Master!$A:$A,0))</f>
        <v>1 - Core</v>
      </c>
      <c r="E260" s="24" t="s">
        <v>1110</v>
      </c>
      <c r="F260" s="23" t="str">
        <f>INDEX(Common_Formula_Elements!$B:$B,MATCH($E260,Common_Formula_Elements!$A:$A,0))</f>
        <v>Sales Pipeline Events</v>
      </c>
      <c r="G260" s="21" t="str">
        <f>INDEX(Common_Formula_Elements!$G:$G,MATCH($E260,Common_Formula_Elements!$A:$A,0))</f>
        <v>D27</v>
      </c>
      <c r="H260" s="23" t="str">
        <f>INDEX(Minimum_Documents!$B:$B,MATCH($G260,Minimum_Documents!$A:$A,0))</f>
        <v>CRM Sales Pipeline Report</v>
      </c>
    </row>
    <row r="261" spans="1:8">
      <c r="A261" s="21">
        <v>157</v>
      </c>
      <c r="B261" s="23" t="str">
        <f>INDEX(KPI_Master!$B:$B,MATCH($A261,KPI_Master!$A:$A,0))</f>
        <v>SALM-04</v>
      </c>
      <c r="C261" s="23" t="str">
        <f>INDEX(KPI_Master!$D:$D,MATCH($A261,KPI_Master!$A:$A,0))</f>
        <v>Lead to Move-In Conversion Rate</v>
      </c>
      <c r="D261" s="23" t="str">
        <f>INDEX(KPI_Master!$K:$K,MATCH($A261,KPI_Master!$A:$A,0))</f>
        <v>2 - Standard</v>
      </c>
      <c r="E261" s="24" t="s">
        <v>947</v>
      </c>
      <c r="F261" s="23" t="str">
        <f>INDEX(Common_Formula_Elements!$B:$B,MATCH($E261,Common_Formula_Elements!$A:$A,0))</f>
        <v>Move-Ins / Admissions</v>
      </c>
      <c r="G261" s="21" t="str">
        <f>INDEX(Common_Formula_Elements!$G:$G,MATCH($E261,Common_Formula_Elements!$A:$A,0))</f>
        <v>D01</v>
      </c>
      <c r="H261" s="23" t="str">
        <f>INDEX(Minimum_Documents!$B:$B,MATCH($G261,Minimum_Documents!$A:$A,0))</f>
        <v>Census &amp; ADT Register</v>
      </c>
    </row>
    <row r="262" spans="1:8">
      <c r="A262" s="21">
        <v>157</v>
      </c>
      <c r="B262" s="23" t="str">
        <f>INDEX(KPI_Master!$B:$B,MATCH($A262,KPI_Master!$A:$A,0))</f>
        <v>SALM-04</v>
      </c>
      <c r="C262" s="23" t="str">
        <f>INDEX(KPI_Master!$D:$D,MATCH($A262,KPI_Master!$A:$A,0))</f>
        <v>Lead to Move-In Conversion Rate</v>
      </c>
      <c r="D262" s="23" t="str">
        <f>INDEX(KPI_Master!$K:$K,MATCH($A262,KPI_Master!$A:$A,0))</f>
        <v>2 - Standard</v>
      </c>
      <c r="E262" s="24" t="s">
        <v>1110</v>
      </c>
      <c r="F262" s="23" t="str">
        <f>INDEX(Common_Formula_Elements!$B:$B,MATCH($E262,Common_Formula_Elements!$A:$A,0))</f>
        <v>Sales Pipeline Events</v>
      </c>
      <c r="G262" s="21" t="str">
        <f>INDEX(Common_Formula_Elements!$G:$G,MATCH($E262,Common_Formula_Elements!$A:$A,0))</f>
        <v>D27</v>
      </c>
      <c r="H262" s="23" t="str">
        <f>INDEX(Minimum_Documents!$B:$B,MATCH($G262,Minimum_Documents!$A:$A,0))</f>
        <v>CRM Sales Pipeline Report</v>
      </c>
    </row>
    <row r="263" spans="1:8">
      <c r="A263" s="21">
        <v>158</v>
      </c>
      <c r="B263" s="23" t="str">
        <f>INDEX(KPI_Master!$B:$B,MATCH($A263,KPI_Master!$A:$A,0))</f>
        <v>SALM-08</v>
      </c>
      <c r="C263" s="23" t="str">
        <f>INDEX(KPI_Master!$D:$D,MATCH($A263,KPI_Master!$A:$A,0))</f>
        <v>Net Move-Ins</v>
      </c>
      <c r="D263" s="23" t="str">
        <f>INDEX(KPI_Master!$K:$K,MATCH($A263,KPI_Master!$A:$A,0))</f>
        <v>1 - Core</v>
      </c>
      <c r="E263" s="24" t="s">
        <v>947</v>
      </c>
      <c r="F263" s="23" t="str">
        <f>INDEX(Common_Formula_Elements!$B:$B,MATCH($E263,Common_Formula_Elements!$A:$A,0))</f>
        <v>Move-Ins / Admissions</v>
      </c>
      <c r="G263" s="21" t="str">
        <f>INDEX(Common_Formula_Elements!$G:$G,MATCH($E263,Common_Formula_Elements!$A:$A,0))</f>
        <v>D01</v>
      </c>
      <c r="H263" s="23" t="str">
        <f>INDEX(Minimum_Documents!$B:$B,MATCH($G263,Minimum_Documents!$A:$A,0))</f>
        <v>Census &amp; ADT Register</v>
      </c>
    </row>
    <row r="264" spans="1:8">
      <c r="A264" s="21">
        <v>158</v>
      </c>
      <c r="B264" s="23" t="str">
        <f>INDEX(KPI_Master!$B:$B,MATCH($A264,KPI_Master!$A:$A,0))</f>
        <v>SALM-08</v>
      </c>
      <c r="C264" s="23" t="str">
        <f>INDEX(KPI_Master!$D:$D,MATCH($A264,KPI_Master!$A:$A,0))</f>
        <v>Net Move-Ins</v>
      </c>
      <c r="D264" s="23" t="str">
        <f>INDEX(KPI_Master!$K:$K,MATCH($A264,KPI_Master!$A:$A,0))</f>
        <v>1 - Core</v>
      </c>
      <c r="E264" s="24" t="s">
        <v>950</v>
      </c>
      <c r="F264" s="23" t="str">
        <f>INDEX(Common_Formula_Elements!$B:$B,MATCH($E264,Common_Formula_Elements!$A:$A,0))</f>
        <v>Move-Outs / Discharges</v>
      </c>
      <c r="G264" s="21" t="str">
        <f>INDEX(Common_Formula_Elements!$G:$G,MATCH($E264,Common_Formula_Elements!$A:$A,0))</f>
        <v>D01</v>
      </c>
      <c r="H264" s="23" t="str">
        <f>INDEX(Minimum_Documents!$B:$B,MATCH($G264,Minimum_Documents!$A:$A,0))</f>
        <v>Census &amp; ADT Register</v>
      </c>
    </row>
    <row r="265" spans="1:8">
      <c r="A265" s="21">
        <v>159</v>
      </c>
      <c r="B265" s="23" t="str">
        <f>INDEX(KPI_Master!$B:$B,MATCH($A265,KPI_Master!$A:$A,0))</f>
        <v>SALM-09</v>
      </c>
      <c r="C265" s="23" t="str">
        <f>INDEX(KPI_Master!$D:$D,MATCH($A265,KPI_Master!$A:$A,0))</f>
        <v>Move-Out Rate (Attrition)</v>
      </c>
      <c r="D265" s="23" t="str">
        <f>INDEX(KPI_Master!$K:$K,MATCH($A265,KPI_Master!$A:$A,0))</f>
        <v>1 - Core</v>
      </c>
      <c r="E265" s="24" t="s">
        <v>950</v>
      </c>
      <c r="F265" s="23" t="str">
        <f>INDEX(Common_Formula_Elements!$B:$B,MATCH($E265,Common_Formula_Elements!$A:$A,0))</f>
        <v>Move-Outs / Discharges</v>
      </c>
      <c r="G265" s="21" t="str">
        <f>INDEX(Common_Formula_Elements!$G:$G,MATCH($E265,Common_Formula_Elements!$A:$A,0))</f>
        <v>D01</v>
      </c>
      <c r="H265" s="23" t="str">
        <f>INDEX(Minimum_Documents!$B:$B,MATCH($G265,Minimum_Documents!$A:$A,0))</f>
        <v>Census &amp; ADT Register</v>
      </c>
    </row>
    <row r="266" spans="1:8">
      <c r="A266" s="21">
        <v>159</v>
      </c>
      <c r="B266" s="23" t="str">
        <f>INDEX(KPI_Master!$B:$B,MATCH($A266,KPI_Master!$A:$A,0))</f>
        <v>SALM-09</v>
      </c>
      <c r="C266" s="23" t="str">
        <f>INDEX(KPI_Master!$D:$D,MATCH($A266,KPI_Master!$A:$A,0))</f>
        <v>Move-Out Rate (Attrition)</v>
      </c>
      <c r="D266" s="23" t="str">
        <f>INDEX(KPI_Master!$K:$K,MATCH($A266,KPI_Master!$A:$A,0))</f>
        <v>1 - Core</v>
      </c>
      <c r="E266" s="24" t="s">
        <v>932</v>
      </c>
      <c r="F266" s="23" t="str">
        <f>INDEX(Common_Formula_Elements!$B:$B,MATCH($E266,Common_Formula_Elements!$A:$A,0))</f>
        <v>Occupied Units / Beds</v>
      </c>
      <c r="G266" s="21" t="str">
        <f>INDEX(Common_Formula_Elements!$G:$G,MATCH($E266,Common_Formula_Elements!$A:$A,0))</f>
        <v>D01</v>
      </c>
      <c r="H266" s="23" t="str">
        <f>INDEX(Minimum_Documents!$B:$B,MATCH($G266,Minimum_Documents!$A:$A,0))</f>
        <v>Census &amp; ADT Register</v>
      </c>
    </row>
    <row r="267" spans="1:8">
      <c r="A267" s="21">
        <v>160</v>
      </c>
      <c r="B267" s="23" t="str">
        <f>INDEX(KPI_Master!$B:$B,MATCH($A267,KPI_Master!$A:$A,0))</f>
        <v>SALM-10</v>
      </c>
      <c r="C267" s="23" t="str">
        <f>INDEX(KPI_Master!$D:$D,MATCH($A267,KPI_Master!$A:$A,0))</f>
        <v>Occupancy Pipeline Coverage</v>
      </c>
      <c r="D267" s="23" t="str">
        <f>INDEX(KPI_Master!$K:$K,MATCH($A267,KPI_Master!$A:$A,0))</f>
        <v>2 - Standard</v>
      </c>
      <c r="E267" s="24" t="s">
        <v>1110</v>
      </c>
      <c r="F267" s="23" t="str">
        <f>INDEX(Common_Formula_Elements!$B:$B,MATCH($E267,Common_Formula_Elements!$A:$A,0))</f>
        <v>Sales Pipeline Events</v>
      </c>
      <c r="G267" s="21" t="str">
        <f>INDEX(Common_Formula_Elements!$G:$G,MATCH($E267,Common_Formula_Elements!$A:$A,0))</f>
        <v>D27</v>
      </c>
      <c r="H267" s="23" t="str">
        <f>INDEX(Minimum_Documents!$B:$B,MATCH($G267,Minimum_Documents!$A:$A,0))</f>
        <v>CRM Sales Pipeline Report</v>
      </c>
    </row>
    <row r="268" spans="1:8">
      <c r="A268" s="21">
        <v>160</v>
      </c>
      <c r="B268" s="23" t="str">
        <f>INDEX(KPI_Master!$B:$B,MATCH($A268,KPI_Master!$A:$A,0))</f>
        <v>SALM-10</v>
      </c>
      <c r="C268" s="23" t="str">
        <f>INDEX(KPI_Master!$D:$D,MATCH($A268,KPI_Master!$A:$A,0))</f>
        <v>Occupancy Pipeline Coverage</v>
      </c>
      <c r="D268" s="23" t="str">
        <f>INDEX(KPI_Master!$K:$K,MATCH($A268,KPI_Master!$A:$A,0))</f>
        <v>2 - Standard</v>
      </c>
      <c r="E268" s="24" t="s">
        <v>959</v>
      </c>
      <c r="F268" s="23" t="str">
        <f>INDEX(Common_Formula_Elements!$B:$B,MATCH($E268,Common_Formula_Elements!$A:$A,0))</f>
        <v>Total Available Units / Licensed Beds</v>
      </c>
      <c r="G268" s="21" t="str">
        <f>INDEX(Common_Formula_Elements!$G:$G,MATCH($E268,Common_Formula_Elements!$A:$A,0))</f>
        <v>D02</v>
      </c>
      <c r="H268" s="23" t="str">
        <f>INDEX(Minimum_Documents!$B:$B,MATCH($G268,Minimum_Documents!$A:$A,0))</f>
        <v>Property &amp; Unit Master Schedule</v>
      </c>
    </row>
    <row r="269" spans="1:8">
      <c r="A269" s="21">
        <v>160</v>
      </c>
      <c r="B269" s="23" t="str">
        <f>INDEX(KPI_Master!$B:$B,MATCH($A269,KPI_Master!$A:$A,0))</f>
        <v>SALM-10</v>
      </c>
      <c r="C269" s="23" t="str">
        <f>INDEX(KPI_Master!$D:$D,MATCH($A269,KPI_Master!$A:$A,0))</f>
        <v>Occupancy Pipeline Coverage</v>
      </c>
      <c r="D269" s="23" t="str">
        <f>INDEX(KPI_Master!$K:$K,MATCH($A269,KPI_Master!$A:$A,0))</f>
        <v>2 - Standard</v>
      </c>
      <c r="E269" s="24" t="s">
        <v>932</v>
      </c>
      <c r="F269" s="23" t="str">
        <f>INDEX(Common_Formula_Elements!$B:$B,MATCH($E269,Common_Formula_Elements!$A:$A,0))</f>
        <v>Occupied Units / Beds</v>
      </c>
      <c r="G269" s="21" t="str">
        <f>INDEX(Common_Formula_Elements!$G:$G,MATCH($E269,Common_Formula_Elements!$A:$A,0))</f>
        <v>D01</v>
      </c>
      <c r="H269" s="23" t="str">
        <f>INDEX(Minimum_Documents!$B:$B,MATCH($G269,Minimum_Documents!$A:$A,0))</f>
        <v>Census &amp; ADT Register</v>
      </c>
    </row>
    <row r="270" spans="1:8">
      <c r="A270" s="21">
        <v>161</v>
      </c>
      <c r="B270" s="23" t="str">
        <f>INDEX(KPI_Master!$B:$B,MATCH($A270,KPI_Master!$A:$A,0))</f>
        <v>SALM-14</v>
      </c>
      <c r="C270" s="23" t="str">
        <f>INDEX(KPI_Master!$D:$D,MATCH($A270,KPI_Master!$A:$A,0))</f>
        <v>Referral Source Contribution</v>
      </c>
      <c r="D270" s="23" t="str">
        <f>INDEX(KPI_Master!$K:$K,MATCH($A270,KPI_Master!$A:$A,0))</f>
        <v>2 - Standard</v>
      </c>
      <c r="E270" s="24" t="s">
        <v>1110</v>
      </c>
      <c r="F270" s="23" t="str">
        <f>INDEX(Common_Formula_Elements!$B:$B,MATCH($E270,Common_Formula_Elements!$A:$A,0))</f>
        <v>Sales Pipeline Events</v>
      </c>
      <c r="G270" s="21" t="str">
        <f>INDEX(Common_Formula_Elements!$G:$G,MATCH($E270,Common_Formula_Elements!$A:$A,0))</f>
        <v>D27</v>
      </c>
      <c r="H270" s="23" t="str">
        <f>INDEX(Minimum_Documents!$B:$B,MATCH($G270,Minimum_Documents!$A:$A,0))</f>
        <v>CRM Sales Pipeline Report</v>
      </c>
    </row>
    <row r="271" spans="1:8">
      <c r="A271" s="21">
        <v>161</v>
      </c>
      <c r="B271" s="23" t="str">
        <f>INDEX(KPI_Master!$B:$B,MATCH($A271,KPI_Master!$A:$A,0))</f>
        <v>SALM-14</v>
      </c>
      <c r="C271" s="23" t="str">
        <f>INDEX(KPI_Master!$D:$D,MATCH($A271,KPI_Master!$A:$A,0))</f>
        <v>Referral Source Contribution</v>
      </c>
      <c r="D271" s="23" t="str">
        <f>INDEX(KPI_Master!$K:$K,MATCH($A271,KPI_Master!$A:$A,0))</f>
        <v>2 - Standard</v>
      </c>
      <c r="E271" s="24" t="s">
        <v>947</v>
      </c>
      <c r="F271" s="23" t="str">
        <f>INDEX(Common_Formula_Elements!$B:$B,MATCH($E271,Common_Formula_Elements!$A:$A,0))</f>
        <v>Move-Ins / Admissions</v>
      </c>
      <c r="G271" s="21" t="str">
        <f>INDEX(Common_Formula_Elements!$G:$G,MATCH($E271,Common_Formula_Elements!$A:$A,0))</f>
        <v>D01</v>
      </c>
      <c r="H271" s="23" t="str">
        <f>INDEX(Minimum_Documents!$B:$B,MATCH($G271,Minimum_Documents!$A:$A,0))</f>
        <v>Census &amp; ADT Register</v>
      </c>
    </row>
    <row r="272" spans="1:8">
      <c r="A272" s="21">
        <v>162</v>
      </c>
      <c r="B272" s="23" t="str">
        <f>INDEX(KPI_Master!$B:$B,MATCH($A272,KPI_Master!$A:$A,0))</f>
        <v>SALM-16</v>
      </c>
      <c r="C272" s="23" t="str">
        <f>INDEX(KPI_Master!$D:$D,MATCH($A272,KPI_Master!$A:$A,0))</f>
        <v>Move-Out Reason Distribution</v>
      </c>
      <c r="D272" s="23" t="str">
        <f>INDEX(KPI_Master!$K:$K,MATCH($A272,KPI_Master!$A:$A,0))</f>
        <v>2 - Standard</v>
      </c>
      <c r="E272" s="24" t="s">
        <v>950</v>
      </c>
      <c r="F272" s="23" t="str">
        <f>INDEX(Common_Formula_Elements!$B:$B,MATCH($E272,Common_Formula_Elements!$A:$A,0))</f>
        <v>Move-Outs / Discharges</v>
      </c>
      <c r="G272" s="21" t="str">
        <f>INDEX(Common_Formula_Elements!$G:$G,MATCH($E272,Common_Formula_Elements!$A:$A,0))</f>
        <v>D01</v>
      </c>
      <c r="H272" s="23" t="str">
        <f>INDEX(Minimum_Documents!$B:$B,MATCH($G272,Minimum_Documents!$A:$A,0))</f>
        <v>Census &amp; ADT Register</v>
      </c>
    </row>
    <row r="273" spans="1:8">
      <c r="A273" s="21">
        <v>163</v>
      </c>
      <c r="B273" s="23" t="str">
        <f>INDEX(KPI_Master!$B:$B,MATCH($A273,KPI_Master!$A:$A,0))</f>
        <v>SALM-17</v>
      </c>
      <c r="C273" s="23" t="str">
        <f>INDEX(KPI_Master!$D:$D,MATCH($A273,KPI_Master!$A:$A,0))</f>
        <v>Online Reputation Score</v>
      </c>
      <c r="D273" s="23" t="str">
        <f>INDEX(KPI_Master!$K:$K,MATCH($A273,KPI_Master!$A:$A,0))</f>
        <v>2 - Standard</v>
      </c>
      <c r="E273" s="24" t="s">
        <v>1114</v>
      </c>
      <c r="F273" s="23" t="str">
        <f>INDEX(Common_Formula_Elements!$B:$B,MATCH($E273,Common_Formula_Elements!$A:$A,0))</f>
        <v>Online Review Ratings</v>
      </c>
      <c r="G273" s="21" t="str">
        <f>INDEX(Common_Formula_Elements!$G:$G,MATCH($E273,Common_Formula_Elements!$A:$A,0))</f>
        <v>D28</v>
      </c>
      <c r="H273" s="23" t="str">
        <f>INDEX(Minimum_Documents!$B:$B,MATCH($G273,Minimum_Documents!$A:$A,0))</f>
        <v>Online Review Platform Export</v>
      </c>
    </row>
    <row r="274" spans="1:8">
      <c r="A274" s="21">
        <v>164</v>
      </c>
      <c r="B274" s="23" t="str">
        <f>INDEX(KPI_Master!$B:$B,MATCH($A274,KPI_Master!$A:$A,0))</f>
        <v>SALM-18</v>
      </c>
      <c r="C274" s="23" t="str">
        <f>INDEX(KPI_Master!$D:$D,MATCH($A274,KPI_Master!$A:$A,0))</f>
        <v>Marketing Cost as % of Operating Expense</v>
      </c>
      <c r="D274" s="23" t="str">
        <f>INDEX(KPI_Master!$K:$K,MATCH($A274,KPI_Master!$A:$A,0))</f>
        <v>3 - Optional</v>
      </c>
      <c r="E274" s="24" t="s">
        <v>1126</v>
      </c>
      <c r="F274" s="23" t="str">
        <f>INDEX(Common_Formula_Elements!$B:$B,MATCH($E274,Common_Formula_Elements!$A:$A,0))</f>
        <v>Department Non-Labor Expense</v>
      </c>
      <c r="G274" s="21" t="str">
        <f>INDEX(Common_Formula_Elements!$G:$G,MATCH($E274,Common_Formula_Elements!$A:$A,0))</f>
        <v>D31</v>
      </c>
      <c r="H274" s="23" t="str">
        <f>INDEX(Minimum_Documents!$B:$B,MATCH($G274,Minimum_Documents!$A:$A,0))</f>
        <v>AP Invoice Register coded by Department / Cost Centre</v>
      </c>
    </row>
    <row r="275" spans="1:8" ht="28.5" customHeight="1">
      <c r="A275" s="21">
        <v>164</v>
      </c>
      <c r="B275" s="23" t="str">
        <f>INDEX(KPI_Master!$B:$B,MATCH($A275,KPI_Master!$A:$A,0))</f>
        <v>SALM-18</v>
      </c>
      <c r="C275" s="23" t="str">
        <f>INDEX(KPI_Master!$D:$D,MATCH($A275,KPI_Master!$A:$A,0))</f>
        <v>Marketing Cost as % of Operating Expense</v>
      </c>
      <c r="D275" s="23" t="str">
        <f>INDEX(KPI_Master!$K:$K,MATCH($A275,KPI_Master!$A:$A,0))</f>
        <v>3 - Optional</v>
      </c>
      <c r="E275" s="24" t="s">
        <v>1012</v>
      </c>
      <c r="F275" s="23" t="str">
        <f>INDEX(Common_Formula_Elements!$B:$B,MATCH($E275,Common_Formula_Elements!$A:$A,0))</f>
        <v>Wages by Job Class / Department</v>
      </c>
      <c r="G275" s="21" t="str">
        <f>INDEX(Common_Formula_Elements!$G:$G,MATCH($E275,Common_Formula_Elements!$A:$A,0))</f>
        <v>D06</v>
      </c>
      <c r="H275" s="23" t="str">
        <f>INDEX(Minimum_Documents!$B:$B,MATCH($G275,Minimum_Documents!$A:$A,0))</f>
        <v>Payroll Register (hours and wages by employee, job class and department)</v>
      </c>
    </row>
    <row r="276" spans="1:8" ht="42.75" customHeight="1">
      <c r="A276" s="21">
        <v>164</v>
      </c>
      <c r="B276" s="23" t="str">
        <f>INDEX(KPI_Master!$B:$B,MATCH($A276,KPI_Master!$A:$A,0))</f>
        <v>SALM-18</v>
      </c>
      <c r="C276" s="23" t="str">
        <f>INDEX(KPI_Master!$D:$D,MATCH($A276,KPI_Master!$A:$A,0))</f>
        <v>Marketing Cost as % of Operating Expense</v>
      </c>
      <c r="D276" s="23" t="str">
        <f>INDEX(KPI_Master!$K:$K,MATCH($A276,KPI_Master!$A:$A,0))</f>
        <v>3 - Optional</v>
      </c>
      <c r="E276" s="24" t="s">
        <v>976</v>
      </c>
      <c r="F276" s="23" t="str">
        <f>INDEX(Common_Formula_Elements!$B:$B,MATCH($E276,Common_Formula_Elements!$A:$A,0))</f>
        <v>Total Operating Expense</v>
      </c>
      <c r="G276" s="21" t="str">
        <f>INDEX(Common_Formula_Elements!$G:$G,MATCH($E276,Common_Formula_Elements!$A:$A,0))</f>
        <v>D03</v>
      </c>
      <c r="H276" s="23" t="str">
        <f>INDEX(Minimum_Documents!$B:$B,MATCH($G276,Minimum_Documents!$A:$A,0))</f>
        <v>Monthly Financial Statement Package - consolidated (P&amp;L with budget, balance sheet, cash flow, trial balance; no department split needed)</v>
      </c>
    </row>
    <row r="277" spans="1:8" ht="28.5" customHeight="1">
      <c r="A277" s="21">
        <v>165</v>
      </c>
      <c r="B277" s="23" t="str">
        <f>INDEX(KPI_Master!$B:$B,MATCH($A277,KPI_Master!$A:$A,0))</f>
        <v>SALM-19</v>
      </c>
      <c r="C277" s="23" t="str">
        <f>INDEX(KPI_Master!$D:$D,MATCH($A277,KPI_Master!$A:$A,0))</f>
        <v>Rate Realization (Achieved vs Published Rate)</v>
      </c>
      <c r="D277" s="23" t="str">
        <f>INDEX(KPI_Master!$K:$K,MATCH($A277,KPI_Master!$A:$A,0))</f>
        <v>2 - Standard</v>
      </c>
      <c r="E277" s="24" t="s">
        <v>1000</v>
      </c>
      <c r="F277" s="23" t="str">
        <f>INDEX(Common_Formula_Elements!$B:$B,MATCH($E277,Common_Formula_Elements!$A:$A,0))</f>
        <v>Resident Revenue Detail</v>
      </c>
      <c r="G277" s="21" t="str">
        <f>INDEX(Common_Formula_Elements!$G:$G,MATCH($E277,Common_Formula_Elements!$A:$A,0))</f>
        <v>D04</v>
      </c>
      <c r="H277" s="23" t="str">
        <f>INDEX(Minimum_Documents!$B:$B,MATCH($G277,Minimum_Documents!$A:$A,0))</f>
        <v>Resident Billing Register / Rent Roll (by resident, payer and charge code)</v>
      </c>
    </row>
    <row r="278" spans="1:8">
      <c r="A278" s="21">
        <v>165</v>
      </c>
      <c r="B278" s="23" t="str">
        <f>INDEX(KPI_Master!$B:$B,MATCH($A278,KPI_Master!$A:$A,0))</f>
        <v>SALM-19</v>
      </c>
      <c r="C278" s="23" t="str">
        <f>INDEX(KPI_Master!$D:$D,MATCH($A278,KPI_Master!$A:$A,0))</f>
        <v>Rate Realization (Achieved vs Published Rate)</v>
      </c>
      <c r="D278" s="23" t="str">
        <f>INDEX(KPI_Master!$K:$K,MATCH($A278,KPI_Master!$A:$A,0))</f>
        <v>2 - Standard</v>
      </c>
      <c r="E278" s="24" t="s">
        <v>969</v>
      </c>
      <c r="F278" s="23" t="str">
        <f>INDEX(Common_Formula_Elements!$B:$B,MATCH($E278,Common_Formula_Elements!$A:$A,0))</f>
        <v>Published Street Rates</v>
      </c>
      <c r="G278" s="21" t="str">
        <f>INDEX(Common_Formula_Elements!$G:$G,MATCH($E278,Common_Formula_Elements!$A:$A,0))</f>
        <v>D02</v>
      </c>
      <c r="H278" s="23" t="str">
        <f>INDEX(Minimum_Documents!$B:$B,MATCH($G278,Minimum_Documents!$A:$A,0))</f>
        <v>Property &amp; Unit Master Schedule</v>
      </c>
    </row>
    <row r="279" spans="1:8">
      <c r="A279" s="21">
        <v>166</v>
      </c>
      <c r="B279" s="23" t="str">
        <f>INDEX(KPI_Master!$B:$B,MATCH($A279,KPI_Master!$A:$A,0))</f>
        <v>SALM-20</v>
      </c>
      <c r="C279" s="23" t="str">
        <f>INDEX(KPI_Master!$D:$D,MATCH($A279,KPI_Master!$A:$A,0))</f>
        <v>Tours per 100 Units per Month</v>
      </c>
      <c r="D279" s="23" t="str">
        <f>INDEX(KPI_Master!$K:$K,MATCH($A279,KPI_Master!$A:$A,0))</f>
        <v>2 - Standard</v>
      </c>
      <c r="E279" s="24" t="s">
        <v>1110</v>
      </c>
      <c r="F279" s="23" t="str">
        <f>INDEX(Common_Formula_Elements!$B:$B,MATCH($E279,Common_Formula_Elements!$A:$A,0))</f>
        <v>Sales Pipeline Events</v>
      </c>
      <c r="G279" s="21" t="str">
        <f>INDEX(Common_Formula_Elements!$G:$G,MATCH($E279,Common_Formula_Elements!$A:$A,0))</f>
        <v>D27</v>
      </c>
      <c r="H279" s="23" t="str">
        <f>INDEX(Minimum_Documents!$B:$B,MATCH($G279,Minimum_Documents!$A:$A,0))</f>
        <v>CRM Sales Pipeline Report</v>
      </c>
    </row>
    <row r="280" spans="1:8">
      <c r="A280" s="21">
        <v>166</v>
      </c>
      <c r="B280" s="23" t="str">
        <f>INDEX(KPI_Master!$B:$B,MATCH($A280,KPI_Master!$A:$A,0))</f>
        <v>SALM-20</v>
      </c>
      <c r="C280" s="23" t="str">
        <f>INDEX(KPI_Master!$D:$D,MATCH($A280,KPI_Master!$A:$A,0))</f>
        <v>Tours per 100 Units per Month</v>
      </c>
      <c r="D280" s="23" t="str">
        <f>INDEX(KPI_Master!$K:$K,MATCH($A280,KPI_Master!$A:$A,0))</f>
        <v>2 - Standard</v>
      </c>
      <c r="E280" s="24" t="s">
        <v>959</v>
      </c>
      <c r="F280" s="23" t="str">
        <f>INDEX(Common_Formula_Elements!$B:$B,MATCH($E280,Common_Formula_Elements!$A:$A,0))</f>
        <v>Total Available Units / Licensed Beds</v>
      </c>
      <c r="G280" s="21" t="str">
        <f>INDEX(Common_Formula_Elements!$G:$G,MATCH($E280,Common_Formula_Elements!$A:$A,0))</f>
        <v>D02</v>
      </c>
      <c r="H280" s="23" t="str">
        <f>INDEX(Minimum_Documents!$B:$B,MATCH($G280,Minimum_Documents!$A:$A,0))</f>
        <v>Property &amp; Unit Master Schedule</v>
      </c>
    </row>
    <row r="281" spans="1:8">
      <c r="A281" s="21">
        <v>167</v>
      </c>
      <c r="B281" s="23" t="str">
        <f>INDEX(KPI_Master!$B:$B,MATCH($A281,KPI_Master!$A:$A,0))</f>
        <v>SALM-21</v>
      </c>
      <c r="C281" s="23" t="str">
        <f>INDEX(KPI_Master!$D:$D,MATCH($A281,KPI_Master!$A:$A,0))</f>
        <v>Move-Ins per 100 Units per Month</v>
      </c>
      <c r="D281" s="23" t="str">
        <f>INDEX(KPI_Master!$K:$K,MATCH($A281,KPI_Master!$A:$A,0))</f>
        <v>2 - Standard</v>
      </c>
      <c r="E281" s="24" t="s">
        <v>947</v>
      </c>
      <c r="F281" s="23" t="str">
        <f>INDEX(Common_Formula_Elements!$B:$B,MATCH($E281,Common_Formula_Elements!$A:$A,0))</f>
        <v>Move-Ins / Admissions</v>
      </c>
      <c r="G281" s="21" t="str">
        <f>INDEX(Common_Formula_Elements!$G:$G,MATCH($E281,Common_Formula_Elements!$A:$A,0))</f>
        <v>D01</v>
      </c>
      <c r="H281" s="23" t="str">
        <f>INDEX(Minimum_Documents!$B:$B,MATCH($G281,Minimum_Documents!$A:$A,0))</f>
        <v>Census &amp; ADT Register</v>
      </c>
    </row>
    <row r="282" spans="1:8">
      <c r="A282" s="21">
        <v>167</v>
      </c>
      <c r="B282" s="23" t="str">
        <f>INDEX(KPI_Master!$B:$B,MATCH($A282,KPI_Master!$A:$A,0))</f>
        <v>SALM-21</v>
      </c>
      <c r="C282" s="23" t="str">
        <f>INDEX(KPI_Master!$D:$D,MATCH($A282,KPI_Master!$A:$A,0))</f>
        <v>Move-Ins per 100 Units per Month</v>
      </c>
      <c r="D282" s="23" t="str">
        <f>INDEX(KPI_Master!$K:$K,MATCH($A282,KPI_Master!$A:$A,0))</f>
        <v>2 - Standard</v>
      </c>
      <c r="E282" s="24" t="s">
        <v>959</v>
      </c>
      <c r="F282" s="23" t="str">
        <f>INDEX(Common_Formula_Elements!$B:$B,MATCH($E282,Common_Formula_Elements!$A:$A,0))</f>
        <v>Total Available Units / Licensed Beds</v>
      </c>
      <c r="G282" s="21" t="str">
        <f>INDEX(Common_Formula_Elements!$G:$G,MATCH($E282,Common_Formula_Elements!$A:$A,0))</f>
        <v>D02</v>
      </c>
      <c r="H282" s="23" t="str">
        <f>INDEX(Minimum_Documents!$B:$B,MATCH($G282,Minimum_Documents!$A:$A,0))</f>
        <v>Property &amp; Unit Master Schedule</v>
      </c>
    </row>
    <row r="283" spans="1:8">
      <c r="A283" s="21">
        <v>168</v>
      </c>
      <c r="B283" s="23" t="str">
        <f>INDEX(KPI_Master!$B:$B,MATCH($A283,KPI_Master!$A:$A,0))</f>
        <v>SALM-22</v>
      </c>
      <c r="C283" s="23" t="str">
        <f>INDEX(KPI_Master!$D:$D,MATCH($A283,KPI_Master!$A:$A,0))</f>
        <v>Deposit to Move-In Conversion Rate</v>
      </c>
      <c r="D283" s="23" t="str">
        <f>INDEX(KPI_Master!$K:$K,MATCH($A283,KPI_Master!$A:$A,0))</f>
        <v>2 - Standard</v>
      </c>
      <c r="E283" s="24" t="s">
        <v>1110</v>
      </c>
      <c r="F283" s="23" t="str">
        <f>INDEX(Common_Formula_Elements!$B:$B,MATCH($E283,Common_Formula_Elements!$A:$A,0))</f>
        <v>Sales Pipeline Events</v>
      </c>
      <c r="G283" s="21" t="str">
        <f>INDEX(Common_Formula_Elements!$G:$G,MATCH($E283,Common_Formula_Elements!$A:$A,0))</f>
        <v>D27</v>
      </c>
      <c r="H283" s="23" t="str">
        <f>INDEX(Minimum_Documents!$B:$B,MATCH($G283,Minimum_Documents!$A:$A,0))</f>
        <v>CRM Sales Pipeline Report</v>
      </c>
    </row>
    <row r="284" spans="1:8" ht="28.5" customHeight="1">
      <c r="A284" s="21">
        <v>169</v>
      </c>
      <c r="B284" s="23" t="str">
        <f>INDEX(KPI_Master!$B:$B,MATCH($A284,KPI_Master!$A:$A,0))</f>
        <v>SEC-01</v>
      </c>
      <c r="C284" s="23" t="str">
        <f>INDEX(KPI_Master!$D:$D,MATCH($A284,KPI_Master!$A:$A,0))</f>
        <v>Security Incident Rate</v>
      </c>
      <c r="D284" s="23" t="str">
        <f>INDEX(KPI_Master!$K:$K,MATCH($A284,KPI_Master!$A:$A,0))</f>
        <v>2 - Standard</v>
      </c>
      <c r="E284" s="24" t="s">
        <v>1048</v>
      </c>
      <c r="F284" s="23" t="str">
        <f>INDEX(Common_Formula_Elements!$B:$B,MATCH($E284,Common_Formula_Elements!$A:$A,0))</f>
        <v>Incidents by Type</v>
      </c>
      <c r="G284" s="21" t="str">
        <f>INDEX(Common_Formula_Elements!$G:$G,MATCH($E284,Common_Formula_Elements!$A:$A,0))</f>
        <v>D13</v>
      </c>
      <c r="H284" s="23" t="str">
        <f>INDEX(Minimum_Documents!$B:$B,MATCH($G284,Minimum_Documents!$A:$A,0))</f>
        <v>Incident &amp; Accident Log (falls, med errors, reportable, security, elopement)</v>
      </c>
    </row>
    <row r="285" spans="1:8">
      <c r="A285" s="21">
        <v>169</v>
      </c>
      <c r="B285" s="23" t="str">
        <f>INDEX(KPI_Master!$B:$B,MATCH($A285,KPI_Master!$A:$A,0))</f>
        <v>SEC-01</v>
      </c>
      <c r="C285" s="23" t="str">
        <f>INDEX(KPI_Master!$D:$D,MATCH($A285,KPI_Master!$A:$A,0))</f>
        <v>Security Incident Rate</v>
      </c>
      <c r="D285" s="23" t="str">
        <f>INDEX(KPI_Master!$K:$K,MATCH($A285,KPI_Master!$A:$A,0))</f>
        <v>2 - Standard</v>
      </c>
      <c r="E285" s="24" t="s">
        <v>928</v>
      </c>
      <c r="F285" s="23" t="str">
        <f>INDEX(Common_Formula_Elements!$B:$B,MATCH($E285,Common_Formula_Elements!$A:$A,0))</f>
        <v>Total Resident Days</v>
      </c>
      <c r="G285" s="21" t="str">
        <f>INDEX(Common_Formula_Elements!$G:$G,MATCH($E285,Common_Formula_Elements!$A:$A,0))</f>
        <v>D01</v>
      </c>
      <c r="H285" s="23" t="str">
        <f>INDEX(Minimum_Documents!$B:$B,MATCH($G285,Minimum_Documents!$A:$A,0))</f>
        <v>Census &amp; ADT Register</v>
      </c>
    </row>
    <row r="286" spans="1:8" ht="28.5" customHeight="1">
      <c r="A286" s="21">
        <v>170</v>
      </c>
      <c r="B286" s="23" t="str">
        <f>INDEX(KPI_Master!$B:$B,MATCH($A286,KPI_Master!$A:$A,0))</f>
        <v>SEC-02</v>
      </c>
      <c r="C286" s="23" t="str">
        <f>INDEX(KPI_Master!$D:$D,MATCH($A286,KPI_Master!$A:$A,0))</f>
        <v>Elopement / Wandering Incident Count</v>
      </c>
      <c r="D286" s="23" t="str">
        <f>INDEX(KPI_Master!$K:$K,MATCH($A286,KPI_Master!$A:$A,0))</f>
        <v>1 - Core</v>
      </c>
      <c r="E286" s="24" t="s">
        <v>1048</v>
      </c>
      <c r="F286" s="23" t="str">
        <f>INDEX(Common_Formula_Elements!$B:$B,MATCH($E286,Common_Formula_Elements!$A:$A,0))</f>
        <v>Incidents by Type</v>
      </c>
      <c r="G286" s="21" t="str">
        <f>INDEX(Common_Formula_Elements!$G:$G,MATCH($E286,Common_Formula_Elements!$A:$A,0))</f>
        <v>D13</v>
      </c>
      <c r="H286" s="23" t="str">
        <f>INDEX(Minimum_Documents!$B:$B,MATCH($G286,Minimum_Documents!$A:$A,0))</f>
        <v>Incident &amp; Accident Log (falls, med errors, reportable, security, elopement)</v>
      </c>
    </row>
    <row r="287" spans="1:8" ht="28.5" customHeight="1">
      <c r="A287" s="21">
        <v>171</v>
      </c>
      <c r="B287" s="23" t="str">
        <f>INDEX(KPI_Master!$B:$B,MATCH($A287,KPI_Master!$A:$A,0))</f>
        <v>TRA-07</v>
      </c>
      <c r="C287" s="23" t="str">
        <f>INDEX(KPI_Master!$D:$D,MATCH($A287,KPI_Master!$A:$A,0))</f>
        <v>Vehicle Preventive Maintenance Compliance</v>
      </c>
      <c r="D287" s="23" t="str">
        <f>INDEX(KPI_Master!$K:$K,MATCH($A287,KPI_Master!$A:$A,0))</f>
        <v>2 - Standard</v>
      </c>
      <c r="E287" s="24" t="s">
        <v>1118</v>
      </c>
      <c r="F287" s="23" t="str">
        <f>INDEX(Common_Formula_Elements!$B:$B,MATCH($E287,Common_Formula_Elements!$A:$A,0))</f>
        <v>Work Orders &amp; PM Tasks</v>
      </c>
      <c r="G287" s="21" t="str">
        <f>INDEX(Common_Formula_Elements!$G:$G,MATCH($E287,Common_Formula_Elements!$A:$A,0))</f>
        <v>D29</v>
      </c>
      <c r="H287" s="23" t="str">
        <f>INDEX(Minimum_Documents!$B:$B,MATCH($G287,Minimum_Documents!$A:$A,0))</f>
        <v>CMMS Work Order &amp; PM Report (incl. life-safety and vehicle PM tasks)</v>
      </c>
    </row>
  </sheetData>
  <autoFilter ref="A1:H287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0502F-72BB-CC4B-B345-C6D94A1B29CC}">
  <dimension ref="A1:O30"/>
  <sheetViews>
    <sheetView workbookViewId="0">
      <pane ySplit="5" topLeftCell="A6" activePane="bottomLeft" state="frozen"/>
      <selection pane="bottomLeft" activeCell="K6" sqref="K6"/>
    </sheetView>
  </sheetViews>
  <sheetFormatPr defaultColWidth="11.5703125" defaultRowHeight="14.45"/>
  <cols>
    <col min="1" max="1" width="10" customWidth="1"/>
    <col min="2" max="2" width="31.7109375" customWidth="1"/>
    <col min="3" max="3" width="15.7109375" customWidth="1"/>
    <col min="4" max="4" width="38.28515625" customWidth="1"/>
    <col min="5" max="5" width="11.7109375" customWidth="1"/>
    <col min="6" max="6" width="12.42578125" customWidth="1"/>
    <col min="7" max="7" width="13.28515625" customWidth="1"/>
    <col min="8" max="8" width="31.7109375" customWidth="1"/>
    <col min="9" max="9" width="40" customWidth="1"/>
    <col min="10" max="10" width="31.7109375" customWidth="1"/>
    <col min="11" max="11" width="35" customWidth="1"/>
    <col min="12" max="12" width="11.7109375" customWidth="1"/>
    <col min="13" max="14" width="13.28515625" customWidth="1"/>
    <col min="15" max="15" width="33.28515625" customWidth="1"/>
  </cols>
  <sheetData>
    <row r="1" spans="1:15" ht="18">
      <c r="A1" s="33" t="s">
        <v>1268</v>
      </c>
    </row>
    <row r="2" spans="1:15">
      <c r="A2" s="34" t="s">
        <v>1269</v>
      </c>
    </row>
    <row r="3" spans="1:15">
      <c r="A3" s="35" t="s">
        <v>1270</v>
      </c>
      <c r="B3" s="35">
        <f>COUNTIF($F$6:$F$30,"Not in file")</f>
        <v>5</v>
      </c>
      <c r="C3" s="35" t="s">
        <v>1271</v>
      </c>
      <c r="D3" s="35">
        <f>COUNTIF($F$6:$F$30,"Partial match")</f>
        <v>20</v>
      </c>
      <c r="E3" s="35" t="s">
        <v>1272</v>
      </c>
      <c r="F3" s="35">
        <f>COUNTA($A$6:$A$30)</f>
        <v>25</v>
      </c>
    </row>
    <row r="5" spans="1:15" ht="31.9" customHeight="1">
      <c r="A5" s="36" t="s">
        <v>1273</v>
      </c>
      <c r="B5" s="36" t="s">
        <v>1274</v>
      </c>
      <c r="C5" s="36" t="s">
        <v>1275</v>
      </c>
      <c r="D5" s="36" t="s">
        <v>1276</v>
      </c>
      <c r="E5" s="36" t="s">
        <v>1277</v>
      </c>
      <c r="F5" s="36" t="s">
        <v>1278</v>
      </c>
      <c r="G5" s="36" t="s">
        <v>1279</v>
      </c>
      <c r="H5" s="36" t="s">
        <v>1280</v>
      </c>
      <c r="I5" s="36" t="s">
        <v>1281</v>
      </c>
      <c r="J5" s="36" t="s">
        <v>1282</v>
      </c>
      <c r="K5" s="36" t="s">
        <v>1283</v>
      </c>
      <c r="L5" s="36" t="s">
        <v>7</v>
      </c>
      <c r="M5" s="36" t="s">
        <v>9</v>
      </c>
      <c r="N5" s="36" t="s">
        <v>10</v>
      </c>
      <c r="O5" s="36" t="s">
        <v>1284</v>
      </c>
    </row>
    <row r="6" spans="1:15" ht="28.9">
      <c r="A6" s="37" t="s">
        <v>1285</v>
      </c>
      <c r="B6" s="37" t="s">
        <v>1286</v>
      </c>
      <c r="C6" s="37" t="s">
        <v>1287</v>
      </c>
      <c r="D6" s="37" t="s">
        <v>1288</v>
      </c>
      <c r="E6" s="37" t="s">
        <v>1289</v>
      </c>
      <c r="F6" s="37" t="s">
        <v>1271</v>
      </c>
      <c r="G6" s="37" t="s">
        <v>819</v>
      </c>
      <c r="H6" s="38" t="str">
        <f>IFERROR(INDEX(KPI_Master!$D:$D,MATCH(G6,KPI_Master!$B:$B,0)),"Not found")</f>
        <v>Lead Volume (New Inquiries)</v>
      </c>
      <c r="I6" s="37" t="s">
        <v>1290</v>
      </c>
      <c r="J6" s="37" t="s">
        <v>1291</v>
      </c>
      <c r="K6" s="37" t="s">
        <v>1292</v>
      </c>
      <c r="L6" s="39" t="s">
        <v>19</v>
      </c>
      <c r="M6" s="39" t="s">
        <v>21</v>
      </c>
      <c r="N6" s="39" t="s">
        <v>22</v>
      </c>
      <c r="O6" s="37" t="s">
        <v>1293</v>
      </c>
    </row>
    <row r="7" spans="1:15" ht="43.15">
      <c r="A7" s="37" t="s">
        <v>1294</v>
      </c>
      <c r="B7" s="37" t="s">
        <v>1295</v>
      </c>
      <c r="C7" s="37" t="s">
        <v>1287</v>
      </c>
      <c r="D7" s="37" t="s">
        <v>1296</v>
      </c>
      <c r="E7" s="37" t="s">
        <v>1289</v>
      </c>
      <c r="F7" s="37" t="s">
        <v>1271</v>
      </c>
      <c r="G7" s="37" t="s">
        <v>831</v>
      </c>
      <c r="H7" s="38" t="str">
        <f>IFERROR(INDEX(KPI_Master!$D:$D,MATCH(G7,KPI_Master!$B:$B,0)),"Not found")</f>
        <v>Tour to Deposit Conversion Rate</v>
      </c>
      <c r="I7" s="37" t="s">
        <v>1297</v>
      </c>
      <c r="J7" s="37" t="s">
        <v>1298</v>
      </c>
      <c r="K7" s="37" t="s">
        <v>1299</v>
      </c>
      <c r="L7" s="39" t="s">
        <v>19</v>
      </c>
      <c r="M7" s="39" t="s">
        <v>21</v>
      </c>
      <c r="N7" s="39" t="s">
        <v>22</v>
      </c>
      <c r="O7" s="37" t="s">
        <v>1300</v>
      </c>
    </row>
    <row r="8" spans="1:15" ht="43.15">
      <c r="A8" s="37" t="s">
        <v>1301</v>
      </c>
      <c r="B8" s="37" t="s">
        <v>1302</v>
      </c>
      <c r="C8" s="37" t="s">
        <v>1287</v>
      </c>
      <c r="D8" s="37" t="s">
        <v>1303</v>
      </c>
      <c r="E8" s="37" t="s">
        <v>1289</v>
      </c>
      <c r="F8" s="37" t="s">
        <v>1271</v>
      </c>
      <c r="G8" s="37" t="s">
        <v>856</v>
      </c>
      <c r="H8" s="38" t="str">
        <f>IFERROR(INDEX(KPI_Master!$D:$D,MATCH(G8,KPI_Master!$B:$B,0)),"Not found")</f>
        <v>Referral Source Contribution</v>
      </c>
      <c r="I8" s="37" t="s">
        <v>1304</v>
      </c>
      <c r="J8" s="37" t="s">
        <v>1298</v>
      </c>
      <c r="K8" s="37" t="s">
        <v>1305</v>
      </c>
      <c r="L8" s="39" t="s">
        <v>19</v>
      </c>
      <c r="M8" s="39" t="s">
        <v>37</v>
      </c>
      <c r="N8" s="39" t="s">
        <v>30</v>
      </c>
      <c r="O8" s="37" t="s">
        <v>1306</v>
      </c>
    </row>
    <row r="9" spans="1:15" ht="28.9">
      <c r="A9" s="37" t="s">
        <v>1307</v>
      </c>
      <c r="B9" s="37" t="s">
        <v>1308</v>
      </c>
      <c r="C9" s="37" t="s">
        <v>1287</v>
      </c>
      <c r="D9" s="37" t="s">
        <v>1309</v>
      </c>
      <c r="E9" s="37" t="s">
        <v>1289</v>
      </c>
      <c r="F9" s="37" t="s">
        <v>1270</v>
      </c>
      <c r="G9" s="37" t="s">
        <v>826</v>
      </c>
      <c r="H9" s="38" t="str">
        <f>IFERROR(INDEX(KPI_Master!$D:$D,MATCH(G9,KPI_Master!$B:$B,0)),"Not found")</f>
        <v>Lead to Tour Conversion Rate</v>
      </c>
      <c r="I9" s="37" t="s">
        <v>1310</v>
      </c>
      <c r="J9" s="37" t="s">
        <v>1298</v>
      </c>
      <c r="K9" s="37" t="s">
        <v>1305</v>
      </c>
      <c r="L9" s="39" t="s">
        <v>19</v>
      </c>
      <c r="M9" s="39" t="s">
        <v>37</v>
      </c>
      <c r="N9" s="39" t="s">
        <v>160</v>
      </c>
      <c r="O9" s="37" t="s">
        <v>1311</v>
      </c>
    </row>
    <row r="10" spans="1:15" ht="43.15">
      <c r="A10" s="37" t="s">
        <v>1312</v>
      </c>
      <c r="B10" s="37" t="s">
        <v>1313</v>
      </c>
      <c r="C10" s="37" t="s">
        <v>1287</v>
      </c>
      <c r="D10" s="37" t="s">
        <v>1314</v>
      </c>
      <c r="E10" s="37" t="s">
        <v>1315</v>
      </c>
      <c r="F10" s="37" t="s">
        <v>1270</v>
      </c>
      <c r="G10" s="37" t="s">
        <v>872</v>
      </c>
      <c r="H10" s="38" t="str">
        <f>IFERROR(INDEX(KPI_Master!$D:$D,MATCH(G10,KPI_Master!$B:$B,0)),"Not found")</f>
        <v>Marketing Cost as % of Operating Expense</v>
      </c>
      <c r="I10" s="37" t="s">
        <v>1316</v>
      </c>
      <c r="J10" s="37" t="s">
        <v>1317</v>
      </c>
      <c r="K10" s="37" t="s">
        <v>1318</v>
      </c>
      <c r="L10" s="39" t="s">
        <v>19</v>
      </c>
      <c r="M10" s="39" t="s">
        <v>21</v>
      </c>
      <c r="N10" s="39" t="s">
        <v>30</v>
      </c>
      <c r="O10" s="37" t="s">
        <v>1319</v>
      </c>
    </row>
    <row r="11" spans="1:15" ht="43.15">
      <c r="A11" s="37" t="s">
        <v>1320</v>
      </c>
      <c r="B11" s="37" t="s">
        <v>1321</v>
      </c>
      <c r="C11" s="37" t="s">
        <v>1322</v>
      </c>
      <c r="D11" s="37" t="s">
        <v>1323</v>
      </c>
      <c r="E11" s="37" t="s">
        <v>1324</v>
      </c>
      <c r="F11" s="37" t="s">
        <v>1271</v>
      </c>
      <c r="G11" s="37" t="s">
        <v>507</v>
      </c>
      <c r="H11" s="38" t="str">
        <f>IFERROR(INDEX(KPI_Master!$D:$D,MATCH(G11,KPI_Master!$B:$B,0)),"Not found")</f>
        <v>Average Acuity Score per Resident</v>
      </c>
      <c r="I11" s="37" t="s">
        <v>1325</v>
      </c>
      <c r="J11" s="37" t="s">
        <v>1326</v>
      </c>
      <c r="K11" s="37" t="s">
        <v>1327</v>
      </c>
      <c r="L11" s="39" t="s">
        <v>19</v>
      </c>
      <c r="M11" s="39" t="s">
        <v>37</v>
      </c>
      <c r="N11" s="39" t="s">
        <v>30</v>
      </c>
      <c r="O11" s="37" t="s">
        <v>1328</v>
      </c>
    </row>
    <row r="12" spans="1:15" ht="43.15">
      <c r="A12" s="37" t="s">
        <v>1329</v>
      </c>
      <c r="B12" s="37" t="s">
        <v>1330</v>
      </c>
      <c r="C12" s="37" t="s">
        <v>1331</v>
      </c>
      <c r="D12" s="37" t="s">
        <v>1332</v>
      </c>
      <c r="E12" s="37" t="s">
        <v>1333</v>
      </c>
      <c r="F12" s="37" t="s">
        <v>1271</v>
      </c>
      <c r="G12" s="37" t="s">
        <v>679</v>
      </c>
      <c r="H12" s="38" t="str">
        <f>IFERROR(INDEX(KPI_Master!$D:$D,MATCH(G12,KPI_Master!$B:$B,0)),"Not found")</f>
        <v>Survey Deficiency Count</v>
      </c>
      <c r="I12" s="37" t="s">
        <v>1334</v>
      </c>
      <c r="J12" s="37" t="s">
        <v>1335</v>
      </c>
      <c r="K12" s="37" t="s">
        <v>1336</v>
      </c>
      <c r="L12" s="39" t="s">
        <v>685</v>
      </c>
      <c r="M12" s="39" t="s">
        <v>37</v>
      </c>
      <c r="N12" s="39" t="s">
        <v>30</v>
      </c>
      <c r="O12" s="37" t="s">
        <v>1337</v>
      </c>
    </row>
    <row r="13" spans="1:15" ht="28.9">
      <c r="A13" s="37" t="s">
        <v>1338</v>
      </c>
      <c r="B13" s="37" t="s">
        <v>1339</v>
      </c>
      <c r="C13" s="37" t="s">
        <v>1331</v>
      </c>
      <c r="D13" s="37" t="s">
        <v>1340</v>
      </c>
      <c r="E13" s="37" t="s">
        <v>1333</v>
      </c>
      <c r="F13" s="37" t="s">
        <v>1271</v>
      </c>
      <c r="G13" s="37" t="s">
        <v>513</v>
      </c>
      <c r="H13" s="38" t="str">
        <f>IFERROR(INDEX(KPI_Master!$D:$D,MATCH(G13,KPI_Master!$B:$B,0)),"Not found")</f>
        <v>Nursing Hours per Resident Day (HPRD)</v>
      </c>
      <c r="I13" s="37" t="s">
        <v>1341</v>
      </c>
      <c r="J13" s="37" t="s">
        <v>1342</v>
      </c>
      <c r="K13" s="37" t="s">
        <v>1343</v>
      </c>
      <c r="L13" s="39" t="s">
        <v>52</v>
      </c>
      <c r="M13" s="39" t="s">
        <v>37</v>
      </c>
      <c r="N13" s="39" t="s">
        <v>30</v>
      </c>
      <c r="O13" s="37" t="s">
        <v>1344</v>
      </c>
    </row>
    <row r="14" spans="1:15" ht="28.9">
      <c r="A14" s="37" t="s">
        <v>1345</v>
      </c>
      <c r="B14" s="37" t="s">
        <v>1346</v>
      </c>
      <c r="C14" s="37" t="s">
        <v>1331</v>
      </c>
      <c r="D14" s="37" t="s">
        <v>1347</v>
      </c>
      <c r="E14" s="37" t="s">
        <v>1333</v>
      </c>
      <c r="F14" s="37" t="s">
        <v>1271</v>
      </c>
      <c r="G14" s="37" t="s">
        <v>530</v>
      </c>
      <c r="H14" s="38" t="str">
        <f>IFERROR(INDEX(KPI_Master!$D:$D,MATCH(G14,KPI_Master!$B:$B,0)),"Not found")</f>
        <v>Weekend Staffing Ratio</v>
      </c>
      <c r="I14" s="37" t="s">
        <v>1348</v>
      </c>
      <c r="J14" s="37" t="s">
        <v>1342</v>
      </c>
      <c r="K14" s="37" t="s">
        <v>1343</v>
      </c>
      <c r="L14" s="39" t="s">
        <v>52</v>
      </c>
      <c r="M14" s="39" t="s">
        <v>37</v>
      </c>
      <c r="N14" s="39" t="s">
        <v>30</v>
      </c>
      <c r="O14" s="37" t="s">
        <v>1344</v>
      </c>
    </row>
    <row r="15" spans="1:15" ht="43.15">
      <c r="A15" s="37" t="s">
        <v>1349</v>
      </c>
      <c r="B15" s="37" t="s">
        <v>1350</v>
      </c>
      <c r="C15" s="37" t="s">
        <v>1331</v>
      </c>
      <c r="D15" s="37" t="s">
        <v>1351</v>
      </c>
      <c r="E15" s="37" t="s">
        <v>1333</v>
      </c>
      <c r="F15" s="37" t="s">
        <v>1271</v>
      </c>
      <c r="G15" s="37" t="s">
        <v>267</v>
      </c>
      <c r="H15" s="38" t="str">
        <f>IFERROR(INDEX(KPI_Master!$D:$D,MATCH(G15,KPI_Master!$B:$B,0)),"Not found")</f>
        <v>Total Turnover Rate</v>
      </c>
      <c r="I15" s="37" t="s">
        <v>1352</v>
      </c>
      <c r="J15" s="37" t="s">
        <v>1342</v>
      </c>
      <c r="K15" s="37" t="s">
        <v>1343</v>
      </c>
      <c r="L15" s="39" t="s">
        <v>52</v>
      </c>
      <c r="M15" s="39" t="s">
        <v>37</v>
      </c>
      <c r="N15" s="39" t="s">
        <v>30</v>
      </c>
      <c r="O15" s="37" t="s">
        <v>1344</v>
      </c>
    </row>
    <row r="16" spans="1:15" ht="28.9">
      <c r="A16" s="37" t="s">
        <v>1353</v>
      </c>
      <c r="B16" s="37" t="s">
        <v>1354</v>
      </c>
      <c r="C16" s="37" t="s">
        <v>1331</v>
      </c>
      <c r="D16" s="37" t="s">
        <v>1355</v>
      </c>
      <c r="E16" s="37" t="s">
        <v>1333</v>
      </c>
      <c r="F16" s="37" t="s">
        <v>1271</v>
      </c>
      <c r="G16" s="37" t="s">
        <v>362</v>
      </c>
      <c r="H16" s="38" t="str">
        <f>IFERROR(INDEX(KPI_Master!$D:$D,MATCH(G16,KPI_Master!$B:$B,0)),"Not found")</f>
        <v>RN Turnover Rate</v>
      </c>
      <c r="I16" s="37" t="s">
        <v>1356</v>
      </c>
      <c r="J16" s="37" t="s">
        <v>1342</v>
      </c>
      <c r="K16" s="37" t="s">
        <v>1343</v>
      </c>
      <c r="L16" s="39" t="s">
        <v>52</v>
      </c>
      <c r="M16" s="39" t="s">
        <v>37</v>
      </c>
      <c r="N16" s="39" t="s">
        <v>30</v>
      </c>
      <c r="O16" s="37" t="s">
        <v>1357</v>
      </c>
    </row>
    <row r="17" spans="1:15" ht="28.9">
      <c r="A17" s="37" t="s">
        <v>1358</v>
      </c>
      <c r="B17" s="37" t="s">
        <v>1359</v>
      </c>
      <c r="C17" s="37" t="s">
        <v>1331</v>
      </c>
      <c r="D17" s="37" t="s">
        <v>1360</v>
      </c>
      <c r="E17" s="37" t="s">
        <v>1333</v>
      </c>
      <c r="F17" s="37" t="s">
        <v>1271</v>
      </c>
      <c r="G17" s="37" t="s">
        <v>457</v>
      </c>
      <c r="H17" s="38" t="str">
        <f>IFERROR(INDEX(KPI_Master!$D:$D,MATCH(G17,KPI_Master!$B:$B,0)),"Not found")</f>
        <v>Pressure Injury Prevalence Rate</v>
      </c>
      <c r="I17" s="37" t="s">
        <v>1361</v>
      </c>
      <c r="J17" s="37" t="s">
        <v>1335</v>
      </c>
      <c r="K17" s="37" t="s">
        <v>1362</v>
      </c>
      <c r="L17" s="39" t="s">
        <v>52</v>
      </c>
      <c r="M17" s="39" t="s">
        <v>37</v>
      </c>
      <c r="N17" s="39" t="s">
        <v>30</v>
      </c>
      <c r="O17" s="37" t="s">
        <v>1363</v>
      </c>
    </row>
    <row r="18" spans="1:15" ht="28.9">
      <c r="A18" s="37" t="s">
        <v>1364</v>
      </c>
      <c r="B18" s="37" t="s">
        <v>1365</v>
      </c>
      <c r="C18" s="37" t="s">
        <v>1331</v>
      </c>
      <c r="D18" s="37" t="s">
        <v>1366</v>
      </c>
      <c r="E18" s="37" t="s">
        <v>1333</v>
      </c>
      <c r="F18" s="37" t="s">
        <v>1271</v>
      </c>
      <c r="G18" s="37" t="s">
        <v>485</v>
      </c>
      <c r="H18" s="38" t="str">
        <f>IFERROR(INDEX(KPI_Master!$D:$D,MATCH(G18,KPI_Master!$B:$B,0)),"Not found")</f>
        <v>UTI Rate per 1,000 Resident Days</v>
      </c>
      <c r="I18" s="37" t="s">
        <v>1367</v>
      </c>
      <c r="J18" s="37" t="s">
        <v>1335</v>
      </c>
      <c r="K18" s="37" t="s">
        <v>1362</v>
      </c>
      <c r="L18" s="39" t="s">
        <v>52</v>
      </c>
      <c r="M18" s="39" t="s">
        <v>37</v>
      </c>
      <c r="N18" s="39" t="s">
        <v>30</v>
      </c>
      <c r="O18" s="37" t="s">
        <v>1363</v>
      </c>
    </row>
    <row r="19" spans="1:15" ht="43.15">
      <c r="A19" s="37" t="s">
        <v>1368</v>
      </c>
      <c r="B19" s="37" t="s">
        <v>1369</v>
      </c>
      <c r="C19" s="37" t="s">
        <v>1331</v>
      </c>
      <c r="D19" s="37" t="s">
        <v>1370</v>
      </c>
      <c r="E19" s="37" t="s">
        <v>1333</v>
      </c>
      <c r="F19" s="37" t="s">
        <v>1271</v>
      </c>
      <c r="G19" s="37" t="s">
        <v>452</v>
      </c>
      <c r="H19" s="38" t="str">
        <f>IFERROR(INDEX(KPI_Master!$D:$D,MATCH(G19,KPI_Master!$B:$B,0)),"Not found")</f>
        <v>Fall with Major Injury Rate</v>
      </c>
      <c r="I19" s="37" t="s">
        <v>1371</v>
      </c>
      <c r="J19" s="37" t="s">
        <v>1335</v>
      </c>
      <c r="K19" s="37" t="s">
        <v>1362</v>
      </c>
      <c r="L19" s="39" t="s">
        <v>52</v>
      </c>
      <c r="M19" s="39" t="s">
        <v>37</v>
      </c>
      <c r="N19" s="39" t="s">
        <v>30</v>
      </c>
      <c r="O19" s="37" t="s">
        <v>1363</v>
      </c>
    </row>
    <row r="20" spans="1:15" ht="28.9">
      <c r="A20" s="37" t="s">
        <v>1372</v>
      </c>
      <c r="B20" s="37" t="s">
        <v>1373</v>
      </c>
      <c r="C20" s="37" t="s">
        <v>1331</v>
      </c>
      <c r="D20" s="37" t="s">
        <v>1374</v>
      </c>
      <c r="E20" s="37" t="s">
        <v>1333</v>
      </c>
      <c r="F20" s="37" t="s">
        <v>1271</v>
      </c>
      <c r="G20" s="37" t="s">
        <v>493</v>
      </c>
      <c r="H20" s="38" t="str">
        <f>IFERROR(INDEX(KPI_Master!$D:$D,MATCH(G20,KPI_Master!$B:$B,0)),"Not found")</f>
        <v>Antipsychotic Medication Use Rate</v>
      </c>
      <c r="I20" s="37" t="s">
        <v>1375</v>
      </c>
      <c r="J20" s="37" t="s">
        <v>1335</v>
      </c>
      <c r="K20" s="37" t="s">
        <v>1362</v>
      </c>
      <c r="L20" s="39" t="s">
        <v>52</v>
      </c>
      <c r="M20" s="39" t="s">
        <v>37</v>
      </c>
      <c r="N20" s="39" t="s">
        <v>30</v>
      </c>
      <c r="O20" s="37" t="s">
        <v>1363</v>
      </c>
    </row>
    <row r="21" spans="1:15" ht="43.15">
      <c r="A21" s="37" t="s">
        <v>1376</v>
      </c>
      <c r="B21" s="37" t="s">
        <v>1377</v>
      </c>
      <c r="C21" s="37" t="s">
        <v>1331</v>
      </c>
      <c r="D21" s="37" t="s">
        <v>1378</v>
      </c>
      <c r="E21" s="37" t="s">
        <v>1333</v>
      </c>
      <c r="F21" s="37" t="s">
        <v>1271</v>
      </c>
      <c r="G21" s="37" t="s">
        <v>476</v>
      </c>
      <c r="H21" s="38" t="str">
        <f>IFERROR(INDEX(KPI_Master!$D:$D,MATCH(G21,KPI_Master!$B:$B,0)),"Not found")</f>
        <v>Unplanned Hospital Transfer Rate</v>
      </c>
      <c r="I21" s="37" t="s">
        <v>1379</v>
      </c>
      <c r="J21" s="37" t="s">
        <v>1335</v>
      </c>
      <c r="K21" s="37" t="s">
        <v>1362</v>
      </c>
      <c r="L21" s="39" t="s">
        <v>52</v>
      </c>
      <c r="M21" s="39" t="s">
        <v>37</v>
      </c>
      <c r="N21" s="39" t="s">
        <v>30</v>
      </c>
      <c r="O21" s="37" t="s">
        <v>1363</v>
      </c>
    </row>
    <row r="22" spans="1:15" ht="43.15">
      <c r="A22" s="37" t="s">
        <v>1380</v>
      </c>
      <c r="B22" s="37" t="s">
        <v>1381</v>
      </c>
      <c r="C22" s="37" t="s">
        <v>1331</v>
      </c>
      <c r="D22" s="37" t="s">
        <v>1382</v>
      </c>
      <c r="E22" s="37" t="s">
        <v>1333</v>
      </c>
      <c r="F22" s="37" t="s">
        <v>1270</v>
      </c>
      <c r="G22" s="37" t="s">
        <v>769</v>
      </c>
      <c r="H22" s="38" t="str">
        <f>IFERROR(INDEX(KPI_Master!$D:$D,MATCH(G22,KPI_Master!$B:$B,0)),"Not found")</f>
        <v>Functional Improvement Rate</v>
      </c>
      <c r="I22" s="37" t="s">
        <v>1383</v>
      </c>
      <c r="J22" s="37" t="s">
        <v>1335</v>
      </c>
      <c r="K22" s="37" t="s">
        <v>1362</v>
      </c>
      <c r="L22" s="39" t="s">
        <v>52</v>
      </c>
      <c r="M22" s="39" t="s">
        <v>37</v>
      </c>
      <c r="N22" s="39" t="s">
        <v>30</v>
      </c>
      <c r="O22" s="37" t="s">
        <v>1384</v>
      </c>
    </row>
    <row r="23" spans="1:15" ht="43.15">
      <c r="A23" s="37" t="s">
        <v>1385</v>
      </c>
      <c r="B23" s="37" t="s">
        <v>1386</v>
      </c>
      <c r="C23" s="37" t="s">
        <v>1331</v>
      </c>
      <c r="D23" s="37" t="s">
        <v>1387</v>
      </c>
      <c r="E23" s="37" t="s">
        <v>1333</v>
      </c>
      <c r="F23" s="37" t="s">
        <v>1271</v>
      </c>
      <c r="G23" s="37" t="s">
        <v>462</v>
      </c>
      <c r="H23" s="38" t="str">
        <f>IFERROR(INDEX(KPI_Master!$D:$D,MATCH(G23,KPI_Master!$B:$B,0)),"Not found")</f>
        <v>Facility-Acquired Pressure Injury Rate</v>
      </c>
      <c r="I23" s="37" t="s">
        <v>1388</v>
      </c>
      <c r="J23" s="37" t="s">
        <v>1335</v>
      </c>
      <c r="K23" s="37" t="s">
        <v>1362</v>
      </c>
      <c r="L23" s="39" t="s">
        <v>52</v>
      </c>
      <c r="M23" s="39" t="s">
        <v>37</v>
      </c>
      <c r="N23" s="39" t="s">
        <v>30</v>
      </c>
      <c r="O23" s="37" t="s">
        <v>1363</v>
      </c>
    </row>
    <row r="24" spans="1:15" ht="43.15">
      <c r="A24" s="37" t="s">
        <v>1389</v>
      </c>
      <c r="B24" s="37" t="s">
        <v>1390</v>
      </c>
      <c r="C24" s="37" t="s">
        <v>1331</v>
      </c>
      <c r="D24" s="37" t="s">
        <v>1391</v>
      </c>
      <c r="E24" s="37" t="s">
        <v>1333</v>
      </c>
      <c r="F24" s="37" t="s">
        <v>1271</v>
      </c>
      <c r="G24" s="37" t="s">
        <v>471</v>
      </c>
      <c r="H24" s="38" t="str">
        <f>IFERROR(INDEX(KPI_Master!$D:$D,MATCH(G24,KPI_Master!$B:$B,0)),"Not found")</f>
        <v>30-Day Hospital Readmission Rate</v>
      </c>
      <c r="I24" s="37" t="s">
        <v>1392</v>
      </c>
      <c r="J24" s="37" t="s">
        <v>1335</v>
      </c>
      <c r="K24" s="37" t="s">
        <v>1362</v>
      </c>
      <c r="L24" s="39" t="s">
        <v>52</v>
      </c>
      <c r="M24" s="39" t="s">
        <v>37</v>
      </c>
      <c r="N24" s="39" t="s">
        <v>30</v>
      </c>
      <c r="O24" s="37" t="s">
        <v>1363</v>
      </c>
    </row>
    <row r="25" spans="1:15" ht="43.15">
      <c r="A25" s="37" t="s">
        <v>1393</v>
      </c>
      <c r="B25" s="37" t="s">
        <v>1394</v>
      </c>
      <c r="C25" s="37" t="s">
        <v>1395</v>
      </c>
      <c r="D25" s="37" t="s">
        <v>1396</v>
      </c>
      <c r="E25" s="37" t="s">
        <v>1289</v>
      </c>
      <c r="F25" s="37" t="s">
        <v>1271</v>
      </c>
      <c r="G25" s="37" t="s">
        <v>103</v>
      </c>
      <c r="H25" s="38" t="str">
        <f>IFERROR(INDEX(KPI_Master!$D:$D,MATCH(G25,KPI_Master!$B:$B,0)),"Not found")</f>
        <v>Net Operating Income (NOI) Margin</v>
      </c>
      <c r="I25" s="37" t="s">
        <v>1397</v>
      </c>
      <c r="J25" s="37" t="s">
        <v>1398</v>
      </c>
      <c r="K25" s="37" t="s">
        <v>1399</v>
      </c>
      <c r="L25" s="39" t="s">
        <v>19</v>
      </c>
      <c r="M25" s="39" t="s">
        <v>21</v>
      </c>
      <c r="N25" s="39" t="s">
        <v>22</v>
      </c>
      <c r="O25" s="37" t="s">
        <v>1400</v>
      </c>
    </row>
    <row r="26" spans="1:15" ht="28.9">
      <c r="A26" s="37" t="s">
        <v>1401</v>
      </c>
      <c r="B26" s="37" t="s">
        <v>1402</v>
      </c>
      <c r="C26" s="37" t="s">
        <v>1395</v>
      </c>
      <c r="D26" s="37" t="s">
        <v>1403</v>
      </c>
      <c r="E26" s="37" t="s">
        <v>1315</v>
      </c>
      <c r="F26" s="37" t="s">
        <v>1270</v>
      </c>
      <c r="G26" s="37" t="s">
        <v>97</v>
      </c>
      <c r="H26" s="38" t="str">
        <f>IFERROR(INDEX(KPI_Master!$D:$D,MATCH(G26,KPI_Master!$B:$B,0)),"Not found")</f>
        <v>Revenue per Occupied Unit (RevPOU)</v>
      </c>
      <c r="I26" s="37" t="s">
        <v>1404</v>
      </c>
      <c r="J26" s="37" t="s">
        <v>1405</v>
      </c>
      <c r="K26" s="37" t="s">
        <v>1406</v>
      </c>
      <c r="L26" s="39" t="s">
        <v>19</v>
      </c>
      <c r="M26" s="39" t="s">
        <v>21</v>
      </c>
      <c r="N26" s="39" t="s">
        <v>22</v>
      </c>
      <c r="O26" s="37" t="s">
        <v>1407</v>
      </c>
    </row>
    <row r="27" spans="1:15" ht="28.9">
      <c r="A27" s="37" t="s">
        <v>1408</v>
      </c>
      <c r="B27" s="37" t="s">
        <v>1409</v>
      </c>
      <c r="C27" s="37" t="s">
        <v>1410</v>
      </c>
      <c r="D27" s="37" t="s">
        <v>1411</v>
      </c>
      <c r="E27" s="37" t="s">
        <v>1315</v>
      </c>
      <c r="F27" s="37" t="s">
        <v>1271</v>
      </c>
      <c r="G27" s="37" t="s">
        <v>267</v>
      </c>
      <c r="H27" s="38" t="str">
        <f>IFERROR(INDEX(KPI_Master!$D:$D,MATCH(G27,KPI_Master!$B:$B,0)),"Not found")</f>
        <v>Total Turnover Rate</v>
      </c>
      <c r="I27" s="37" t="s">
        <v>1412</v>
      </c>
      <c r="J27" s="37" t="s">
        <v>1413</v>
      </c>
      <c r="K27" s="37" t="s">
        <v>1414</v>
      </c>
      <c r="L27" s="39" t="s">
        <v>19</v>
      </c>
      <c r="M27" s="39" t="s">
        <v>37</v>
      </c>
      <c r="N27" s="39" t="s">
        <v>30</v>
      </c>
      <c r="O27" s="37" t="s">
        <v>1415</v>
      </c>
    </row>
    <row r="28" spans="1:15" ht="43.15">
      <c r="A28" s="37" t="s">
        <v>1416</v>
      </c>
      <c r="B28" s="37" t="s">
        <v>1417</v>
      </c>
      <c r="C28" s="37" t="s">
        <v>1410</v>
      </c>
      <c r="D28" s="37" t="s">
        <v>1418</v>
      </c>
      <c r="E28" s="37" t="s">
        <v>1315</v>
      </c>
      <c r="F28" s="37" t="s">
        <v>1271</v>
      </c>
      <c r="G28" s="37" t="s">
        <v>398</v>
      </c>
      <c r="H28" s="38" t="str">
        <f>IFERROR(INDEX(KPI_Master!$D:$D,MATCH(G28,KPI_Master!$B:$B,0)),"Not found")</f>
        <v>Mandatory Training Completion Rate</v>
      </c>
      <c r="I28" s="37" t="s">
        <v>1419</v>
      </c>
      <c r="J28" s="37" t="s">
        <v>1420</v>
      </c>
      <c r="K28" s="37" t="s">
        <v>1421</v>
      </c>
      <c r="L28" s="39" t="s">
        <v>19</v>
      </c>
      <c r="M28" s="39" t="s">
        <v>37</v>
      </c>
      <c r="N28" s="39" t="s">
        <v>30</v>
      </c>
      <c r="O28" s="37" t="s">
        <v>1422</v>
      </c>
    </row>
    <row r="29" spans="1:15" ht="28.9">
      <c r="A29" s="37" t="s">
        <v>1423</v>
      </c>
      <c r="B29" s="37" t="s">
        <v>1424</v>
      </c>
      <c r="C29" s="37" t="s">
        <v>1425</v>
      </c>
      <c r="D29" s="37" t="s">
        <v>1426</v>
      </c>
      <c r="E29" s="37" t="s">
        <v>1315</v>
      </c>
      <c r="F29" s="37" t="s">
        <v>1271</v>
      </c>
      <c r="G29" s="37" t="s">
        <v>613</v>
      </c>
      <c r="H29" s="38" t="str">
        <f>IFERROR(INDEX(KPI_Master!$D:$D,MATCH(G29,KPI_Master!$B:$B,0)),"Not found")</f>
        <v>Energy Cost per Square Foot</v>
      </c>
      <c r="I29" s="37" t="s">
        <v>1427</v>
      </c>
      <c r="J29" s="37" t="s">
        <v>1428</v>
      </c>
      <c r="K29" s="37" t="s">
        <v>1429</v>
      </c>
      <c r="L29" s="39" t="s">
        <v>193</v>
      </c>
      <c r="M29" s="39" t="s">
        <v>37</v>
      </c>
      <c r="N29" s="39" t="s">
        <v>160</v>
      </c>
      <c r="O29" s="37" t="s">
        <v>1430</v>
      </c>
    </row>
    <row r="30" spans="1:15" ht="43.15">
      <c r="A30" s="37" t="s">
        <v>1431</v>
      </c>
      <c r="B30" s="37" t="s">
        <v>1432</v>
      </c>
      <c r="C30" s="37" t="s">
        <v>1433</v>
      </c>
      <c r="D30" s="37" t="s">
        <v>1434</v>
      </c>
      <c r="E30" s="37" t="s">
        <v>1315</v>
      </c>
      <c r="F30" s="37" t="s">
        <v>1270</v>
      </c>
      <c r="G30" s="37" t="s">
        <v>13</v>
      </c>
      <c r="H30" s="38" t="str">
        <f>IFERROR(INDEX(KPI_Master!$D:$D,MATCH(G30,KPI_Master!$B:$B,0)),"Not found")</f>
        <v>Raw Food Cost per Resident Day (PRD)</v>
      </c>
      <c r="I30" s="37" t="s">
        <v>1435</v>
      </c>
      <c r="J30" s="37" t="s">
        <v>1317</v>
      </c>
      <c r="K30" s="37" t="s">
        <v>1436</v>
      </c>
      <c r="L30" s="39" t="s">
        <v>19</v>
      </c>
      <c r="M30" s="39" t="s">
        <v>37</v>
      </c>
      <c r="N30" s="39" t="s">
        <v>160</v>
      </c>
      <c r="O30" s="37" t="s">
        <v>1437</v>
      </c>
    </row>
  </sheetData>
  <conditionalFormatting sqref="F6:F30">
    <cfRule type="containsText" dxfId="0" priority="1" operator="containsText" text="Not in file">
      <formula>NOT(ISERROR(SEARCH("Not in file",F6)))</formula>
    </cfRule>
  </conditionalFormatting>
  <dataValidations count="4">
    <dataValidation type="list" allowBlank="1" showInputMessage="1" showErrorMessage="1" sqref="L6:L30" xr:uid="{A2CF5381-6886-3E4A-A325-7084F91D02C3}">
      <formula1>"Daily,Weekly,Monthly,Quarterly,Annual,Per survey"</formula1>
    </dataValidation>
    <dataValidation type="list" allowBlank="1" showInputMessage="1" showErrorMessage="1" sqref="M6:M30" xr:uid="{4F02B30D-48C8-1D44-9D4E-70B27D61C5D1}">
      <formula1>"Executive,Operational"</formula1>
    </dataValidation>
    <dataValidation type="list" allowBlank="1" showInputMessage="1" showErrorMessage="1" sqref="N6:N30" xr:uid="{1DD5598D-664C-F342-AB90-AAF892522C78}">
      <formula1>"1 - Core,2 - Standard,3 - Optional"</formula1>
    </dataValidation>
    <dataValidation type="list" allowBlank="1" showInputMessage="1" showErrorMessage="1" sqref="F6:F30" xr:uid="{E2419292-456C-CC44-8AE6-04AA152A2D75}">
      <formula1>"Not in file,Partial match"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100EBCBC660E458A1F9D25E8720122" ma:contentTypeVersion="9" ma:contentTypeDescription="Create a new document." ma:contentTypeScope="" ma:versionID="0b235775f9e8a5c988bdc7e164d900cb">
  <xsd:schema xmlns:xsd="http://www.w3.org/2001/XMLSchema" xmlns:xs="http://www.w3.org/2001/XMLSchema" xmlns:p="http://schemas.microsoft.com/office/2006/metadata/properties" xmlns:ns2="1d9e14b1-be2a-464a-ba77-801d37960d33" xmlns:ns3="91807943-51f0-47d3-9560-db9fb9969f1a" targetNamespace="http://schemas.microsoft.com/office/2006/metadata/properties" ma:root="true" ma:fieldsID="99c332b4f9c8d179043c9583cc5c1805" ns2:_="" ns3:_="">
    <xsd:import namespace="1d9e14b1-be2a-464a-ba77-801d37960d33"/>
    <xsd:import namespace="91807943-51f0-47d3-9560-db9fb9969f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9e14b1-be2a-464a-ba77-801d37960d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f19989-8ec2-4d12-88a5-0f6a2bfed8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07943-51f0-47d3-9560-db9fb9969f1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b67630-173c-4a5b-a091-d3a674c28d83}" ma:internalName="TaxCatchAll" ma:showField="CatchAllData" ma:web="91807943-51f0-47d3-9560-db9fb9969f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807943-51f0-47d3-9560-db9fb9969f1a" xsi:nil="true"/>
    <lcf76f155ced4ddcb4097134ff3c332f xmlns="1d9e14b1-be2a-464a-ba77-801d37960d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8B70ED-EBB8-4923-BEDC-A08C7FEDC67C}"/>
</file>

<file path=customXml/itemProps2.xml><?xml version="1.0" encoding="utf-8"?>
<ds:datastoreItem xmlns:ds="http://schemas.openxmlformats.org/officeDocument/2006/customXml" ds:itemID="{8224C49A-567B-481A-BD26-01C0C185C383}"/>
</file>

<file path=customXml/itemProps3.xml><?xml version="1.0" encoding="utf-8"?>
<ds:datastoreItem xmlns:ds="http://schemas.openxmlformats.org/officeDocument/2006/customXml" ds:itemID="{FEC0DF94-6FF6-48CF-B282-390E29B6F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Keval Shah</cp:lastModifiedBy>
  <cp:revision>0</cp:revision>
  <dcterms:created xsi:type="dcterms:W3CDTF">2026-08-28T13:33:54Z</dcterms:created>
  <dcterms:modified xsi:type="dcterms:W3CDTF">2026-10-01T06:01:40Z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0x01010019100EBCBC660E458A1F9D25E8720122</vt:lpwstr>
  </property>
  <property fmtid="{D5CDD505-2E9C-101B-9397-08002B2CF9AE}" pid="3" name="MediaServiceImageTags">
    <vt:lpwstr/>
  </property>
</Properties>
</file>