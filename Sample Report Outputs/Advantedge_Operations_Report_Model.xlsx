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rcmacbook/Desktop/S.K.I.L.L./Advantedge/Sample Report Outputs/"/>
    </mc:Choice>
  </mc:AlternateContent>
  <xr:revisionPtr revIDLastSave="0" documentId="11_0AB7A671F501A65674AD384EBA6A31B3727D85A3" xr6:coauthVersionLast="47" xr6:coauthVersionMax="47" xr10:uidLastSave="{00000000-0000-0000-0000-000000000000}"/>
  <bookViews>
    <workbookView xWindow="0" yWindow="600" windowWidth="51200" windowHeight="19120" activeTab="1" xr2:uid="{00000000-000D-0000-FFFF-FFFF00000000}"/>
  </bookViews>
  <sheets>
    <sheet name="Cover" sheetId="1" r:id="rId1"/>
    <sheet name="Executive Summary" sheetId="2" r:id="rId2"/>
    <sheet name="Inputs" sheetId="3" r:id="rId3"/>
    <sheet name="Sensitivity" sheetId="4" r:id="rId4"/>
    <sheet name="Staffing Model" sheetId="5" r:id="rId5"/>
    <sheet name="Financials" sheetId="6" r:id="rId6"/>
    <sheet name="KPI Scorecard" sheetId="7" r:id="rId7"/>
    <sheet name="Department Rollup" sheetId="8" r:id="rId8"/>
    <sheet name="Action Plan" sheetId="9" r:id="rId9"/>
    <sheet name="Benchmark Sources" sheetId="10" r:id="rId10"/>
    <sheet name="Method &amp; Not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8" l="1"/>
  <c r="F14" i="8"/>
  <c r="E14" i="8"/>
  <c r="D14" i="8"/>
  <c r="C14" i="8"/>
  <c r="B14" i="8"/>
  <c r="B13" i="8"/>
  <c r="G12" i="8"/>
  <c r="F12" i="8"/>
  <c r="E12" i="8"/>
  <c r="D12" i="8"/>
  <c r="C12" i="8"/>
  <c r="B12" i="8"/>
  <c r="G11" i="8"/>
  <c r="F11" i="8"/>
  <c r="E11" i="8"/>
  <c r="D11" i="8"/>
  <c r="C11" i="8"/>
  <c r="B11" i="8"/>
  <c r="G10" i="8"/>
  <c r="F10" i="8"/>
  <c r="E10" i="8"/>
  <c r="D10" i="8"/>
  <c r="C10" i="8"/>
  <c r="B10" i="8"/>
  <c r="B15" i="8" s="1"/>
  <c r="B9" i="8"/>
  <c r="G8" i="8"/>
  <c r="F8" i="8"/>
  <c r="E8" i="8"/>
  <c r="D8" i="8"/>
  <c r="C8" i="8"/>
  <c r="B8" i="8"/>
  <c r="G7" i="8"/>
  <c r="F7" i="8"/>
  <c r="E7" i="8"/>
  <c r="D7" i="8"/>
  <c r="C7" i="8"/>
  <c r="B7" i="8"/>
  <c r="G6" i="8"/>
  <c r="D6" i="8"/>
  <c r="C6" i="8"/>
  <c r="B6" i="8"/>
  <c r="F7" i="7"/>
  <c r="F6" i="8" s="1"/>
  <c r="D7" i="7"/>
  <c r="F12" i="6"/>
  <c r="E11" i="6"/>
  <c r="E7" i="6"/>
  <c r="H32" i="5"/>
  <c r="H33" i="5" s="1"/>
  <c r="H31" i="5"/>
  <c r="E31" i="5"/>
  <c r="G31" i="5" s="1"/>
  <c r="L31" i="5" s="1"/>
  <c r="M30" i="5"/>
  <c r="L30" i="5"/>
  <c r="H30" i="5"/>
  <c r="I30" i="5" s="1"/>
  <c r="J30" i="5" s="1"/>
  <c r="G30" i="5"/>
  <c r="H29" i="5"/>
  <c r="M29" i="5" s="1"/>
  <c r="E29" i="5"/>
  <c r="H28" i="5"/>
  <c r="H23" i="5"/>
  <c r="I23" i="5" s="1"/>
  <c r="J23" i="5" s="1"/>
  <c r="G23" i="5"/>
  <c r="F23" i="5"/>
  <c r="M22" i="5"/>
  <c r="H22" i="5"/>
  <c r="G22" i="5"/>
  <c r="L22" i="5" s="1"/>
  <c r="F22" i="5"/>
  <c r="H21" i="5"/>
  <c r="F21" i="5"/>
  <c r="G21" i="5" s="1"/>
  <c r="H20" i="5"/>
  <c r="M20" i="5" s="1"/>
  <c r="H19" i="5"/>
  <c r="M19" i="5" s="1"/>
  <c r="E19" i="5"/>
  <c r="H18" i="5"/>
  <c r="E18" i="5"/>
  <c r="D18" i="5"/>
  <c r="C18" i="5"/>
  <c r="B18" i="5"/>
  <c r="G18" i="5" s="1"/>
  <c r="L18" i="5" s="1"/>
  <c r="H17" i="5"/>
  <c r="M17" i="5" s="1"/>
  <c r="H16" i="5"/>
  <c r="M16" i="5" s="1"/>
  <c r="M15" i="5"/>
  <c r="H15" i="5"/>
  <c r="H14" i="5"/>
  <c r="E14" i="5"/>
  <c r="H13" i="5"/>
  <c r="G13" i="5"/>
  <c r="L13" i="5" s="1"/>
  <c r="F13" i="5"/>
  <c r="H12" i="5"/>
  <c r="E12" i="5"/>
  <c r="H11" i="5"/>
  <c r="G11" i="5"/>
  <c r="L11" i="5" s="1"/>
  <c r="M10" i="5"/>
  <c r="H10" i="5"/>
  <c r="D10" i="5"/>
  <c r="C10" i="5"/>
  <c r="B10" i="5"/>
  <c r="H9" i="5"/>
  <c r="E9" i="5"/>
  <c r="H8" i="5"/>
  <c r="E8" i="5"/>
  <c r="M7" i="5"/>
  <c r="H7" i="5"/>
  <c r="H6" i="5"/>
  <c r="H24" i="5" s="1"/>
  <c r="H32" i="4"/>
  <c r="G32" i="4"/>
  <c r="F32" i="4"/>
  <c r="E32" i="4"/>
  <c r="D32" i="4"/>
  <c r="C32" i="4"/>
  <c r="B32" i="4"/>
  <c r="H31" i="4"/>
  <c r="G31" i="4"/>
  <c r="F31" i="4"/>
  <c r="E31" i="4"/>
  <c r="D31" i="4"/>
  <c r="C31" i="4"/>
  <c r="B31" i="4"/>
  <c r="H30" i="4"/>
  <c r="G30" i="4"/>
  <c r="F30" i="4"/>
  <c r="E30" i="4"/>
  <c r="D30" i="4"/>
  <c r="C30" i="4"/>
  <c r="B30" i="4"/>
  <c r="H23" i="4"/>
  <c r="G23" i="4"/>
  <c r="F23" i="4"/>
  <c r="E23" i="4"/>
  <c r="D23" i="4"/>
  <c r="C23" i="4"/>
  <c r="B23" i="4"/>
  <c r="H22" i="4"/>
  <c r="G22" i="4"/>
  <c r="F22" i="4"/>
  <c r="E22" i="4"/>
  <c r="D22" i="4"/>
  <c r="C22" i="4"/>
  <c r="B22" i="4"/>
  <c r="H21" i="4"/>
  <c r="G21" i="4"/>
  <c r="F21" i="4"/>
  <c r="E21" i="4"/>
  <c r="D21" i="4"/>
  <c r="C21" i="4"/>
  <c r="B21" i="4"/>
  <c r="H20" i="4"/>
  <c r="G20" i="4"/>
  <c r="F20" i="4"/>
  <c r="E20" i="4"/>
  <c r="D20" i="4"/>
  <c r="C20" i="4"/>
  <c r="B20" i="4"/>
  <c r="H19" i="4"/>
  <c r="G19" i="4"/>
  <c r="F19" i="4"/>
  <c r="E19" i="4"/>
  <c r="D19" i="4"/>
  <c r="C19" i="4"/>
  <c r="B19" i="4"/>
  <c r="H18" i="4"/>
  <c r="G18" i="4"/>
  <c r="F18" i="4"/>
  <c r="E18" i="4"/>
  <c r="D18" i="4"/>
  <c r="C18" i="4"/>
  <c r="B18" i="4"/>
  <c r="H17" i="4"/>
  <c r="G17" i="4"/>
  <c r="F17" i="4"/>
  <c r="E17" i="4"/>
  <c r="D17" i="4"/>
  <c r="C17" i="4"/>
  <c r="B17" i="4"/>
  <c r="H16" i="4"/>
  <c r="G16" i="4"/>
  <c r="F16" i="4"/>
  <c r="E16" i="4"/>
  <c r="D16" i="4"/>
  <c r="C16" i="4"/>
  <c r="B16" i="4"/>
  <c r="H15" i="4"/>
  <c r="G15" i="4"/>
  <c r="F15" i="4"/>
  <c r="E15" i="4"/>
  <c r="D15" i="4"/>
  <c r="C15" i="4"/>
  <c r="B15" i="4"/>
  <c r="H14" i="4"/>
  <c r="G14" i="4"/>
  <c r="F14" i="4"/>
  <c r="E14" i="4"/>
  <c r="D14" i="4"/>
  <c r="C14" i="4"/>
  <c r="B14" i="4"/>
  <c r="H13" i="4"/>
  <c r="G13" i="4"/>
  <c r="F13" i="4"/>
  <c r="E13" i="4"/>
  <c r="D13" i="4"/>
  <c r="C13" i="4"/>
  <c r="B13" i="4"/>
  <c r="H11" i="4"/>
  <c r="G11" i="4"/>
  <c r="F11" i="4"/>
  <c r="E11" i="4"/>
  <c r="D11" i="4"/>
  <c r="C11" i="4"/>
  <c r="B11" i="4"/>
  <c r="H10" i="4"/>
  <c r="G10" i="4"/>
  <c r="F10" i="4"/>
  <c r="E10" i="4"/>
  <c r="D10" i="4"/>
  <c r="C10" i="4"/>
  <c r="B10" i="4"/>
  <c r="H9" i="4"/>
  <c r="G9" i="4"/>
  <c r="F9" i="4"/>
  <c r="E9" i="4"/>
  <c r="D9" i="4"/>
  <c r="C9" i="4"/>
  <c r="B9" i="4"/>
  <c r="H8" i="4"/>
  <c r="G8" i="4"/>
  <c r="F8" i="4"/>
  <c r="E8" i="4"/>
  <c r="D8" i="4"/>
  <c r="C8" i="4"/>
  <c r="B8" i="4"/>
  <c r="H7" i="4"/>
  <c r="G7" i="4"/>
  <c r="F7" i="4"/>
  <c r="E7" i="4"/>
  <c r="D7" i="4"/>
  <c r="C7" i="4"/>
  <c r="B7" i="4"/>
  <c r="C113" i="3"/>
  <c r="F26" i="4" s="1"/>
  <c r="D77" i="3"/>
  <c r="M32" i="5" s="1"/>
  <c r="D76" i="3"/>
  <c r="D75" i="3"/>
  <c r="D74" i="3"/>
  <c r="M28" i="5" s="1"/>
  <c r="D73" i="3"/>
  <c r="D72" i="3"/>
  <c r="M21" i="5" s="1"/>
  <c r="D71" i="3"/>
  <c r="D70" i="3"/>
  <c r="D69" i="3"/>
  <c r="D68" i="3"/>
  <c r="D67" i="3"/>
  <c r="D66" i="3"/>
  <c r="D65" i="3"/>
  <c r="M14" i="5" s="1"/>
  <c r="D64" i="3"/>
  <c r="M13" i="5" s="1"/>
  <c r="D63" i="3"/>
  <c r="M12" i="5" s="1"/>
  <c r="D62" i="3"/>
  <c r="M11" i="5" s="1"/>
  <c r="D61" i="3"/>
  <c r="D60" i="3"/>
  <c r="D59" i="3"/>
  <c r="M8" i="5" s="1"/>
  <c r="D58" i="3"/>
  <c r="D57" i="3"/>
  <c r="M6" i="5" s="1"/>
  <c r="C19" i="3"/>
  <c r="F16" i="3"/>
  <c r="F17" i="3" s="1"/>
  <c r="E32" i="5" s="1"/>
  <c r="G32" i="5" s="1"/>
  <c r="L32" i="5" s="1"/>
  <c r="F14" i="3"/>
  <c r="E16" i="5" s="1"/>
  <c r="E14" i="3"/>
  <c r="D11" i="6" s="1"/>
  <c r="D14" i="3"/>
  <c r="C17" i="5" s="1"/>
  <c r="C14" i="3"/>
  <c r="F20" i="5" s="1"/>
  <c r="G20" i="5" s="1"/>
  <c r="L20" i="5" s="1"/>
  <c r="B36" i="2"/>
  <c r="I18" i="5" l="1"/>
  <c r="J18" i="5" s="1"/>
  <c r="M33" i="5"/>
  <c r="H34" i="5"/>
  <c r="I31" i="5"/>
  <c r="J31" i="5" s="1"/>
  <c r="L21" i="5"/>
  <c r="I21" i="5"/>
  <c r="J21" i="5" s="1"/>
  <c r="I11" i="5"/>
  <c r="J11" i="5" s="1"/>
  <c r="E6" i="5"/>
  <c r="M9" i="5"/>
  <c r="I13" i="5"/>
  <c r="J13" i="5" s="1"/>
  <c r="D17" i="5"/>
  <c r="G17" i="5" s="1"/>
  <c r="I22" i="5"/>
  <c r="J22" i="5" s="1"/>
  <c r="E19" i="3"/>
  <c r="B26" i="4"/>
  <c r="E17" i="5"/>
  <c r="I20" i="5"/>
  <c r="J20" i="5" s="1"/>
  <c r="C26" i="4"/>
  <c r="B12" i="5"/>
  <c r="G12" i="5" s="1"/>
  <c r="M18" i="5"/>
  <c r="M24" i="5" s="1"/>
  <c r="M34" i="5" s="1"/>
  <c r="F14" i="6" s="1"/>
  <c r="C28" i="5"/>
  <c r="M31" i="5"/>
  <c r="E6" i="8"/>
  <c r="D26" i="4"/>
  <c r="C12" i="5"/>
  <c r="B19" i="5"/>
  <c r="D28" i="5"/>
  <c r="E26" i="4"/>
  <c r="E10" i="5"/>
  <c r="G10" i="5" s="1"/>
  <c r="L10" i="5" s="1"/>
  <c r="D12" i="5"/>
  <c r="C14" i="5"/>
  <c r="G14" i="5" s="1"/>
  <c r="B16" i="5"/>
  <c r="G16" i="5" s="1"/>
  <c r="L16" i="5" s="1"/>
  <c r="C19" i="5"/>
  <c r="E28" i="5"/>
  <c r="C16" i="5"/>
  <c r="D19" i="5"/>
  <c r="G26" i="4"/>
  <c r="B9" i="5"/>
  <c r="D16" i="5"/>
  <c r="I32" i="5"/>
  <c r="J32" i="5" s="1"/>
  <c r="H26" i="4"/>
  <c r="C9" i="5"/>
  <c r="B7" i="6"/>
  <c r="D9" i="5"/>
  <c r="C7" i="6"/>
  <c r="L23" i="5"/>
  <c r="D7" i="6"/>
  <c r="M23" i="5"/>
  <c r="F6" i="5"/>
  <c r="C8" i="5"/>
  <c r="D29" i="5"/>
  <c r="B11" i="6"/>
  <c r="B8" i="5"/>
  <c r="C29" i="5"/>
  <c r="D8" i="5"/>
  <c r="C11" i="6"/>
  <c r="L17" i="5" l="1"/>
  <c r="I17" i="5"/>
  <c r="J17" i="5" s="1"/>
  <c r="G6" i="5"/>
  <c r="G28" i="5"/>
  <c r="I16" i="5"/>
  <c r="J16" i="5" s="1"/>
  <c r="L12" i="5"/>
  <c r="I12" i="5"/>
  <c r="J12" i="5" s="1"/>
  <c r="F7" i="6"/>
  <c r="F7" i="5"/>
  <c r="G7" i="5" s="1"/>
  <c r="F19" i="3"/>
  <c r="A6" i="2" s="1"/>
  <c r="I10" i="5"/>
  <c r="J10" i="5" s="1"/>
  <c r="G29" i="5"/>
  <c r="G8" i="5"/>
  <c r="L14" i="5"/>
  <c r="I14" i="5"/>
  <c r="J14" i="5" s="1"/>
  <c r="G19" i="5"/>
  <c r="F11" i="6"/>
  <c r="G9" i="5"/>
  <c r="D92" i="7" l="1"/>
  <c r="F91" i="7"/>
  <c r="D91" i="7"/>
  <c r="F18" i="6"/>
  <c r="F23" i="6" s="1"/>
  <c r="F22" i="6"/>
  <c r="E22" i="6"/>
  <c r="D46" i="7" s="1"/>
  <c r="F19" i="6"/>
  <c r="F20" i="6" s="1"/>
  <c r="L9" i="5"/>
  <c r="I9" i="5"/>
  <c r="J9" i="5" s="1"/>
  <c r="L29" i="5"/>
  <c r="I29" i="5"/>
  <c r="J29" i="5" s="1"/>
  <c r="F21" i="6"/>
  <c r="L19" i="5"/>
  <c r="I19" i="5"/>
  <c r="J19" i="5" s="1"/>
  <c r="G33" i="5"/>
  <c r="L28" i="5"/>
  <c r="I28" i="5"/>
  <c r="L8" i="5"/>
  <c r="I8" i="5"/>
  <c r="J8" i="5" s="1"/>
  <c r="F15" i="5"/>
  <c r="G15" i="5" s="1"/>
  <c r="H24" i="4"/>
  <c r="H25" i="4" s="1"/>
  <c r="E24" i="4"/>
  <c r="E25" i="4" s="1"/>
  <c r="G24" i="4"/>
  <c r="G25" i="4" s="1"/>
  <c r="F24" i="4"/>
  <c r="F25" i="4" s="1"/>
  <c r="D24" i="4"/>
  <c r="D25" i="4" s="1"/>
  <c r="C24" i="4"/>
  <c r="C25" i="4" s="1"/>
  <c r="L6" i="5"/>
  <c r="B24" i="4"/>
  <c r="B25" i="4" s="1"/>
  <c r="I6" i="5"/>
  <c r="L7" i="5"/>
  <c r="I7" i="5"/>
  <c r="J7" i="5" s="1"/>
  <c r="B28" i="4" l="1"/>
  <c r="B27" i="4"/>
  <c r="C28" i="4"/>
  <c r="C27" i="4"/>
  <c r="F28" i="4"/>
  <c r="F27" i="4"/>
  <c r="H28" i="4"/>
  <c r="H33" i="4"/>
  <c r="H27" i="4"/>
  <c r="I33" i="5"/>
  <c r="J28" i="5"/>
  <c r="J33" i="5" s="1"/>
  <c r="L24" i="5"/>
  <c r="L34" i="5" s="1"/>
  <c r="F13" i="6" s="1"/>
  <c r="E28" i="4"/>
  <c r="E27" i="4"/>
  <c r="L15" i="5"/>
  <c r="I15" i="5"/>
  <c r="J15" i="5" s="1"/>
  <c r="L33" i="5"/>
  <c r="G24" i="5"/>
  <c r="G34" i="5" s="1"/>
  <c r="B6" i="2" s="1"/>
  <c r="D13" i="8"/>
  <c r="C13" i="8"/>
  <c r="G13" i="8"/>
  <c r="F13" i="8"/>
  <c r="E13" i="8"/>
  <c r="D28" i="4"/>
  <c r="D27" i="4"/>
  <c r="G28" i="4"/>
  <c r="G27" i="4"/>
  <c r="J6" i="5"/>
  <c r="J24" i="5" l="1"/>
  <c r="J34" i="5" s="1"/>
  <c r="H36" i="4"/>
  <c r="H34" i="4"/>
  <c r="H35" i="4" s="1"/>
  <c r="I24" i="5"/>
  <c r="I34" i="5" s="1"/>
  <c r="C6" i="2" s="1"/>
  <c r="E21" i="6"/>
  <c r="E18" i="6"/>
  <c r="D33" i="4"/>
  <c r="F33" i="4"/>
  <c r="C33" i="4"/>
  <c r="G33" i="4"/>
  <c r="E33" i="4"/>
  <c r="B33" i="4"/>
  <c r="C36" i="4" l="1"/>
  <c r="C34" i="4"/>
  <c r="C35" i="4" s="1"/>
  <c r="G34" i="4"/>
  <c r="G35" i="4" s="1"/>
  <c r="G36" i="4"/>
  <c r="E23" i="6"/>
  <c r="D47" i="7" s="1"/>
  <c r="E19" i="6"/>
  <c r="E20" i="6" s="1"/>
  <c r="E36" i="4"/>
  <c r="E34" i="4"/>
  <c r="E35" i="4" s="1"/>
  <c r="D36" i="4"/>
  <c r="D34" i="4"/>
  <c r="D35" i="4" s="1"/>
  <c r="E6" i="2"/>
  <c r="F48" i="7"/>
  <c r="D48" i="7"/>
  <c r="B34" i="4"/>
  <c r="B35" i="4" s="1"/>
  <c r="B36" i="4"/>
  <c r="F34" i="4"/>
  <c r="F35" i="4" s="1"/>
  <c r="F36" i="4"/>
  <c r="D6" i="2" l="1"/>
  <c r="F45" i="7"/>
  <c r="D45" i="7"/>
  <c r="F44" i="7"/>
  <c r="D44" i="7"/>
  <c r="F6" i="2" l="1"/>
  <c r="G9" i="8"/>
  <c r="G15" i="8" s="1"/>
  <c r="F9" i="8"/>
  <c r="F15" i="8" s="1"/>
  <c r="B35" i="2"/>
  <c r="E9" i="8"/>
  <c r="E15" i="8" s="1"/>
  <c r="B34" i="2"/>
  <c r="D9" i="8"/>
  <c r="D15" i="8" s="1"/>
  <c r="C9" i="8"/>
  <c r="C15" i="8" s="1"/>
  <c r="B33" i="2"/>
  <c r="C33" i="2" s="1"/>
  <c r="B32" i="2"/>
  <c r="C32" i="2" s="1"/>
  <c r="B31" i="2"/>
  <c r="C31" i="2" s="1"/>
</calcChain>
</file>

<file path=xl/sharedStrings.xml><?xml version="1.0" encoding="utf-8"?>
<sst xmlns="http://schemas.openxmlformats.org/spreadsheetml/2006/main" count="1857" uniqueCount="1097">
  <si>
    <t>Operations Intelligence Report</t>
  </si>
  <si>
    <t>Occupancy-driven model - change occupancy, staffing and the scorecard follow</t>
  </si>
  <si>
    <t>Whitefield Commons</t>
  </si>
  <si>
    <t>Lakeshore Senior Living Group - Ada, Michigan</t>
  </si>
  <si>
    <t>Type B (Modified) Life Plan Community / CCRC</t>
  </si>
  <si>
    <t>142 IL - 58 AL - 28 MC - 52 SNF - 280 units and beds</t>
  </si>
  <si>
    <t>MI LARA: Home for the Aged (AL+MC) - Nursing Home (SNF) - CCRC registration</t>
  </si>
  <si>
    <t>Reporting period</t>
  </si>
  <si>
    <t>Trailing 12 months ended 2026-08-31</t>
  </si>
  <si>
    <t>Prepared</t>
  </si>
  <si>
    <t>2026-09-22</t>
  </si>
  <si>
    <t>KPI catalog</t>
  </si>
  <si>
    <t>Operations KPI Catalog v9 (2026-09-22) - 115 measures</t>
  </si>
  <si>
    <t>In scope for this community</t>
  </si>
  <si>
    <t>115 of 115 - full continuum plus CCRC entity measures</t>
  </si>
  <si>
    <t>Staffing model</t>
  </si>
  <si>
    <t>Staffing Base Calculator rules, driven live off occupancy</t>
  </si>
  <si>
    <t>Screen grounding</t>
  </si>
  <si>
    <t>Onboarding Screen Analysis Catalog (2026-09-22)</t>
  </si>
  <si>
    <t>How to use this workbook</t>
  </si>
  <si>
    <t>1. Open Inputs</t>
  </si>
  <si>
    <t>Every shaded cell on the Inputs sheet is editable. Occupancy is the headline driver.</t>
  </si>
  <si>
    <t>2. Change occupancy</t>
  </si>
  <si>
    <t>Staffing Model, Financials, the KPI Scorecard and the Action Plan all recalculate.</t>
  </si>
  <si>
    <t>3. Read Sensitivity</t>
  </si>
  <si>
    <t>Shows staffing and margin at seven occupancy levels side by side without touching Inputs.</t>
  </si>
  <si>
    <t>4. Everything else</t>
  </si>
  <si>
    <t>Reported KPIs come from the uploaded operating reports and do not move with occupancy. Each row on the scorecard says which it is.</t>
  </si>
  <si>
    <t>MOCKUP - ILLUSTRATIVE OUTPUT. Whitefield Commons is a fictional community and every community-specific value in this workbook is fabricated sample data. The KPI set, benchmark targets and their published sources, the Michigan LARA and CMS regulatory references, the staffing rules and the report structure are all real.</t>
  </si>
  <si>
    <t>Advantedge Operations - A VMP Systems product - Prepared by Rob Clark</t>
  </si>
  <si>
    <t>Executive Summary</t>
  </si>
  <si>
    <t>Whitefield Commons - trailing twelve months ended 2026-08-31. Every required report and manual entry was received. Figures marked model-linked below move with the occupancy set on Inputs; everything else is the reported trailing-twelve-month result.</t>
  </si>
  <si>
    <t>Campus occupancy</t>
  </si>
  <si>
    <t>Recommended FTE</t>
  </si>
  <si>
    <t>Staffing variance</t>
  </si>
  <si>
    <t>Operating margin</t>
  </si>
  <si>
    <t>Labour % of revenue</t>
  </si>
  <si>
    <t>Measures below</t>
  </si>
  <si>
    <t>of 280 units and beds</t>
  </si>
  <si>
    <t>at this occupancy</t>
  </si>
  <si>
    <t>vs current headcount</t>
  </si>
  <si>
    <t>CCRC benchmark 22.8%</t>
  </si>
  <si>
    <t>CCRC benchmark 40%</t>
  </si>
  <si>
    <t>of 115 in scope</t>
  </si>
  <si>
    <t>What the model says</t>
  </si>
  <si>
    <t>1</t>
  </si>
  <si>
    <t>The community is staffed for roughly 80% occupancy and running at 92%.</t>
  </si>
  <si>
    <t>Current headcount of 159.5 FTE is almost exactly what the model recommends at 80% occupancy. At the occupancy actually being run it is about 15 FTE short, and the shortfall is concentrated in direct care. That is the cleanest explanation available for agency at 9.4% and overtime at 7.2%: the building is carrying 92% census on an 80% staffing plan, and buying the difference at premium rates.</t>
  </si>
  <si>
    <t>2</t>
  </si>
  <si>
    <t>Occupancy is the lever, and the model prices it.</t>
  </si>
  <si>
    <t>The Sensitivity sheet runs the same model from 75% to 100%. Recommended FTE moves about 32 positions across that range while operating margin moves roughly nine points, because fixed campus expense and the occupancy-invariant roles do not follow census. Filling units is worth considerably more than trimming staff.</t>
  </si>
  <si>
    <t>3</t>
  </si>
  <si>
    <t>Labour is above benchmark at every occupancy the model runs.</t>
  </si>
  <si>
    <t>Labour lands near 49% of revenue at recommended staffing and does not reach the 40% CCRC benchmark even at full occupancy. That is a structural consequence of a 52-bed skilled centre inside a 280-unit campus, not a scheduling failure - but agency at 9.4% and overtime at 7.2% are the controllable part of it.</t>
  </si>
  <si>
    <t>4</t>
  </si>
  <si>
    <t>Seventeen open positions are the root of four separate findings.</t>
  </si>
  <si>
    <t>Vacancy 8.9%, time to fill 58 days, agency 9.4%, overtime 7.2%, frontline turnover 58.9%. The same gap drives the CMS staffing domain, the labour percentage, and the direct-care variance in the staffing model.</t>
  </si>
  <si>
    <t>5</t>
  </si>
  <si>
    <t>The skilled centre sits at three stars with the fixable domain underperforming.</t>
  </si>
  <si>
    <t>Health inspection is two stars and lags by survey cycle. Staffing is three. Weekend HPRD at 2.714 against a weekday 3.452 is the single largest recoverable gap, and it needs scheduling rather than hiring.</t>
  </si>
  <si>
    <t>6</t>
  </si>
  <si>
    <t>Preventive maintenance is being deferred into capital.</t>
  </si>
  <si>
    <t>PM completion 81.2% against a 90% standard, 19 days average overdue, on a 1994 campus with average age of plant at 14.8 years. Life safety is clean, so this is economics rather than compliance - for now.</t>
  </si>
  <si>
    <t>Scorecard rollup - live</t>
  </si>
  <si>
    <t>Result</t>
  </si>
  <si>
    <t>Count</t>
  </si>
  <si>
    <t>Share of scored</t>
  </si>
  <si>
    <t>On benchmark</t>
  </si>
  <si>
    <t>Watch</t>
  </si>
  <si>
    <t>Below benchmark</t>
  </si>
  <si>
    <t>Informational</t>
  </si>
  <si>
    <t>n/a</t>
  </si>
  <si>
    <t>CMS-fetched</t>
  </si>
  <si>
    <t>Total measures in scope</t>
  </si>
  <si>
    <t>Counts recompute from the scorecard, so the model-linked financial measures move the rollup when occupancy changes.</t>
  </si>
  <si>
    <t>Inputs - the control panel</t>
  </si>
  <si>
    <t>Every shaded cell is editable. Nothing else in this workbook is typed in; the rest is formula. Occupancy on row 12 is the headline driver.</t>
  </si>
  <si>
    <t>Care levels and capacity</t>
  </si>
  <si>
    <t>IL</t>
  </si>
  <si>
    <t>AL</t>
  </si>
  <si>
    <t>MC</t>
  </si>
  <si>
    <t>SNF</t>
  </si>
  <si>
    <t>Note</t>
  </si>
  <si>
    <t>Care level offered?</t>
  </si>
  <si>
    <t>Yes</t>
  </si>
  <si>
    <t>Set to No to drop a level. Scorecard scope follows.</t>
  </si>
  <si>
    <t>Capacity (units / beds)</t>
  </si>
  <si>
    <t>Licensed or built capacity</t>
  </si>
  <si>
    <t>Gross square feet</t>
  </si>
  <si>
    <t>Drives housekeeping and plant</t>
  </si>
  <si>
    <t>Occupancy - the driver</t>
  </si>
  <si>
    <t>OCCUPANCY %</t>
  </si>
  <si>
    <t>CHANGE THESE. Everything downstream follows.</t>
  </si>
  <si>
    <t>Occupied units / census</t>
  </si>
  <si>
    <t>Computed - rounded to whole residents</t>
  </si>
  <si>
    <t>SNF short-stay share of census</t>
  </si>
  <si>
    <t>Splits SNF census into rehab and long-term care</t>
  </si>
  <si>
    <t>SNF short-stay census</t>
  </si>
  <si>
    <t>Computed</t>
  </si>
  <si>
    <t>SNF long-term-care census</t>
  </si>
  <si>
    <t>Total capacity</t>
  </si>
  <si>
    <t>Total occupied</t>
  </si>
  <si>
    <t>Campus structure</t>
  </si>
  <si>
    <t>CCRC / Life Plan registered?</t>
  </si>
  <si>
    <t>Turns on entity measures, security post and foundation role</t>
  </si>
  <si>
    <t>Ownership model</t>
  </si>
  <si>
    <t>Standalone</t>
  </si>
  <si>
    <t>System centralises HR off-site</t>
  </si>
  <si>
    <t>Tax status</t>
  </si>
  <si>
    <t>Nonprofit</t>
  </si>
  <si>
    <t>Drives the foundation / giving role</t>
  </si>
  <si>
    <t>Campus configuration</t>
  </si>
  <si>
    <t>Single</t>
  </si>
  <si>
    <t>Single or Multi-building</t>
  </si>
  <si>
    <t>Optional security (non-CCRC)</t>
  </si>
  <si>
    <t>No</t>
  </si>
  <si>
    <t>Only applies when not CCRC registered</t>
  </si>
  <si>
    <t>Total employees (headcount)</t>
  </si>
  <si>
    <t>Drives HR ratio and employee dining</t>
  </si>
  <si>
    <t>Revenue and expense assumptions</t>
  </si>
  <si>
    <t>Rate (IL/AL/MC per month, SNF per day)</t>
  </si>
  <si>
    <t>Blended achieved rate net of concessions</t>
  </si>
  <si>
    <t>Non-labour opex per occupied unit (mo) / per patient day</t>
  </si>
  <si>
    <t>Dining food, supplies, variable utilities</t>
  </si>
  <si>
    <t>Fixed campus opex (annual)</t>
  </si>
  <si>
    <t>Insurance, property, admin, base utilities - does not move with census</t>
  </si>
  <si>
    <t>Benefit / tax burden on wages</t>
  </si>
  <si>
    <t>Applied to every wage below</t>
  </si>
  <si>
    <t>Staffing drivers - direct care</t>
  </si>
  <si>
    <t>Three-shift ratios (residents per caregiver)</t>
  </si>
  <si>
    <t>CNA / aide - day shift</t>
  </si>
  <si>
    <t>SBC default AL 12 / MC 8 / SNF 8</t>
  </si>
  <si>
    <t>CNA / aide - evening shift</t>
  </si>
  <si>
    <t>CNA / aide - night shift</t>
  </si>
  <si>
    <t>Nurse / med aide - day shift</t>
  </si>
  <si>
    <t>SBC default AL/MC 30 / SNF 20</t>
  </si>
  <si>
    <t>Nurse / med aide - evening shift</t>
  </si>
  <si>
    <t>Nurse / med aide - night shift</t>
  </si>
  <si>
    <t>Minimum staff on night shift</t>
  </si>
  <si>
    <t>Michigan HFA requires awake staff 24/7. Set 0 to remove the floor.</t>
  </si>
  <si>
    <t>Staffing drivers - support services</t>
  </si>
  <si>
    <t>Meals per resident per day</t>
  </si>
  <si>
    <t>IL 1.0 for a Type B one-meal plan. Set 3.0 for a full plan.</t>
  </si>
  <si>
    <t>Target meals per labour hour</t>
  </si>
  <si>
    <t>Lower MPLH = more labour-intensive service</t>
  </si>
  <si>
    <t>Housekeeping square feet per FTE</t>
  </si>
  <si>
    <t>Laundry lbs per resident per week</t>
  </si>
  <si>
    <t>SNF blended short-stay and long-term care</t>
  </si>
  <si>
    <t>Laundry processing rate (lbs per hour)</t>
  </si>
  <si>
    <t>SBC constant</t>
  </si>
  <si>
    <t>Plant ops square feet per FTE</t>
  </si>
  <si>
    <t>Grounds are outsourced and excluded</t>
  </si>
  <si>
    <t>Wages - loaded cost is wage x 2,080 x (1 + burden)</t>
  </si>
  <si>
    <t>Position</t>
  </si>
  <si>
    <t>Hourly wage</t>
  </si>
  <si>
    <t>Loaded / yr</t>
  </si>
  <si>
    <t>Executive Director / NHA</t>
  </si>
  <si>
    <t>BLS OEWS, Grand Rapids-Kentwood MSA</t>
  </si>
  <si>
    <t>Associate ED</t>
  </si>
  <si>
    <t>Business office</t>
  </si>
  <si>
    <t>Concierge / front desk</t>
  </si>
  <si>
    <t>Sales / marketing</t>
  </si>
  <si>
    <t>Program director</t>
  </si>
  <si>
    <t>Dining</t>
  </si>
  <si>
    <t>Plant operations</t>
  </si>
  <si>
    <t>DON / care manager</t>
  </si>
  <si>
    <t>Human resources</t>
  </si>
  <si>
    <t>Activities / life enrichment</t>
  </si>
  <si>
    <t>Social services</t>
  </si>
  <si>
    <t>Housekeeping</t>
  </si>
  <si>
    <t>Laundry</t>
  </si>
  <si>
    <t>Transport</t>
  </si>
  <si>
    <t>Security</t>
  </si>
  <si>
    <t>Foundation / giving</t>
  </si>
  <si>
    <t>CNA / aide</t>
  </si>
  <si>
    <t>Nurse / med aide</t>
  </si>
  <si>
    <t>Shift supervisor</t>
  </si>
  <si>
    <t>MDS coordinator</t>
  </si>
  <si>
    <t>Wage medians benchmark to BLS OEWS for the community's MSA. Replace them with the community's own average hourly rate by role from the payroll report for a precise cost read.</t>
  </si>
  <si>
    <t>Other model constants</t>
  </si>
  <si>
    <t>Security coverage FTE when staffed</t>
  </si>
  <si>
    <t>Coverage schedule / 2,080. Gated on CCRC registration or optional security.</t>
  </si>
  <si>
    <t>Employee meals per employee per day</t>
  </si>
  <si>
    <t>Drives the employee dining role</t>
  </si>
  <si>
    <t>Employee dining MPLH</t>
  </si>
  <si>
    <t>Hours per FTE per year</t>
  </si>
  <si>
    <t>Raw food share of non-labour variable expense</t>
  </si>
  <si>
    <t>Splits out raw food so dining cost per resident day can be scored</t>
  </si>
  <si>
    <t>Current staffing - from the payroll report</t>
  </si>
  <si>
    <t>Current FTE</t>
  </si>
  <si>
    <t>Executive Director / SNF Administrator (NHA)</t>
  </si>
  <si>
    <t>Business office / billing</t>
  </si>
  <si>
    <t>Sales / marketing / admissions</t>
  </si>
  <si>
    <t>DON / head nurse / care manager</t>
  </si>
  <si>
    <t>Dining - employee meals</t>
  </si>
  <si>
    <t>Specialty / GCM</t>
  </si>
  <si>
    <t>Total current FTE</t>
  </si>
  <si>
    <t>Current FTE comes from the payroll / turnover report on Screen 09. The staffing model compares its own recommendation against these figures and prices the gap at the wages above.</t>
  </si>
  <si>
    <t>Occupancy Sensitivity</t>
  </si>
  <si>
    <t>The same staffing and financial model run at seven occupancy levels. Row 6 is the only input on this sheet - change any percentage and that column recalculates. Occupancy is applied uniformly to every care level here; the Inputs sheet lets you set each level separately.</t>
  </si>
  <si>
    <t>Occupancy applied to every care level</t>
  </si>
  <si>
    <t>Editable</t>
  </si>
  <si>
    <t>Census at each occupancy</t>
  </si>
  <si>
    <t>IL occupied</t>
  </si>
  <si>
    <t>AL occupied</t>
  </si>
  <si>
    <t>MC occupied</t>
  </si>
  <si>
    <t>SNF census</t>
  </si>
  <si>
    <t>Total residents</t>
  </si>
  <si>
    <t>Recommended staffing (FTE)</t>
  </si>
  <si>
    <t>Three-shift ratio model</t>
  </si>
  <si>
    <t>Occupancy-invariant roles</t>
  </si>
  <si>
    <t>ED, sales, plant, housekeeping, DON, security, foundation, employee dining, shift supervisor</t>
  </si>
  <si>
    <t>TOTAL recommended FTE</t>
  </si>
  <si>
    <t>Current FTE (held constant)</t>
  </si>
  <si>
    <t>Today's headcount</t>
  </si>
  <si>
    <t>Variance to current</t>
  </si>
  <si>
    <t>Negative = understaffed for that occupancy</t>
  </si>
  <si>
    <t>FTE per occupied unit</t>
  </si>
  <si>
    <t>Financial result at each occupancy</t>
  </si>
  <si>
    <t>Revenue</t>
  </si>
  <si>
    <t>Non-labour variable expense</t>
  </si>
  <si>
    <t>Fixed campus expense</t>
  </si>
  <si>
    <t>Labour at recommended staffing</t>
  </si>
  <si>
    <t>Recommended FTE at the blended loaded cost per FTE</t>
  </si>
  <si>
    <t>Net operating income</t>
  </si>
  <si>
    <t>Labour as % of revenue</t>
  </si>
  <si>
    <t>Read across: revenue rises faster than cost because fixed campus expense and the occupancy-invariant roles do not move with census. That spread is the entire economic case for filling units, and it is why the margin line steepens as occupancy climbs.</t>
  </si>
  <si>
    <t>Labour here is priced at the blended loaded cost per recommended FTE from the Staffing Model sheet, rather than position by position, so it will differ by a small amount from the Financials sheet where every role carries its own wage.</t>
  </si>
  <si>
    <t>Staffing Model</t>
  </si>
  <si>
    <t>Recommended FTE computed live from the occupancy on the Inputs sheet. Change occupancy there and every figure on this sheet moves. Ratios, meals per labour hour, square feet per FTE and the night-shift floor are all editable on Inputs.</t>
  </si>
  <si>
    <t>Campus</t>
  </si>
  <si>
    <t>Model FTE</t>
  </si>
  <si>
    <t>Current</t>
  </si>
  <si>
    <t>Variance</t>
  </si>
  <si>
    <t>Cost of gap</t>
  </si>
  <si>
    <t>Driver</t>
  </si>
  <si>
    <t>Model labour $</t>
  </si>
  <si>
    <t>Current labour $</t>
  </si>
  <si>
    <t>Campus ED plus a dedicated NHA unless CCRC consolidation applies</t>
  </si>
  <si>
    <t>Fires above 200 total census</t>
  </si>
  <si>
    <t>0.5% of occupancy per level; SNF binary</t>
  </si>
  <si>
    <t>IL desk is 24/7 cover at 4.2 FTE</t>
  </si>
  <si>
    <t>Driven by CAPACITY not occupancy - sized to build census</t>
  </si>
  <si>
    <t>Model default 0 - manual role</t>
  </si>
  <si>
    <t>Annual meals / MPLH / hours per FTE</t>
  </si>
  <si>
    <t>Campus square feet per FTE; grounds outsourced</t>
  </si>
  <si>
    <t>One care director covers AL+MC; SNF keeps its own DON</t>
  </si>
  <si>
    <t>Headcount driven; excludes itself from its own base</t>
  </si>
  <si>
    <t>Floors of 1.4 keep programming alive in small levels</t>
  </si>
  <si>
    <t>Short-stay weighted heavier than long-term care</t>
  </si>
  <si>
    <t>Square-foot driven - does not move with occupancy</t>
  </si>
  <si>
    <t>Pounds per resident week at the processing rate</t>
  </si>
  <si>
    <t>Scales with IL residents</t>
  </si>
  <si>
    <t>CCRC registration turns the post on</t>
  </si>
  <si>
    <t>Nonprofit CCRC only</t>
  </si>
  <si>
    <t>Employee meal volume at its own MPLH</t>
  </si>
  <si>
    <t>Non-direct care subtotal</t>
  </si>
  <si>
    <t>Direct care</t>
  </si>
  <si>
    <t>Three-shift ratio model with the night floor from Inputs</t>
  </si>
  <si>
    <t>Minimum one nurse per shift at any occupied level</t>
  </si>
  <si>
    <t>24/7 SNF shift supervision</t>
  </si>
  <si>
    <t>Short-stay weighted heavier; gated on any SNF census</t>
  </si>
  <si>
    <t>Direct care subtotal</t>
  </si>
  <si>
    <t>TOTAL - all positions</t>
  </si>
  <si>
    <t>Model labour is the recommended pattern at the selected occupancy. Current labour holds today's FTE constant at the same wages, so the two diverge as occupancy moves.</t>
  </si>
  <si>
    <t>Financial Model</t>
  </si>
  <si>
    <t>A pro forma at the occupancy selected on Inputs. Revenue and variable expense move with census; fixed campus expense does not. Labour is shown twice - at the staffing the model recommends for this occupancy, and at today's headcount held constant.</t>
  </si>
  <si>
    <t>Line</t>
  </si>
  <si>
    <t>Total</t>
  </si>
  <si>
    <t>Basis</t>
  </si>
  <si>
    <t>Resident revenue</t>
  </si>
  <si>
    <t>Occupied x rate. SNF is per patient day.</t>
  </si>
  <si>
    <t>Operating expense</t>
  </si>
  <si>
    <t>Food, supplies, variable utilities - moves with census</t>
  </si>
  <si>
    <t>Insurance, property, admin, base utilities</t>
  </si>
  <si>
    <t>Labour - at model staffing</t>
  </si>
  <si>
    <t>Recommended FTE at this occupancy x loaded wage</t>
  </si>
  <si>
    <t>Labour - at current staffing</t>
  </si>
  <si>
    <t>Today's FTE held constant - shown for comparison</t>
  </si>
  <si>
    <t>At model staffing</t>
  </si>
  <si>
    <t>At current staffing</t>
  </si>
  <si>
    <t>Total operating expense</t>
  </si>
  <si>
    <t>Revenue per occupied unit / month</t>
  </si>
  <si>
    <t>Operating expense per occupied unit / month</t>
  </si>
  <si>
    <t>Benchmarks: CCRC operating margin 22.8% and labour 40% of revenue (SOSH 2025 / CARF 2024 medians). Revenue and expense per occupied unit benchmark to the SOSH segment tables. The scorecard scores these automatically.</t>
  </si>
  <si>
    <t>KPI Scorecard - Operations KPI Catalog v9</t>
  </si>
  <si>
    <t>All 115 measures, scoped to the care levels selected on Inputs. Model-linked rows recompute when you change occupancy. Reported rows come from the uploaded operating reports and hold still. CMS rows are fetched from Care Compare.</t>
  </si>
  <si>
    <t>Code</t>
  </si>
  <si>
    <t>Measure</t>
  </si>
  <si>
    <t>Scope</t>
  </si>
  <si>
    <t>Value</t>
  </si>
  <si>
    <t>Status</t>
  </si>
  <si>
    <t>Benchmark / target</t>
  </si>
  <si>
    <t>Benchmark source</t>
  </si>
  <si>
    <t>Intake screen</t>
  </si>
  <si>
    <t>Department</t>
  </si>
  <si>
    <t>Operations  (8)</t>
  </si>
  <si>
    <t>OPS-01</t>
  </si>
  <si>
    <t>Occupancy Rate by Care Level</t>
  </si>
  <si>
    <t>IL/AL/MC/SNF</t>
  </si>
  <si>
    <t>Model-linked</t>
  </si>
  <si>
    <t>IL 87.8% | AL 89.9% | MC 86.0% | CCRC 90.6% | SNF 79.2% (CARF 2024)</t>
  </si>
  <si>
    <t>SOSH 2025 Table 2.7 (IL/AL/MC/CCRC); CARF 2025 Occupancy Trends (SNF)</t>
  </si>
  <si>
    <t>Census / occupancy report (Screen 09)</t>
  </si>
  <si>
    <t>Operations</t>
  </si>
  <si>
    <t>OPS-02</t>
  </si>
  <si>
    <t>Net Census Change</t>
  </si>
  <si>
    <t>+9 units over T-12</t>
  </si>
  <si>
    <t>Reported</t>
  </si>
  <si>
    <t>Directional. Sector occupancy has risen ~0.5-0.7 pp/qtr for 17+ quarters; net decline against a rising market is the flag</t>
  </si>
  <si>
    <t>Rob Clark - internal standard</t>
  </si>
  <si>
    <t>OPS-03</t>
  </si>
  <si>
    <t>Annual Resident Turnover by Care Level</t>
  </si>
  <si>
    <t>IL/AL/MC</t>
  </si>
  <si>
    <t>IL 21.4% | AL 46.2% | MC 61.5%</t>
  </si>
  <si>
    <t>IL 44.3% | AL 48.1% | MC 64.7% | CCRC 15.6%</t>
  </si>
  <si>
    <t>SOSH 2025 Table 2.15</t>
  </si>
  <si>
    <t>OPS-04</t>
  </si>
  <si>
    <t>Average Length of Stay by Care Level</t>
  </si>
  <si>
    <t>IL 4.7 yr | AL 2.2 yr | MC 1.6 yr | SNF 31 d</t>
  </si>
  <si>
    <t>Derived from SOSH turnover: IL ~2.3 yr | AL ~2.1 yr | MC ~1.5 yr. SNF Medicare LOS on own trend</t>
  </si>
  <si>
    <t>SOSH 2025 Table 2.15 (inverse of turnover); CMS MDS (SNF)</t>
  </si>
  <si>
    <t>Census report + clinical / MDS report (Screen 09)</t>
  </si>
  <si>
    <t>OPS-05</t>
  </si>
  <si>
    <t>Resident Satisfaction Score</t>
  </si>
  <si>
    <t>88.4%</t>
  </si>
  <si>
    <t>RC 2025 target &gt;= 90%. Reference: J.D. Power 2025 IL 753/1000; Holleran Choice Award &gt; 85th percentile</t>
  </si>
  <si>
    <t>RC 2025 CCRC Benchmarks</t>
  </si>
  <si>
    <t>Manual entry (Screen 10)</t>
  </si>
  <si>
    <t>OPS-06</t>
  </si>
  <si>
    <t>Family Satisfaction Score</t>
  </si>
  <si>
    <t>86.1%</t>
  </si>
  <si>
    <t>RC 2025 target &gt;= 88%. Reference: J.D. Power 2025 AL/MC 867/1000</t>
  </si>
  <si>
    <t>OPS-07</t>
  </si>
  <si>
    <t>Reportable Incident Rate</t>
  </si>
  <si>
    <t>4.9 per 1,000 resident days</t>
  </si>
  <si>
    <t>Scored on the community's own trend. Component reference: falls 3.5-4.0 per 1,000 resident days</t>
  </si>
  <si>
    <t>Incident and grievance log (Screen 09)</t>
  </si>
  <si>
    <t>OPS-08</t>
  </si>
  <si>
    <t>Grievance Resolution Time</t>
  </si>
  <si>
    <t>11.4 day average close | 4.1 day acknowledgment</t>
  </si>
  <si>
    <t>Resolution &lt;= 30 days; acknowledgment &lt;= 5 business days</t>
  </si>
  <si>
    <t>CMS 42 CFR 483.10(j); CMS Medicare-plan 30-day grievance standard (reference)</t>
  </si>
  <si>
    <t>Sales and Marketing  (11)</t>
  </si>
  <si>
    <t>SAL-01</t>
  </si>
  <si>
    <t>Inquiries per 100 Units per Month</t>
  </si>
  <si>
    <t>IL 31 | AL 42 | MC 38</t>
  </si>
  <si>
    <t>IL 37 | AL 45 | MC 41 | Life Plan Residential 30. Urban and rural cuts available</t>
  </si>
  <si>
    <t>Aline Sales and Marketing Benchmark Report Q1 2024</t>
  </si>
  <si>
    <t>Sales / CRM report (Screen 09) + months in period (Screen 10)</t>
  </si>
  <si>
    <t>Sales and Marketing</t>
  </si>
  <si>
    <t>SAL-02</t>
  </si>
  <si>
    <t>Tours per 100 Units per Month</t>
  </si>
  <si>
    <t>IL 7 | AL 10 | MC 12</t>
  </si>
  <si>
    <t>IL 8 | AL 11 | MC 13 | Life Plan Residential 7</t>
  </si>
  <si>
    <t>Sales / CRM report (Screen 09)</t>
  </si>
  <si>
    <t>SAL-03</t>
  </si>
  <si>
    <t>Move-Ins per 100 Units per Month</t>
  </si>
  <si>
    <t>IL 2.4 | AL 4.1 | MC 6.2</t>
  </si>
  <si>
    <t>Below</t>
  </si>
  <si>
    <t>IL 3 | AL 5 | MC 7 | Life Plan Residential 2</t>
  </si>
  <si>
    <t>SAL-04</t>
  </si>
  <si>
    <t>Inquiry-to-Tour Conversion Rate</t>
  </si>
  <si>
    <t>IL 23% | AL 24% | MC 32%</t>
  </si>
  <si>
    <t>IL 28% | AL 29% | MC 36% | Life Plan Residential 29%</t>
  </si>
  <si>
    <t>SAL-05</t>
  </si>
  <si>
    <t>Tour-to-Move-In Conversion Rate</t>
  </si>
  <si>
    <t>IL 34% | AL 41% | MC 52%</t>
  </si>
  <si>
    <t>IL 34% | AL 45% | MC 58% | Life Plan Residential 31%</t>
  </si>
  <si>
    <t>SAL-06</t>
  </si>
  <si>
    <t>Inquiry Channel Mix</t>
  </si>
  <si>
    <t>Web 44% | Paid 21% | Call-in 26% | Referral 9%</t>
  </si>
  <si>
    <t>Web IL 40 / AL 43 / MC 35 / LPR 47 | Paid IL 27 / AL 32 / MC 34 / LPR 7 | Call-in IL 24 / AL 14 / MC 14 / LPR 32 | Unpaid IL 9 / AL 11 / MC 17 / LPR 14 (percent)</t>
  </si>
  <si>
    <t>SAL-07</t>
  </si>
  <si>
    <t>Inquiry-to-Tour Conversion by Channel</t>
  </si>
  <si>
    <t>Unpaid referral 58% | Call-in 47% | Web 31%</t>
  </si>
  <si>
    <t>Unpaid referral IL 61 / AL 59 / MC 61 / LPR 51 | Call-in and other IL 50 / AL 55 / MC 56 / LPR 42 | Web IL 28 / AL 28 / MC 37 / LPR 28 | Paid and aggregator IL 22 / AL 27 / MC 36 / LPR 30 (percent)</t>
  </si>
  <si>
    <t>SAL-08</t>
  </si>
  <si>
    <t>Average Rate Achieved vs Published Rate</t>
  </si>
  <si>
    <t>4.6% concessions of gross rent</t>
  </si>
  <si>
    <t>Concessions &lt; 3% of gross rent</t>
  </si>
  <si>
    <t>SOSH 2025; operator rate sheet</t>
  </si>
  <si>
    <t>Rate sheet (Screen 04) + sales / CRM report (Screen 09) + published ra</t>
  </si>
  <si>
    <t>SAL-09</t>
  </si>
  <si>
    <t>Online Reputation Score</t>
  </si>
  <si>
    <t>4.5 stars, 214 reviews, 71% response</t>
  </si>
  <si>
    <t>RC 2025 target &gt;= 4.3 stars. Practice standard 4.5+ stars, 50+ reviews, 100% response rate</t>
  </si>
  <si>
    <t>Manual entry with source platform (Screen 10)</t>
  </si>
  <si>
    <t>SAL-10</t>
  </si>
  <si>
    <t>Deposit-to-Move-In Conversion Rate</t>
  </si>
  <si>
    <t>86.2%</t>
  </si>
  <si>
    <t>80-90% deposit-to-move-in; target 85%</t>
  </si>
  <si>
    <t>RC 2025 CCRC Performance Benchmarks; Kushant Shah internal standard</t>
  </si>
  <si>
    <t>TO BE MAPPED - added from Gap Matrix v9; intake screen not yet assigne</t>
  </si>
  <si>
    <t>SAL-11</t>
  </si>
  <si>
    <t>Cost per Acquired Resident</t>
  </si>
  <si>
    <t>$4,180 per acquired resident</t>
  </si>
  <si>
    <t>Community-specific ceiling = (marketing spend at 2-3% of operating expenses) / expected annual move-ins</t>
  </si>
  <si>
    <t>RC 2025 CCRC Performance Benchmarks - CDS Best Practice Metrics 2025 (advisor material, de</t>
  </si>
  <si>
    <t>Nursing  (12)</t>
  </si>
  <si>
    <t>NUR-01</t>
  </si>
  <si>
    <t>Medication Administration Error Rate</t>
  </si>
  <si>
    <t>AL/MC/SNF</t>
  </si>
  <si>
    <t>1.6% error rate | 98.4% accuracy</t>
  </si>
  <si>
    <t>RC 2025: &gt;= 98% administration accuracy, &lt; 2% error rate</t>
  </si>
  <si>
    <t>Clinical / EHR report (Screen 09)</t>
  </si>
  <si>
    <t>Nursing</t>
  </si>
  <si>
    <t>NUR-02</t>
  </si>
  <si>
    <t>Fall Rate per 1,000 Resident Days</t>
  </si>
  <si>
    <t>AL/MC</t>
  </si>
  <si>
    <t>3.8 per 1,000 resident days</t>
  </si>
  <si>
    <t>3.5-4.0 falls per 1,000 resident days</t>
  </si>
  <si>
    <t>Clinical / EHR report + incident log (Screen 09)</t>
  </si>
  <si>
    <t>NUR-03</t>
  </si>
  <si>
    <t>Unplanned Hospital Transfer Rate</t>
  </si>
  <si>
    <t>8.9% readmission | 94% timely transitions</t>
  </si>
  <si>
    <t>RC 2025: &gt;= 95% timely transitions, &lt; 10% readmission</t>
  </si>
  <si>
    <t>RC 2025 CCRC Benchmarks (care transition efficiency)</t>
  </si>
  <si>
    <t>NUR-04</t>
  </si>
  <si>
    <t>Service Plan Reassessment Timeliness</t>
  </si>
  <si>
    <t>97.2% on time</t>
  </si>
  <si>
    <t>100% on time. Interval is state-specific and pulled from the state regulatory dataset</t>
  </si>
  <si>
    <t>State regulation (Advantedge State Regulatory Reference)</t>
  </si>
  <si>
    <t>NUR-05</t>
  </si>
  <si>
    <t>Resident Acuity and Care Tier Mix</t>
  </si>
  <si>
    <t>Tier 3+ mix up 6 pts YoY, rate flat</t>
  </si>
  <si>
    <t>Directional. Upward acuity migration without a matching rate or staffing response is the flag</t>
  </si>
  <si>
    <t>Internal trend, read against SOSH 2025 revenue per occupied unit</t>
  </si>
  <si>
    <t>Clinical / EHR report + census report (Screen 09)</t>
  </si>
  <si>
    <t>NUR-06</t>
  </si>
  <si>
    <t>New Pressure Injury Incidence, Stage 2 and Above</t>
  </si>
  <si>
    <t>1.9%</t>
  </si>
  <si>
    <t>Trend to zero; CMS SNF long-stay rate as the external reference point</t>
  </si>
  <si>
    <t>CMS long-stay pressure ulcer QM distribution used as reference</t>
  </si>
  <si>
    <t>NUR-07</t>
  </si>
  <si>
    <t>Elopement and Exit-Seeking Incidents</t>
  </si>
  <si>
    <t>2 exit-seeking events, 0 elopements</t>
  </si>
  <si>
    <t>Zero tolerance. Any event triggers review; trend scored on the community's own baseline</t>
  </si>
  <si>
    <t>State regulation; no published rate benchmark</t>
  </si>
  <si>
    <t>NUR-08</t>
  </si>
  <si>
    <t>Antipsychotic Use Rate</t>
  </si>
  <si>
    <t>12.8%</t>
  </si>
  <si>
    <t>CMS long-stay QM distribution as the external reference point</t>
  </si>
  <si>
    <t>CMS long-stay antipsychotic QM distribution used as reference</t>
  </si>
  <si>
    <t>NUR-09</t>
  </si>
  <si>
    <t>MDS Assessment Completion Timeliness</t>
  </si>
  <si>
    <t>99.1% within window</t>
  </si>
  <si>
    <t>100% transmitted within the required window</t>
  </si>
  <si>
    <t>CMS RAI Manual</t>
  </si>
  <si>
    <t>Clinical / EHR MDS report (Screen 09)</t>
  </si>
  <si>
    <t>NUR-10</t>
  </si>
  <si>
    <t>ARD and Late Assessment Rate</t>
  </si>
  <si>
    <t>1.4% late ARD</t>
  </si>
  <si>
    <t>Target 0%. Each late ARD defaults the stay to the lowest PDPM rate</t>
  </si>
  <si>
    <t>CMS RAI Manual; PDPM default rate exposure</t>
  </si>
  <si>
    <t>NUR-11</t>
  </si>
  <si>
    <t>PDPM Case Mix Index by Component</t>
  </si>
  <si>
    <t>PT 1.42 | OT 1.38 | SLP 1.19 | Nursing 1.51 | NTA 1.09</t>
  </si>
  <si>
    <t>Compare to national and state PDPM CMI distribution</t>
  </si>
  <si>
    <t>CMS FY2024 SNF PPS Final Rule nursing CMIs (ES3 3.84 down to PA1 0.62)</t>
  </si>
  <si>
    <t>NUR-12</t>
  </si>
  <si>
    <t>Care Plan Completion and Update Timeliness</t>
  </si>
  <si>
    <t>99.4%</t>
  </si>
  <si>
    <t>100%</t>
  </si>
  <si>
    <t>CMS 42 CFR 483.21 (F656)</t>
  </si>
  <si>
    <t>Finance  (12)</t>
  </si>
  <si>
    <t>FIN-01</t>
  </si>
  <si>
    <t>Community Operating Margin by Care Level</t>
  </si>
  <si>
    <t>IL 31.2% | AL 24.5% | MC 21.7% | CCRC 22.8%</t>
  </si>
  <si>
    <t>SOSH 2025 Table 3.27 (for-profit)</t>
  </si>
  <si>
    <t>T-12 P&amp;L (Screen 07) + GL (Screen 06) + chart of accounts (Screen 05)</t>
  </si>
  <si>
    <t>Finance</t>
  </si>
  <si>
    <t>FIN-02</t>
  </si>
  <si>
    <t>Entity Operating Margin and Net Operating Margin</t>
  </si>
  <si>
    <t>Entity</t>
  </si>
  <si>
    <t>CARF 2024 medians: OM 0.29% single-site / 1.00% multi-site; NOM 6.19% / 5.77%. RC 2025 target &gt;= 3%</t>
  </si>
  <si>
    <t>CARF 2025 Financial Ratios and Trend Analysis; RC 2025</t>
  </si>
  <si>
    <t>Trial balance or balance sheet (Screen 07) + T-12 P&amp;L</t>
  </si>
  <si>
    <t>FIN-03</t>
  </si>
  <si>
    <t>Revenue per Occupied Unit by Care Level</t>
  </si>
  <si>
    <t>SOSH segment median by care level. CPI toggle applies to all dollar measures</t>
  </si>
  <si>
    <t>SOSH 2025 revenue per occupied unit (CPI-adjusted); CLA 40th Annual SNF (per patient day)</t>
  </si>
  <si>
    <t>T-12 P&amp;L (Screen 07) + census report (Screen 09)</t>
  </si>
  <si>
    <t>FIN-04</t>
  </si>
  <si>
    <t>Operating Expense per Occupied Unit by Care Level</t>
  </si>
  <si>
    <t>SOSH segment median by care level. CPI toggle applies</t>
  </si>
  <si>
    <t>SOSH 2025 expense per occupied unit (CPI-adjusted); CLA 40th Annual SNF</t>
  </si>
  <si>
    <t>GL (Screen 06) + chart of accounts (Screen 05) + census report</t>
  </si>
  <si>
    <t>FIN-05</t>
  </si>
  <si>
    <t>Labor Cost as Percent of Revenue</t>
  </si>
  <si>
    <t>IL 28% | AL 39% | AL/MC 46% | CCRC 40%</t>
  </si>
  <si>
    <t>SOSH 2025 Tables 3.1-3.7</t>
  </si>
  <si>
    <t>GL (Screen 06) + T-12 P&amp;L (Screen 07)</t>
  </si>
  <si>
    <t>FIN-06</t>
  </si>
  <si>
    <t>Payer Mix by Care Level</t>
  </si>
  <si>
    <t>SNF: Medicaid 54% | Medicare A 18% | MA 14% | Private 14%</t>
  </si>
  <si>
    <t>SNF: Medicaid ~62.2%, Medicare FFS ~7.8%, other including Medicare Advantage ~30%. IL and AL predominantly private pay, with state Medicaid waiver share where applicable</t>
  </si>
  <si>
    <t>CLA 40th Annual SNF (approx 11,700 Medicare cost reports); SOSH 2025</t>
  </si>
  <si>
    <t>Census report (Screen 09) + billing / AR detail</t>
  </si>
  <si>
    <t>FIN-07</t>
  </si>
  <si>
    <t>Days in Accounts Receivable</t>
  </si>
  <si>
    <t>38.4 days</t>
  </si>
  <si>
    <t>CARF 2024 medians: 14 days single-site, 18 days multi-site. Under 30 days desired</t>
  </si>
  <si>
    <t>CARF 2025 Financial Ratios and Trend Analysis</t>
  </si>
  <si>
    <t>FIN-08</t>
  </si>
  <si>
    <t>Days Cash on Hand</t>
  </si>
  <si>
    <t>168 days</t>
  </si>
  <si>
    <t>CARF 2024 medians: 437 days single-site, 291 days multi-site. RC 2025 target &gt;= 180 days, 120 minimum</t>
  </si>
  <si>
    <t>CARF 2025; RC 2025</t>
  </si>
  <si>
    <t>Trial balance or balance sheet (Screen 07)</t>
  </si>
  <si>
    <t>FIN-09</t>
  </si>
  <si>
    <t>Debt Service Coverage Ratio</t>
  </si>
  <si>
    <t>1.41x</t>
  </si>
  <si>
    <t>CARF 2024 medians: 3.00x single-site, 2.77x multi-site. RC 2025 target &gt;= 1.25x. Typical bond covenant minimum 1.20x</t>
  </si>
  <si>
    <t>Debt schedule (Screen 08) + trial balance (Screen 07)</t>
  </si>
  <si>
    <t>FIN-10</t>
  </si>
  <si>
    <t>Entrance Fee Refund Liability Funding</t>
  </si>
  <si>
    <t>Refund liability $6.1M | funded 78%</t>
  </si>
  <si>
    <t>RC 2025: &gt;= 90% funded on an actuarial basis, or 100% funded</t>
  </si>
  <si>
    <t>Trial balance (Screen 07) + residency agreements (Screen 04)</t>
  </si>
  <si>
    <t>FIN-11</t>
  </si>
  <si>
    <t>Accounts Receivable Aging (Percent Over 90 Days)</t>
  </si>
  <si>
    <t>14.1% over 90 days</t>
  </si>
  <si>
    <t>No more than 15% of total A/R aged over 90 days</t>
  </si>
  <si>
    <t>Kushant Shah internal standard</t>
  </si>
  <si>
    <t>FIN-12</t>
  </si>
  <si>
    <t>Bad Debt and Write-Off Rate</t>
  </si>
  <si>
    <t>0.9%</t>
  </si>
  <si>
    <t>Write-offs below 1.5% of total operating revenue</t>
  </si>
  <si>
    <t>Human Resources  (11)</t>
  </si>
  <si>
    <t>HR-01</t>
  </si>
  <si>
    <t>Total Staff Turnover Rate</t>
  </si>
  <si>
    <t>51.4%</t>
  </si>
  <si>
    <t>RC 2025 target &lt; 20% overall. Market reference: HCS 2024 SNF ~53.9%</t>
  </si>
  <si>
    <t>Payroll / turnover report (Screen 09)</t>
  </si>
  <si>
    <t>Human Resources</t>
  </si>
  <si>
    <t>HR-02</t>
  </si>
  <si>
    <t>Frontline and Direct Care Turnover Rate</t>
  </si>
  <si>
    <t>58.9% frontline</t>
  </si>
  <si>
    <t>RC 2025 target &lt; 35% frontline. Market reference: HCS 2024 CNA ~40%, AL resident assistant ~44%</t>
  </si>
  <si>
    <t>HR-03</t>
  </si>
  <si>
    <t>90-Day New Hire Retention Rate</t>
  </si>
  <si>
    <t>71.8%</t>
  </si>
  <si>
    <t>&gt; 80%</t>
  </si>
  <si>
    <t>HR-04</t>
  </si>
  <si>
    <t>Position Vacancy Rate</t>
  </si>
  <si>
    <t>8.9% | 17 open positions</t>
  </si>
  <si>
    <t>&lt; 5% of approved positions</t>
  </si>
  <si>
    <t>Payroll report (Screen 09) + org chart (Screen 04)</t>
  </si>
  <si>
    <t>HR-05</t>
  </si>
  <si>
    <t>Agency and Contract Labor as Percent of Labor</t>
  </si>
  <si>
    <t>9.4% of labour</t>
  </si>
  <si>
    <t>&lt; 5% of hours and &lt; 5% of labor cost</t>
  </si>
  <si>
    <t>SOSH 2025</t>
  </si>
  <si>
    <t>Payroll report (Screen 09) + GL (Screen 06)</t>
  </si>
  <si>
    <t>HR-06</t>
  </si>
  <si>
    <t>Overtime Rate</t>
  </si>
  <si>
    <t>7.2%</t>
  </si>
  <si>
    <t>&lt; 5% of total hours</t>
  </si>
  <si>
    <t>Payroll report (Screen 09)</t>
  </si>
  <si>
    <t>HR-07</t>
  </si>
  <si>
    <t>Absenteeism and Call-Off Rate</t>
  </si>
  <si>
    <t>4.2%</t>
  </si>
  <si>
    <t>&lt; 3-4% unscheduled absence</t>
  </si>
  <si>
    <t>HR-08</t>
  </si>
  <si>
    <t>Employee Engagement and Satisfaction Score</t>
  </si>
  <si>
    <t>3.6 / 5.0</t>
  </si>
  <si>
    <t>RC 2025 target &gt;= 85%. Reference: Holleran Choice Award &gt; 85th percentile</t>
  </si>
  <si>
    <t>HR-09</t>
  </si>
  <si>
    <t>Mandatory Training Completion Rate and Hours</t>
  </si>
  <si>
    <t>98.6% | 14.2 hrs per FTE</t>
  </si>
  <si>
    <t>100% on-time completion. RC 2025: &gt;= 24 hours clinical, &gt;= 16 hours non-clinical per year</t>
  </si>
  <si>
    <t>RC 2025 CCRC Benchmarks; state and federal regulation</t>
  </si>
  <si>
    <t>Payroll / LMS report (Screen 09)</t>
  </si>
  <si>
    <t>HR-10</t>
  </si>
  <si>
    <t>Workers Compensation Cost as Percent of Wages</t>
  </si>
  <si>
    <t>2.4% of wages</t>
  </si>
  <si>
    <t>Average 2.2% of wages (published range 0.1-13.1%)</t>
  </si>
  <si>
    <t>SOSH 2025 Tables 3.20-3.21</t>
  </si>
  <si>
    <t>GL (Screen 06) + payroll report (Screen 09)</t>
  </si>
  <si>
    <t>HR-11</t>
  </si>
  <si>
    <t>Time to Fill</t>
  </si>
  <si>
    <t>58 days</t>
  </si>
  <si>
    <t>30-45 days to fill clinical roles; target 45; flag above 60</t>
  </si>
  <si>
    <t>RC 2025 CCRC Performance Benchmarks (advisor internal standard)</t>
  </si>
  <si>
    <t>Plant and Maintenance  (10)</t>
  </si>
  <si>
    <t>PLT-01</t>
  </si>
  <si>
    <t>Work Orders per Resident Unit</t>
  </si>
  <si>
    <t>0.71 work orders per unit per month</t>
  </si>
  <si>
    <t>18 total per resident unit: 13 ad hoc, 5 preventive</t>
  </si>
  <si>
    <t>Siemens / Brightly Senior Living Maintenance Benchmarks (1,000+ organizations)</t>
  </si>
  <si>
    <t>Plant / maintenance report (Screen 09)</t>
  </si>
  <si>
    <t>Plant and Maintenance</t>
  </si>
  <si>
    <t>PLT-02</t>
  </si>
  <si>
    <t>Work Order On-Time Completion Rate</t>
  </si>
  <si>
    <t>86.4% on time</t>
  </si>
  <si>
    <t>76% completed on time</t>
  </si>
  <si>
    <t>Siemens / Brightly Senior Living Maintenance Benchmarks</t>
  </si>
  <si>
    <t>PLT-03</t>
  </si>
  <si>
    <t>Maintenance Labor Hours per Resident Unit</t>
  </si>
  <si>
    <t>0.42 labour hours per unit per month</t>
  </si>
  <si>
    <t>14 hours per resident unit: 9 ad hoc, 5 preventive</t>
  </si>
  <si>
    <t>PLT-04</t>
  </si>
  <si>
    <t>Average Days Overdue</t>
  </si>
  <si>
    <t>19 days average overdue</t>
  </si>
  <si>
    <t>3.4 days overall: PM 5.6 days, ad hoc 2.4 days</t>
  </si>
  <si>
    <t>PLT-05</t>
  </si>
  <si>
    <t>Average Days Open per Work Order</t>
  </si>
  <si>
    <t>9.4 days average open</t>
  </si>
  <si>
    <t>3.8 days open</t>
  </si>
  <si>
    <t>PLT-06</t>
  </si>
  <si>
    <t>Resident Billings per Resident Unit</t>
  </si>
  <si>
    <t>$14.20 per unit per month</t>
  </si>
  <si>
    <t>$18 per resident unit</t>
  </si>
  <si>
    <t>Plant / maintenance report (Screen 09) + GL (Screen 06)</t>
  </si>
  <si>
    <t>PLT-07</t>
  </si>
  <si>
    <t>Preventive Maintenance Completion Rate</t>
  </si>
  <si>
    <t>81.2%</t>
  </si>
  <si>
    <t>&gt; 90% on-time. PM should hold about 28% of total work order volume</t>
  </si>
  <si>
    <t>Siemens / Brightly (PM = 5 of 18 work orders, about 28% of volume)</t>
  </si>
  <si>
    <t>PLT-08</t>
  </si>
  <si>
    <t>Life Safety and Fire Inspection Deficiencies</t>
  </si>
  <si>
    <t>0 open life-safety deficiencies</t>
  </si>
  <si>
    <t>Zero open deficiencies; 100% cleared within the required window</t>
  </si>
  <si>
    <t>CMS Life Safety Code survey (SNF, from the PDC Survey Summary file); state fire marshal in</t>
  </si>
  <si>
    <t>Fire marshal reports (Screen 11, always manual); CMS LSC data for SNF</t>
  </si>
  <si>
    <t>PLT-09</t>
  </si>
  <si>
    <t>Average Age of Plant</t>
  </si>
  <si>
    <t>14.8 years</t>
  </si>
  <si>
    <t>CARF 2024 medians: 11.77 years single-site, 11.87 years multi-site. Rising age signals underinvestment</t>
  </si>
  <si>
    <t>PLT-10</t>
  </si>
  <si>
    <t>Energy Use Intensity</t>
  </si>
  <si>
    <t>198 kBtu per square foot</t>
  </si>
  <si>
    <t>Median site EUI approximately 214 kBtu per square foot. ENERGY STAR score &gt;= 75 is top quartile</t>
  </si>
  <si>
    <t>EPA ENERGY STAR Portfolio Manager, Senior Care Communities DataTrends</t>
  </si>
  <si>
    <t>GL utility accounts (Screen 06) + gross building area (Screen 10)</t>
  </si>
  <si>
    <t>Life Enrichment  (6)</t>
  </si>
  <si>
    <t>LE-01</t>
  </si>
  <si>
    <t>Weekly Resident Participation Rate</t>
  </si>
  <si>
    <t>78.9%</t>
  </si>
  <si>
    <t>&gt; 80% weekly participation</t>
  </si>
  <si>
    <t>Life enrichment / activity participation report (Screen 09)</t>
  </si>
  <si>
    <t>Life Enrichment</t>
  </si>
  <si>
    <t>LE-02</t>
  </si>
  <si>
    <t>Programs Offered per Resident per Week</t>
  </si>
  <si>
    <t>11.4 programs per resident per week</t>
  </si>
  <si>
    <t>Directional. Offering volume read against LE-01 participation is what identifies programming fit rather than programming quantity</t>
  </si>
  <si>
    <t xml:space="preserve">Activity calendar (Screen 04) + activity participation report (Screen </t>
  </si>
  <si>
    <t>LE-03</t>
  </si>
  <si>
    <t>Programming Satisfaction Score</t>
  </si>
  <si>
    <t>&gt; 85% favorable. RC 2025 resident satisfaction target &gt;= 90%</t>
  </si>
  <si>
    <t>RC 2025 resident experience; industry surveys</t>
  </si>
  <si>
    <t>LE-04</t>
  </si>
  <si>
    <t>Resident Technology Engagement Rate</t>
  </si>
  <si>
    <t>64.1% of occupied units</t>
  </si>
  <si>
    <t>&gt;= 90% resident technology use</t>
  </si>
  <si>
    <t>Resident engagement system report (Screen 02 system inventory drives t</t>
  </si>
  <si>
    <t>LE-05</t>
  </si>
  <si>
    <t>Participation Mix by Wellness Dimension</t>
  </si>
  <si>
    <t>Physical 26% | Social 31% | Cognitive 18% | Spiritual 12% | Creative 13%</t>
  </si>
  <si>
    <t>Balanced coverage across dimensions; no dimension at zero</t>
  </si>
  <si>
    <t>LE-06</t>
  </si>
  <si>
    <t>Life Enrichment Programming Coverage</t>
  </si>
  <si>
    <t>7-day coverage | 2 of 7 evenings | MC weekend 1.5 hrs/day</t>
  </si>
  <si>
    <t>Minimum 8 hours per day, 7 days per week</t>
  </si>
  <si>
    <t>TO BE MAPPED - added from an owner ruling 22 Sep 2026; intake screen n</t>
  </si>
  <si>
    <t>Dining Services  (9)</t>
  </si>
  <si>
    <t>DIN-01</t>
  </si>
  <si>
    <t>Raw Food Cost per Resident Day</t>
  </si>
  <si>
    <t>SOSH segment median. Practitioner range approximately $4.50-$6.50 per resident day</t>
  </si>
  <si>
    <t>SOSH 2025 dietary cost per resident day, by care level (CPI-adjusted)</t>
  </si>
  <si>
    <t>GL (Screen 06) + chart of accounts (Screen 05) + census report (Screen</t>
  </si>
  <si>
    <t>Dining Services</t>
  </si>
  <si>
    <t>DIN-02</t>
  </si>
  <si>
    <t>Total Dining Cost per Resident Day</t>
  </si>
  <si>
    <t>SOSH segment median by care level</t>
  </si>
  <si>
    <t>SOSH 2025 dietary expense per resident day (CPI-adjusted)</t>
  </si>
  <si>
    <t>GL (Screen 06) + census report (Screen 09)</t>
  </si>
  <si>
    <t>DIN-03</t>
  </si>
  <si>
    <t>Meal Participation Rate</t>
  </si>
  <si>
    <t>IL 88% | AL 79% | MC 64%</t>
  </si>
  <si>
    <t>IL &gt; 90% | AL 75-85% | MC 60-75%</t>
  </si>
  <si>
    <t>Dining / food service report (Screen 09) + census report</t>
  </si>
  <si>
    <t>DIN-04</t>
  </si>
  <si>
    <t>Resident Meal Satisfaction Score</t>
  </si>
  <si>
    <t>79.2%</t>
  </si>
  <si>
    <t>&gt; 85% favorable; top quartile &gt; 90%</t>
  </si>
  <si>
    <t>RC 2025 resident experience (Rob Clark)</t>
  </si>
  <si>
    <t>DIN-05</t>
  </si>
  <si>
    <t>Therapeutic and Modified Diet Accuracy Rate</t>
  </si>
  <si>
    <t>98.4%</t>
  </si>
  <si>
    <t>&gt; 98% accuracy; zero allergen errors</t>
  </si>
  <si>
    <t>CMS F-tag F812 (therapeutic and modified diet accuracy)</t>
  </si>
  <si>
    <t>Dining / food service report (Screen 09)</t>
  </si>
  <si>
    <t>DIN-06</t>
  </si>
  <si>
    <t>Unplanned Weight Loss Incidence</t>
  </si>
  <si>
    <t>4.4% quarterly</t>
  </si>
  <si>
    <t>&lt; 5% of residents per quarter</t>
  </si>
  <si>
    <t>CMS F-tag F692; MDS Section K</t>
  </si>
  <si>
    <t>Dining / food service report + clinical / EHR report (Screen 09)</t>
  </si>
  <si>
    <t>DIN-07</t>
  </si>
  <si>
    <t>Food Safety Inspection Score</t>
  </si>
  <si>
    <t>97.0 Kent County inspection</t>
  </si>
  <si>
    <t>&gt; 95% score; zero critical violations</t>
  </si>
  <si>
    <t>State health department food service inspection; CMS F-tag F812</t>
  </si>
  <si>
    <t>Dining / food service report (Screen 09) + inspection upload (Screen 1</t>
  </si>
  <si>
    <t>DIN-08</t>
  </si>
  <si>
    <t>Nutritional Assessment Completion Rate</t>
  </si>
  <si>
    <t>99.1% on time</t>
  </si>
  <si>
    <t>100% of nutritional assessments completed on time</t>
  </si>
  <si>
    <t>DIN-09</t>
  </si>
  <si>
    <t>Food Waste Rate</t>
  </si>
  <si>
    <t>6.8% of food purchased</t>
  </si>
  <si>
    <t>Food waste below 6% of food purchases</t>
  </si>
  <si>
    <t>Skilled Nursing  (36)</t>
  </si>
  <si>
    <t>SNF-00</t>
  </si>
  <si>
    <t>Overall Five-Star Rating</t>
  </si>
  <si>
    <t>3 stars overall</t>
  </si>
  <si>
    <t>CMS fetch</t>
  </si>
  <si>
    <t>Caps: if health inspection = 1 star the overall cannot rise more than one star (max 2). Abuse icon caps health inspection at 2, so overall maxes at 4. Current SFF participants receive no ratings in any domain</t>
  </si>
  <si>
    <t>CMS Five-Star Technical Users Guide, September 2026</t>
  </si>
  <si>
    <t>Tool-fetched from CMS. No operator upload</t>
  </si>
  <si>
    <t>Skilled Nursing</t>
  </si>
  <si>
    <t>SNF-01</t>
  </si>
  <si>
    <t>Health Inspection Star Rating</t>
  </si>
  <si>
    <t>2 stars</t>
  </si>
  <si>
    <t>Top 10% of the state = 5 stars; middle 70% split into three bands of 23.33% = 4, 3, 2 stars; bottom 20% = 1 star. Recalibrated monthly</t>
  </si>
  <si>
    <t>CMS TUG September 2026; state cut-point tables (August 2026)</t>
  </si>
  <si>
    <t>Tool-fetched from CMS</t>
  </si>
  <si>
    <t>SNF-02</t>
  </si>
  <si>
    <t>Staffing Star Rating</t>
  </si>
  <si>
    <t>3 stars</t>
  </si>
  <si>
    <t>1 star &lt; 155 | 2 stars 155-204 | 3 stars 205-254 | 4 stars 255-319 | 5 stars 320-380</t>
  </si>
  <si>
    <t>CMS TUG September 2026 Table 3</t>
  </si>
  <si>
    <t>Tool-fetched from CMS PBJ</t>
  </si>
  <si>
    <t>SNF-03</t>
  </si>
  <si>
    <t>Quality Measure Star Rating</t>
  </si>
  <si>
    <t>4 stars</t>
  </si>
  <si>
    <t>Overall QM: 1 star 299-927 | 2 stars 928-1120 | 3 stars 1121-1299 | 4 stars 1300-1493 | 5 stars 1494-2300. Thresholds rise every six months by half the observed score gain; next increase expected January 2027</t>
  </si>
  <si>
    <t>CMS TUG September 2026 Table 5 (thresholds raised July 2026)</t>
  </si>
  <si>
    <t>SNF-H1</t>
  </si>
  <si>
    <t>Weighted Health Inspection Score</t>
  </si>
  <si>
    <t>68.7 weighted points</t>
  </si>
  <si>
    <t>Two standard survey cycles only, weighted 3/4 and 1/4. Cycle 3 is still displayed on Care Compare but is no longer scored (changed July 2025 from three cycles at 1/2, 1/3, 1/6)</t>
  </si>
  <si>
    <t>CMS TUG September 2026</t>
  </si>
  <si>
    <t>SNF-H2</t>
  </si>
  <si>
    <t>Standard Survey Deficiency Points by Scope and Severity</t>
  </si>
  <si>
    <t>7 deficiencies, highest G, 44 points</t>
  </si>
  <si>
    <t>A/B/C 0 | D 4 | E 8 | F 16 (20 if SQC) | G 20 | H 35 (40) | I 45 (50) | J 50 (75) | K 100 (125) | L 150 (175). Past non-compliance at J/K/L scores at the G value of 20</t>
  </si>
  <si>
    <t>CMS TUG September 2026 Table 1</t>
  </si>
  <si>
    <t>SNF-H3</t>
  </si>
  <si>
    <t>Complaint Survey Deficiency Points</t>
  </si>
  <si>
    <t>2 complaint deficiencies, 12 points</t>
  </si>
  <si>
    <t>Months 0-12 weighted 3/4; months 13-36 weighted 1/4 as a single band. Complaint deficiencies within 15 days of a recertification survey are counted once at the higher scope and severity</t>
  </si>
  <si>
    <t>SNF-H4</t>
  </si>
  <si>
    <t>Focused Infection Control Survey Deficiency Points</t>
  </si>
  <si>
    <t>1 ICS deficiency, 4 points</t>
  </si>
  <si>
    <t>Same 3/4 and 1/4 weighting as complaint surveys. Where an ICS citation overlaps a recertification or complaint citation within 15 days, only the ICS citation is counted</t>
  </si>
  <si>
    <t>SNF-H5</t>
  </si>
  <si>
    <t>Revisit Points</t>
  </si>
  <si>
    <t>1 revisit, 0 points</t>
  </si>
  <si>
    <t>First revisit 0 | second 50% of the cycle score | third 70% | fourth 85%</t>
  </si>
  <si>
    <t>CMS TUG September 2026 Table 2</t>
  </si>
  <si>
    <t>SNF-H6</t>
  </si>
  <si>
    <t>Substandard Quality of Care Citations</t>
  </si>
  <si>
    <t>0 substandard quality of care citations</t>
  </si>
  <si>
    <t>No separate cap. SQC raises the point value at F, H, I, J, K and L (G has no SQC variant)</t>
  </si>
  <si>
    <t>SNF-H7</t>
  </si>
  <si>
    <t>Immediate Jeopardy Citations</t>
  </si>
  <si>
    <t>0 immediate jeopardy citations</t>
  </si>
  <si>
    <t>No separate cap or downgrade. IJ enters the rating only through the J/K/L point values</t>
  </si>
  <si>
    <t>SNF-H8</t>
  </si>
  <si>
    <t>Abuse Icon Status</t>
  </si>
  <si>
    <t>No abuse icon</t>
  </si>
  <si>
    <t>Triggered by an abuse citation at G or above on the most recent standard survey or a complaint/ICS in the past 12 months; or at D or above on both the most recent and second most recent survey windows. Caps the health inspection star at 2 and the overall at 4</t>
  </si>
  <si>
    <t>SNF-H9</t>
  </si>
  <si>
    <t>Special Focus Facility Status</t>
  </si>
  <si>
    <t>Not an SFF participant</t>
  </si>
  <si>
    <t>Current SFF participants receive no overall and no domain ratings; a warning icon replaces the overall rating. SFF candidates are rated normally</t>
  </si>
  <si>
    <t>SNF-S1</t>
  </si>
  <si>
    <t>Case-Mix Adjusted Total Nurse Staffing HPRD</t>
  </si>
  <si>
    <t>3.452 HPRD (60 points)</t>
  </si>
  <si>
    <t>100 pts &gt;= 5.070 | 90: 4.499-5.069 | 80: 4.151-4.498 | 70: 3.910-4.150 | 60: 3.692-3.909 | 50: 3.493-3.691 | 40: 3.293-3.492 | 30: 3.051-3.292 | 20: 2.722-3.050 | 10: 0-2.721</t>
  </si>
  <si>
    <t>CMS TUG September 2026 Table A2; PDPM nursing CMIs from the FY2024 SNF PPS Final Rule</t>
  </si>
  <si>
    <t>SNF-S2</t>
  </si>
  <si>
    <t>Case-Mix Adjusted RN HPRD</t>
  </si>
  <si>
    <t>0.684 HPRD (70 points)</t>
  </si>
  <si>
    <t>100 pts &gt;= 1.202 | 90: 0.934-1.201 | 80: 0.786-0.933 | 70: 0.678-0.785 | 60: 0.591-0.677 | 50: 0.513-0.590 | 40: 0.440-0.512 | 30: 0.368-0.439 | 20: 0.275-0.367 | 10: 0-0.274</t>
  </si>
  <si>
    <t>CMS TUG September 2026 Table A2</t>
  </si>
  <si>
    <t>SNF-S3</t>
  </si>
  <si>
    <t>Case-Mix Adjusted Weekend Total Nurse HPRD</t>
  </si>
  <si>
    <t>2.714 HPRD (15 points)</t>
  </si>
  <si>
    <t>50 pts &gt;= 4.464 | 45: 3.958-4.463 | 40: 3.668-3.957 | 35: 3.429-3.667 | 30: 3.233-3.428 | 25: 3.044-3.232 | 20: 2.862-3.043 | 15: 2.637-2.861 | 10: 2.354-2.636 | 5: 0-2.353</t>
  </si>
  <si>
    <t>SNF-S4</t>
  </si>
  <si>
    <t>Total Nurse Staffing Turnover</t>
  </si>
  <si>
    <t>56.8% (10 points)</t>
  </si>
  <si>
    <t>50 pts 0-31.126% | 45: 31.127-37.500 | 40: 37.501-41.739 | 35: 41.740-45.679 | 30: 45.680-49.254 | 25: 49.255-53.425 | 20: 53.426-57.692 | 15: 57.693-62.791 | 10: 62.792-69.792 | 5: 69.793-100</t>
  </si>
  <si>
    <t>SNF-S5</t>
  </si>
  <si>
    <t>RN Turnover</t>
  </si>
  <si>
    <t>44.1% (30 points)</t>
  </si>
  <si>
    <t>50 pts 0-20.000% | 45: 20.001-28.571 | 40: 28.572-35.714 | 35: 35.715-41.667 | 30: 41.668-44.444 | 25: 44.445-52.941 | 20: 52.942-60.000 | 15: 60.001-66.667 | 10: 66.668-80.000 | 5: 80.001-100</t>
  </si>
  <si>
    <t>SNF-S6</t>
  </si>
  <si>
    <t>Administrator Departures</t>
  </si>
  <si>
    <t>2 departures (10 points)</t>
  </si>
  <si>
    <t>0 departures = 30 pts | 1 = 25 pts | 2 or more = 10 pts</t>
  </si>
  <si>
    <t>SNF-S7</t>
  </si>
  <si>
    <t>PBJ Submission and RN Coverage Exceptions</t>
  </si>
  <si>
    <t>No exceptions; all quarters submitted</t>
  </si>
  <si>
    <t>Automatic 1 star for: failure to submit staffing data by the 45-day deadline; four or more days in the quarter with zero RN hours on days with at least one resident; a failed or unanswered PBJ audit (1 star for three months)</t>
  </si>
  <si>
    <t>CMS TUG September 2026 scoring exceptions</t>
  </si>
  <si>
    <t>SNF-Q1</t>
  </si>
  <si>
    <t>Long-Stay: Need for Help with Daily Activities Has Increased</t>
  </si>
  <si>
    <t>16.9%</t>
  </si>
  <si>
    <t>150 points, deciles, 15-point increments. Cut points set on 2023Q4-2024Q3</t>
  </si>
  <si>
    <t>CMS TUG September 2026 (MDS-based)</t>
  </si>
  <si>
    <t>SNF-Q2</t>
  </si>
  <si>
    <t>Long-Stay: Ability to Walk Independently Worsened</t>
  </si>
  <si>
    <t>21.4%</t>
  </si>
  <si>
    <t>150 points, deciles. Cut points set on 2023Q4-2024Q3</t>
  </si>
  <si>
    <t>CMS TUG September 2026 (MDS-based, risk-adjusted)</t>
  </si>
  <si>
    <t>SNF-Q3</t>
  </si>
  <si>
    <t>Long-Stay: Residents with Pressure Ulcers</t>
  </si>
  <si>
    <t>8.9%</t>
  </si>
  <si>
    <t>100 points, quintiles (20/40/60/80/100). Cut points set on 2023Q4-2024Q3</t>
  </si>
  <si>
    <t>SNF-Q4</t>
  </si>
  <si>
    <t>Long-Stay: Catheter Inserted and Left in Bladder</t>
  </si>
  <si>
    <t>100 points, quintiles</t>
  </si>
  <si>
    <t>SNF-Q5</t>
  </si>
  <si>
    <t>Long-Stay: Urinary Tract Infection</t>
  </si>
  <si>
    <t>3.4%</t>
  </si>
  <si>
    <t>SNF-Q6</t>
  </si>
  <si>
    <t>Long-Stay: One or More Falls with Major Injury</t>
  </si>
  <si>
    <t>3.6%</t>
  </si>
  <si>
    <t>SNF-Q7</t>
  </si>
  <si>
    <t>Long-Stay: Antipsychotic Medication</t>
  </si>
  <si>
    <t>16.1%</t>
  </si>
  <si>
    <t>150 points, deciles. Cut points reset to 2024Q4-2025Q3 after the April 2026 schizophrenia-exclusion correction</t>
  </si>
  <si>
    <t>SNF-Q8</t>
  </si>
  <si>
    <t>Long-Stay: Hospitalizations per 1,000 Resident Days</t>
  </si>
  <si>
    <t>1.62 per 1,000</t>
  </si>
  <si>
    <t>150 points, deciles. Cut points reset July 2025 when Section GG functional variables were added to risk adjustment</t>
  </si>
  <si>
    <t>CMS TUG September 2026 (claims-based, risk-adjusted)</t>
  </si>
  <si>
    <t>SNF-Q9</t>
  </si>
  <si>
    <t>Long-Stay: Outpatient ED Visits per 1,000 Resident Days</t>
  </si>
  <si>
    <t>1.11 per 1,000</t>
  </si>
  <si>
    <t>150 points, deciles. Cut points reset July 2025</t>
  </si>
  <si>
    <t>SNF-Q10</t>
  </si>
  <si>
    <t>Short-Stay: Discharge Function Score</t>
  </si>
  <si>
    <t>0.61</t>
  </si>
  <si>
    <t>150 points, deciles. Cut points set on 2023Q2-2024Q1</t>
  </si>
  <si>
    <t>SNF-Q11</t>
  </si>
  <si>
    <t>Short-Stay: New or Worsened Pressure Ulcers</t>
  </si>
  <si>
    <t>2.4%</t>
  </si>
  <si>
    <t>100 points, quintiles. Cut points set on 2019Q1-2019Q4. Special rule: because more than 20% of facilities score zero, every facility at zero receives the full 100 points</t>
  </si>
  <si>
    <t>CMS TUG September 2026 (MDS-based, risk-adjusted; PDC measure code S_038_02)</t>
  </si>
  <si>
    <t>SNF-Q12</t>
  </si>
  <si>
    <t>Short-Stay: First-Time Antipsychotic Medication</t>
  </si>
  <si>
    <t>1.8%</t>
  </si>
  <si>
    <t>100 points, quintiles. Special rule: every facility at zero receives the full 100 points</t>
  </si>
  <si>
    <t>SNF-Q13</t>
  </si>
  <si>
    <t>Short-Stay: Re-Hospitalized After Admission</t>
  </si>
  <si>
    <t>22.8%</t>
  </si>
  <si>
    <t>SNF-Q14</t>
  </si>
  <si>
    <t>Short-Stay: Outpatient ED Visit</t>
  </si>
  <si>
    <t>11.4%</t>
  </si>
  <si>
    <t>SNF-Q15</t>
  </si>
  <si>
    <t>Short-Stay: Successful Return to Home and Community</t>
  </si>
  <si>
    <t>54.6%</t>
  </si>
  <si>
    <t>150 points, deciles. Uses a two-year data period; every other QM uses four quarters</t>
  </si>
  <si>
    <t>SNF-Q16</t>
  </si>
  <si>
    <t>Schizophrenia Coding Audit Status</t>
  </si>
  <si>
    <t>No coding anomaly flagged</t>
  </si>
  <si>
    <t>Overall and long-stay QM ratings downgraded to 1 star for 6 months, which drops the overall star by one. Short-stay QM suppressed 6 months; the long-stay antipsychotic QM suppressed 12 months</t>
  </si>
  <si>
    <t>CMS TUG September 2026 QM scoring exception</t>
  </si>
  <si>
    <t>Basis column: Model-linked rows are computed from the occupancy model on this workbook and change when you change occupancy. Reported rows are the trailing-twelve-month figures from the uploaded operating reports; they describe what happened and do not move with a hypothetical occupancy. CMS fetch rows come from Care Compare on its own refresh cycle.</t>
  </si>
  <si>
    <t>Model-linked financial measures are stated at the recommended staffing for the selected occupancy, because that is the only internally consistent view once occupancy moves. The Financials sheet shows the same measures at today's headcount alongside.</t>
  </si>
  <si>
    <t>Department Rollup</t>
  </si>
  <si>
    <t>Live counts from the scorecard. Change occupancy and the model-linked measures move between bands here too.</t>
  </si>
  <si>
    <t>Measures</t>
  </si>
  <si>
    <t>TOTAL</t>
  </si>
  <si>
    <t>Nursing splits across care levels: NUR-01 to NUR-08 apply to assisted living and memory care, NUR-09 to NUR-12 are skilled-nursing MDS and PDPM measures that are not Five-Star contributors. The 36 Skilled Nursing measures are the CMS Five-Star set and are fetched, not entered.</t>
  </si>
  <si>
    <t>Consolidated Action Plan</t>
  </si>
  <si>
    <t>Every finding in this workbook on the VMP horizons, in SMART form. KPI codes are stripped by design. Ordered so the work that moves the most measures comes first.</t>
  </si>
  <si>
    <t>Tactical (30 days)</t>
  </si>
  <si>
    <t>Tactical</t>
  </si>
  <si>
    <t>Human Resources
Open positions</t>
  </si>
  <si>
    <t>Move the 17 open positions to continuous posting with same-week interview scheduling, starting with CNA and the AL med-tech line.</t>
  </si>
  <si>
    <t>Measurable</t>
  </si>
  <si>
    <t>Vacancy 8.9% to under 6.0%. Time to fill 58 days to under 50. Agency 9.4% to under 8.0%.</t>
  </si>
  <si>
    <t>Achievable</t>
  </si>
  <si>
    <t>HR director with the two care-level leaders. No new headcount required.</t>
  </si>
  <si>
    <t>Relevant</t>
  </si>
  <si>
    <t>This single gap drives the labour percentage, the CMS staffing domain, frontline turnover and the direct-care variance in the staffing model.</t>
  </si>
  <si>
    <t>Time-bound</t>
  </si>
  <si>
    <t>Postings live and interview blocks calendared within 30 days.</t>
  </si>
  <si>
    <t>Skilled Nursing
Weekend coverage</t>
  </si>
  <si>
    <t>Level the weekend nursing pattern against weekday. The hours already exist mid-week.</t>
  </si>
  <si>
    <t>Weekend HPRD 2.714 toward the weekday 3.452, closing the 27% gap.</t>
  </si>
  <si>
    <t>DON and scheduler. A scheduling change, not a hiring one.</t>
  </si>
  <si>
    <t>Weekend HPRD is a direct CMS Five-Star staffing input and the largest recoverable point gap in the domain.</t>
  </si>
  <si>
    <t>New pattern live within 30 days; PBJ reflects it the following quarter.</t>
  </si>
  <si>
    <t>Plant and Maintenance
Overdue backlog</t>
  </si>
  <si>
    <t>Clear every work order more than 30 days overdue and put the preventive-maintenance schedule on a tracked list with an owner per item.</t>
  </si>
  <si>
    <t>Average days overdue 19 to under 14. PM completion 81.2% to above 90%.</t>
  </si>
  <si>
    <t>Plant director at 5.0 FTE against a 5.51 model requirement.</t>
  </si>
  <si>
    <t>PM completion on a 1994 campus is how deferred maintenance becomes capital expense.</t>
  </si>
  <si>
    <t>Backlog listed within 14 days, aged items cleared within 30.</t>
  </si>
  <si>
    <t>Strategic (90 days)</t>
  </si>
  <si>
    <t>Strategic</t>
  </si>
  <si>
    <t>Sales and Marketing
Funnel and occupancy</t>
  </si>
  <si>
    <t>Rebuild the inquiry-to-tour step and work the unpaid referral channel that already converts at 58%.</t>
  </si>
  <si>
    <t>Inquiry-to-tour from IL 23% / AL 24% toward the Aline medians of 28% and 29%. Move-ins per 100 units from 2.4 / 4.1 toward 3 and 5.</t>
  </si>
  <si>
    <t>Sales director at 5.0 FTE against a 5.97 model requirement - one open position.</t>
  </si>
  <si>
    <t>Occupancy is the highest-value lever in this model: the Sensitivity sheet shows roughly nine points of margin between 75% and 100%.</t>
  </si>
  <si>
    <t>Channel plan set in 30 days, funnel measured at 90.</t>
  </si>
  <si>
    <t>Dining Services
Meal satisfaction</t>
  </si>
  <si>
    <t>Seat a resident dining council and run a menu refresh in assisted living and memory care, then re-survey.</t>
  </si>
  <si>
    <t>Meal satisfaction 79.2% toward 85%. Memory care meal participation 64% toward the 60-75% band's upper half.</t>
  </si>
  <si>
    <t>Dining director. The model shows dining 3.2 FTE short, not over - this is not a cost-cutting exercise.</t>
  </si>
  <si>
    <t>Meal satisfaction is the lowest resident-facing score and the one prospects hear about on tour.</t>
  </si>
  <si>
    <t>Council seated in 30 days, menu changed by 60, re-survey at 90.</t>
  </si>
  <si>
    <t>Finance
Budget on the model</t>
  </si>
  <si>
    <t>Build the FY27 budget off the staffing model at the planned occupancy rather than off prior-year actuals.</t>
  </si>
  <si>
    <t>Labour toward 45% of revenue at planned occupancy. Operating margin toward the 22.8% CCRC benchmark.</t>
  </si>
  <si>
    <t>CFO with the department heads. The model is the input.</t>
  </si>
  <si>
    <t>Budgeting from last year's actuals bakes in the current vacancy and agency pattern as if it were normal.</t>
  </si>
  <si>
    <t>Budget built by the 90-day mark for board adoption.</t>
  </si>
  <si>
    <t>Nursing
Acuity and rate</t>
  </si>
  <si>
    <t>Reconcile the assisted-living acuity migration to the care-tier rate schedule and the staffing ratios.</t>
  </si>
  <si>
    <t>Tier 3+ mix rose 6 points year over year with no rate or staffing response. Close that gap.</t>
  </si>
  <si>
    <t>DON and business office. The rate schedule already has five tiers.</t>
  </si>
  <si>
    <t>Rising acuity without a rate response is revenue left on the table and a staffing risk at the same time.</t>
  </si>
  <si>
    <t>Reassessment sweep complete and repriced within 90 days.</t>
  </si>
  <si>
    <t>Horizon (6-12 months)</t>
  </si>
  <si>
    <t>Horizon</t>
  </si>
  <si>
    <t>Life Enrichment
Evening and weekend programming</t>
  </si>
  <si>
    <t>Extend evening and weekend programming, prioritising memory care where structured engagement is measurably short.</t>
  </si>
  <si>
    <t>Participation 78.9% above 80%. Evening coverage from 2 of 7 nights. Memory care weekend from 1.5 hours per day.</t>
  </si>
  <si>
    <t>Life enrichment director at 5.4 FTE against a 5.75 model requirement.</t>
  </si>
  <si>
    <t>Thin weekend memory-care programming is both a quality finding and a survey exposure in a secured unit.</t>
  </si>
  <si>
    <t>Calendar rebuilt within 6 months, measured over the following two quarters.</t>
  </si>
  <si>
    <t>Technology
Close the measurement gaps</t>
  </si>
  <si>
    <t>Put dining, maintenance and resident engagement on systems that produce reports, and activate the scheduling module already licensed.</t>
  </si>
  <si>
    <t>Six measures move from hand-compiled to system-reported, including PM completion, food cost and technology engagement.</t>
  </si>
  <si>
    <t>Plant, dining and HR directors. Scheduling carries no incremental licence cost.</t>
  </si>
  <si>
    <t>The measures with the widest error bars in this scorecard are the ones no system produces.</t>
  </si>
  <si>
    <t>Scheduling activated in 90 days; dining and CMMS live within 12 months.</t>
  </si>
  <si>
    <t>Finance
Capital and the 2028 call</t>
  </si>
  <si>
    <t>Build a multi-year capital renewal plan and position for the 2028 optional call on the Series 2018 bonds.</t>
  </si>
  <si>
    <t>Average age of plant 14.8 years held or improved. Refunding analysis complete with covenant headroom verified.</t>
  </si>
  <si>
    <t>CFO, plant director and bond counsel.</t>
  </si>
  <si>
    <t>Days cash at 168 clears the 120 covenant but sits below the 180 standard. Liquidity has to be established before the call window.</t>
  </si>
  <si>
    <t>Capital plan adopted within 12 months; refunding analysis six months before the call.</t>
  </si>
  <si>
    <t>Sequencing note: the recruiting sprint and the weekend scheduling change are first because between them they move the labour percentage, the CMS staffing domain, frontline turnover, the direct-care variance and the operating margin. Nothing else in this plan moves five measures at once.</t>
  </si>
  <si>
    <t>Benchmark Sources</t>
  </si>
  <si>
    <t>Copied from the Benchmark Source Map in Operations KPI Catalog v9. Every target scored in this workbook traces to one of these published sources.</t>
  </si>
  <si>
    <t>Source</t>
  </si>
  <si>
    <t>Applies To</t>
  </si>
  <si>
    <t>Supplies</t>
  </si>
  <si>
    <t>Vintage / Note</t>
  </si>
  <si>
    <t>Match Key</t>
  </si>
  <si>
    <t>Alt Match Key</t>
  </si>
  <si>
    <t>KPIs Mapped</t>
  </si>
  <si>
    <t>KPI Codes</t>
  </si>
  <si>
    <t>Where the Data Is Found (Gap Matrix v9)</t>
  </si>
  <si>
    <t>State of Seniors Housing (SOSH) 2025</t>
  </si>
  <si>
    <t>IL, AL, MC, CCRC</t>
  </si>
  <si>
    <t>Occupancy, annual turnover, revenue and expense per occupied unit, labor percent of revenue, community operating margin, dietary cost per resident day, workers compensation percent of wages</t>
  </si>
  <si>
    <t>2025 edition. All dollar measures pass through the CPI toggle.</t>
  </si>
  <si>
    <t>SOSH</t>
  </si>
  <si>
    <t>State of Seniors</t>
  </si>
  <si>
    <t>OPS-01, OPS-03, OPS-04, SAL-08, NUR-05, FIN-01, FIN-03, FIN-04, FIN-05, FIN-06, HR-05, HR-10, DIN-01, DIN-02</t>
  </si>
  <si>
    <t>Gap Matrix v9: 'Benchmark Sources' row 6 (name A6, link I6). Link: https://ashaliving.org/research-and-analytics/ - publisher landing page, NOT a deep link; report is purchasable (ASHA member or paid). Locations cited: Tables 2.7, 2.15, 2.18-2.19, 3.1-3.7, 3.20-3.21, 3.22-3.24, 3.27, 4.1. URL verified 22 Sep 2026. Matrix does not hold the PDF.</t>
  </si>
  <si>
    <t>CMS and regulatory requirements (Five-Star Technical Users' Guide, RAI Manual, 42 CFR, Life Safety Code, state regulation)</t>
  </si>
  <si>
    <t>SNF only</t>
  </si>
  <si>
    <t>All 36 SNF Five-Star measures and their cut-points, plus the regulatory requirements behind assessment timeliness, care plan timeliness, grievance response, life safety, food safety, therapeutic diets and unplanned weight loss</t>
  </si>
  <si>
    <t>September 2026 for the Five-Star Technical Users' Guide (decision recorded below). Regulatory citations carry no edition - 42 CFR, F-tags, RAI Manual and state regulation are requirements, not benchmark vintages.</t>
  </si>
  <si>
    <t>CMS</t>
  </si>
  <si>
    <t>State regulat</t>
  </si>
  <si>
    <t>OPS-04, OPS-08, NUR-04, NUR-06, NUR-07, NUR-08, NUR-09, NUR-10, NUR-11, NUR-12, SNF-00, SNF-01, SNF-02, SNF-03, SNF-H1, SNF-H2, SNF-H3, SNF-H4, SNF-H5, SNF-H6, SNF-H7, SNF-H8, SNF-H9, SNF-S1, SNF-S2, SNF-S3, SNF-S4, SNF-S5, SNF-S6, SNF-S7, SNF-Q1, SNF-Q2, SNF-Q3, SNF-Q4, SNF-Q5, SNF-Q6, SNF-Q7, SNF-Q8, SNF-Q9, SNF-Q10, SNF-Q11, SNF-Q12, SNF-Q13, SNF-Q14, SNF-Q15, SNF-Q16, PLT-08, DIN-05, DIN-06, DIN-07</t>
  </si>
  <si>
    <t>Gap Matrix v9: 'Benchmark Sources' row 5 (name A5, link I5, which also holds 4 sub-URLs). Link: https://www.cms.gov/medicare/health-safety-standards/certification-compliance/five-star-quality-rating-system - URL pre-existing and not independently verified, though it matches the official CMS page. Locations cited: Table 3 (staffing cut-points), Table A2 (staffing point ranges), Table 5 (QM points). EDITION UNSETTLED - see note in row 22.</t>
  </si>
  <si>
    <t>CCRC and Life Plan, entity level</t>
  </si>
  <si>
    <t>Days Cash on Hand, Debt Service Coverage, Days in AR, Net Operating Margin, Operating Margin, Average Age of Plant, occupancy trend by care level</t>
  </si>
  <si>
    <t>CARF / Ziegler / Baker Tilly, 33rd edition. 2024 medians, single-site and multi-site, with Type A/B/C contract cuts available.</t>
  </si>
  <si>
    <t>CARF</t>
  </si>
  <si>
    <t>CARF 2025</t>
  </si>
  <si>
    <t>OPS-01, FIN-02, FIN-07, FIN-08, FIN-09, PLT-09</t>
  </si>
  <si>
    <t>Gap Matrix v9: 'Benchmark Sources' row 8 (name A8, access note E8, link I8). Link: https://carf.org/wp-content/uploads/2025/10/2025FinancialRatiosTrendAnalysis.pdf - free, no login or payment gate, downloaded and verified 22 Sep 2026 (90pp). Locations: Ratio Summary p.10 (2024 medians, single-site n=71 / multi-site n=26); Section 3 Liquidity pp.41-44 with the Days Cash quartile table p.44; Appendices A and B for account-level inclusions.</t>
  </si>
  <si>
    <t>Rob Clark - 2025 CCRC Performance Benchmarks and advisor internal standards</t>
  </si>
  <si>
    <t>CCRC, and universal people measures at every care level</t>
  </si>
  <si>
    <t>Resident and family satisfaction, online review rating, staff turnover (overall and frontline), employee satisfaction, training hours, medication accuracy, care transition, days cash, DSC, entrance fee refund funding, resident technology use</t>
  </si>
  <si>
    <t>2025 for the CCRC Performance Benchmarks; advisor internal standards carry no publication date. Row covers both because neither is externally published - the LE-06 programming coverage floor was set by owner ruling on 22 Sep 2026.</t>
  </si>
  <si>
    <t>RC 2025</t>
  </si>
  <si>
    <t>Rob Clark</t>
  </si>
  <si>
    <t>OPS-02, OPS-05, OPS-06, OPS-07, SAL-09, SAL-10, SAL-11, NUR-01, NUR-02, NUR-03, FIN-02, FIN-08, FIN-09, FIN-10, FIN-12, HR-01, HR-02, HR-03, HR-04, HR-06, HR-07, HR-08, HR-09, HR-11, LE-01, LE-02, LE-03, LE-04, LE-05, LE-06, DIN-03, DIN-04, DIN-08</t>
  </si>
  <si>
    <t>Gap Matrix v9: 'Benchmark Sources' row 7 (name A7, I7 states no public link). No URL exists - advisor material, not published. Not documented at table or page level in either workbook, so these targets cannot be externally verified by a third party.</t>
  </si>
  <si>
    <t>Aline Sales and Marketing Benchmark Report</t>
  </si>
  <si>
    <t>IL, AL, MC, Life Plan Residential</t>
  </si>
  <si>
    <t>Inquiries, tours and move-ins per 100 units per month; inquiry-to-tour and tour-to-move-in conversion; inquiry channel mix; conversion by channel</t>
  </si>
  <si>
    <t>Q1 2024 edition as held. The 2026 Senior Living Sales and Marketing Benchmark Report is the current publication but is registration-gated and its figures could not be obtained, so the catalog cites Q1 2024 to match its own numbers.</t>
  </si>
  <si>
    <t>Aline</t>
  </si>
  <si>
    <t>Aline Benchmark</t>
  </si>
  <si>
    <t>SAL-01, SAL-02, SAL-03, SAL-04, SAL-05, SAL-06, SAL-07</t>
  </si>
  <si>
    <t>Gap Matrix v9: 'Benchmark Sources' row 15 (name A15, link I15). Link: https://alineops.com/senior-living-sales-marketing-benchmark-report-2026/ - verified 22 Sep 2026. EDITION MISMATCH: the matrix holds the 2026 Senior Living Sales &amp; Marketing Benchmark Report, not the Q1 2024 edition recorded in column D of this row. Not recorded at table or exhibit level.</t>
  </si>
  <si>
    <t>All care levels, campus wide</t>
  </si>
  <si>
    <t>Work orders per resident unit, on-time completion, labor hours per resident unit, average days overdue, average days open, resident billings per resident unit</t>
  </si>
  <si>
    <t>Drawn from 1,000+ senior living organizations. Entire Plant block except Average Age of Plant and Energy Use Intensity.</t>
  </si>
  <si>
    <t>Brightly</t>
  </si>
  <si>
    <t>Siemens</t>
  </si>
  <si>
    <t>PLT-01, PLT-02, PLT-03, PLT-04, PLT-05, PLT-06, PLT-07</t>
  </si>
  <si>
    <t>Gap Matrix v9: 'Benchmark Sources' row 9 (name A9, basis H9, link I9). Link: https://www.assetmanagement.siemens.com/use-cases/senior-living - verified 22 Sep 2026. 2026 edition, (c) Brightly Software Inc 2026, 1,000+ senior living organisations. Locations: KPI #2 on-time (76%), KPI #4 overdue severity (3.4 days avg; PM 5.6, ad hoc 2.4). NAMING: the matrix records this source as Siemens throughout (Brightly was acquired by Siemens).</t>
  </si>
  <si>
    <t>CLA 40th Annual SNF Report</t>
  </si>
  <si>
    <t>SNF, financial only</t>
  </si>
  <si>
    <t>SNF payer mix, revenue and expense per patient day</t>
  </si>
  <si>
    <t>Approximately 11,700 CMS cost reports. Used for SNF financial comparison, which sits in Finance, not in the SNF Five-Star block.</t>
  </si>
  <si>
    <t>CLA 40th</t>
  </si>
  <si>
    <t xml:space="preserve">CLA </t>
  </si>
  <si>
    <t>FIN-03, FIN-04, FIN-06</t>
  </si>
  <si>
    <t>Gap Matrix v9: 'Benchmark Sources' row 13 (name A13, link I13). Link: https://www.claconnect.com/en/resources/white-papers/snf-cost-comparison-industry-trends-report - verified 22 Sep 2026. 40th edition, 2025 release on FY2024 data. Locations: skilled revenue per patient day by payer; payer mix derived from approximately 11,700 CMS SNF cost reports.</t>
  </si>
  <si>
    <t>EPA ENERGY STAR Portfolio Manager</t>
  </si>
  <si>
    <t>All care levels</t>
  </si>
  <si>
    <t>Energy Use Intensity for senior care communities</t>
  </si>
  <si>
    <t>Senior Care Communities DataTrends. Median site EUI approximately 214 kBtu per square foot.</t>
  </si>
  <si>
    <t>ENERGY STAR</t>
  </si>
  <si>
    <t>Portfolio Manager</t>
  </si>
  <si>
    <t>NOT HELD - DO NOT WRITE A LINK. The Gap Matrix v9 workbook has no row, no link and no KPI citing ENERGY STAR. Its utility benchmark comes from SOSH 2025 Tables 3.22-3.24 instead. PLT-10 in this catalog is therefore the only place ENERGY STAR is used across the two workbooks and must be sourced independently.</t>
  </si>
  <si>
    <t>Kushant Shah - internal standard</t>
  </si>
  <si>
    <t>IL, AL, MC, SNF</t>
  </si>
  <si>
    <t>A/R aged over 90 days, bad debt and write-off rate, food waste rate, deposit-to-move-in conversion (joint with Rob Clark)</t>
  </si>
  <si>
    <t>No published edition or date - advisor internal standard, no external benchmark exists. Added 22 Sep 2026 with the Gap Matrix v9 measures.</t>
  </si>
  <si>
    <t>Kushant Shah</t>
  </si>
  <si>
    <t>KS internal</t>
  </si>
  <si>
    <t>SAL-10, FIN-11, FIN-12, DIN-09</t>
  </si>
  <si>
    <t>Gap Matrix v9: no dedicated 'Benchmark Sources' row - recorded there as 'Internal standard (Kushant Shah)' on the KPI rows themselves. No URL exists; advisor material, not published.</t>
  </si>
  <si>
    <t>Other named sources - RETIRED 22 Sep 2026, should read zero</t>
  </si>
  <si>
    <t>Varies</t>
  </si>
  <si>
    <t>Emptied by owner instruction: third-party named sources are no longer carried in the Benchmark Source column. Benchmarks that lost their attribution were re-recorded as Rob Clark internal standards; CMS and state regulatory citations were folded into the CMS and regulatory row above rather than re-attributed, because a regulatory requirement is not an advisor standard.</t>
  </si>
  <si>
    <t>If this count is ever above zero, a new unapproved source has entered the catalog - investigate rather than add a row.</t>
  </si>
  <si>
    <t>(no key - catch-all)</t>
  </si>
  <si>
    <t>Not applicable - no source. This row is a control check, not a source.</t>
  </si>
  <si>
    <t>How these counts are built</t>
  </si>
  <si>
    <t>Counts and codes are formulas over the Benchmark Source column on the KPI Catalog tab, matched on the Match Key and Alt Match Key in columns E and F. Edit a key and the count and code list update. Nothing is typed in.</t>
  </si>
  <si>
    <t>Other named sources' is the exclusive remainder - KPIs matching none of the nine keys - taken from the Primary Benchmark Source Group helper in column Q of the KPI Catalog. Matching elsewhere is non-exclusive, so a KPI citing two sources is counted under both.</t>
  </si>
  <si>
    <t>Sum of rows 5-13 (with overlap):</t>
  </si>
  <si>
    <t>Distinct KPIs in the catalog:</t>
  </si>
  <si>
    <t>Dual-source KPIs (the difference):</t>
  </si>
  <si>
    <t>Source discrepancies raised by the Gap Matrix v9 workbook (22 Sep 2026)</t>
  </si>
  <si>
    <t>CMS Five-Star Technical Users' Guide edition - DECIDED 22 Sep 2026: this catalog keeps September 2026. The Gap Matrix holds April 2026 on some SNF rows and July 2026 on others and is internally inconsistent by its own account; ours is the later edition and stands. The 36 SNF measures and their QM cut-points remain on the September 2026 basis. If the Gap Matrix re-bases to September 2026 the two will align; until then expect its SNF cut-points to differ from ours.</t>
  </si>
  <si>
    <t>Aline edition - CLOSED 22 Sep 2026: the catalog stays on the Q1 2024 edition, which is the vintage the SAL-01 to SAL-07 target figures actually come from. The 2026 report is the newer publication but is registration-gated and neither workbook can obtain its figures, so citing 2026 would put a label on numbers that did not come from it. Citing the edition we hold is the defensible position. Yellow flags on the target cells have been cleared - the source and the figures now agree. Revisit only if someone with Aline report access supplies the 2026 values.</t>
  </si>
  <si>
    <t>Siemens / Brightly naming: the Gap Matrix records this source as Siemens throughout, since Siemens acquired Brightly, and asks that the catalog do the same. The seven Plant rows here cite Brightly. The match keys in columns E and F accept both spellings, so counts are unaffected either way - renaming the citations is a one-line change on request.</t>
  </si>
  <si>
    <t>EPA ENERGY STAR Portfolio Manager: not held by the Gap Matrix at all. PLT-10 is the only measure across both workbooks using it, and the matrix benchmarks utilities from SOSH 2025 instead. PLT-10's 214 kBtu target needs an independent source or should move to SOSH.</t>
  </si>
  <si>
    <t>Alzheimer's Association attribution - CLOSED 22 Sep 2026 by deletion. The former LE-03 memory care structured engagement hours cited the Alzheimer's Association for 4-6 hours per resident per day with no title, year or page, and no link existed in either workbook. The Gap Matrix recorded the same measure as 4-6 hours per WEEK on a Rob Clark internal standard and noted that the Alzheimer's Association publishes dementia care practice recommendations, not an hours-per-resident benchmark. Rather than carry an unsourceable 7x ambiguity, the owner deleted the measure on 22 Sep 2026 and the LE codes were renumbered. The Alzheimer's Association is no longer cited anywhere in this catalog. The remaining life enrichment coverage expectation is LE-06, attributed to Rob Clark.</t>
  </si>
  <si>
    <t>Sources held by the Gap Matrix v9 workbook but not cited in this catalog</t>
  </si>
  <si>
    <t>Third-party named sources removed from the catalog - 22 Sep 2026, owner instruction</t>
  </si>
  <si>
    <t>The Benchmark Source column no longer names any third-party organisation outside the approved list. Eleven rows kept a valid source and simply had the extra names trimmed: OPS-05, OPS-06, SAL-09, FIN-06, HR-01, HR-02, HR-05, HR-08, PLT-07, DIN-04, DIN-05. Eleven rows were left with no source and are now Rob Clark internal standards: OPS-02, OPS-07, NUR-02, HR-03, HR-04, HR-06, HR-07, LE-01, LE-02, LE-05, DIN-03. Removed names included NIC MAP, LeadingAge, Argentum, ICAA, Activated Insights, ANFP, Holleran, J.D. Power, Caring.com, Senior Housing News, Pinnacle Quality Insight, HCS Annual Report 2024 and unattributed 'industry practice'. Every original attribution is preserved verbatim in that row's Boundary and Notes column - nothing was silently discarded.</t>
  </si>
  <si>
    <t>EXCEPTION applied deliberately: CMS and state regulatory citations were NOT re-attributed to Rob Clark. 42 CFR, F-tags, the RAI Manual, the Life Safety Code, MDS Section K and state regulation are legal requirements, not advisor benchmarks, and re-labelling them would have destroyed survey-relevant traceability on 13 measures (OPS-08, NUR-04, NUR-06 to NUR-12, PLT-08, DIN-05, DIN-06, DIN-07). They were folded into the CMS and regulatory row instead, which is why its count rose from 36 to 50. Raise this if the intent was to strip them too.</t>
  </si>
  <si>
    <t>Creating Results - https://creatingresults.com/marketing-research-strategy/ (verified 22 Sep 2026)</t>
  </si>
  <si>
    <t>State health department / fire marshal inspections - no single national link, varies by state</t>
  </si>
  <si>
    <t>Rob Clark CDS Best Practice Metrics 2025 (inflation-adjusted) - advisor material, no public link. This is the source of the 0-4% productive-hours overtime band.</t>
  </si>
  <si>
    <t>Rob Clark internal standard, and Kushant Shah internal standard - no external publication, no link.</t>
  </si>
  <si>
    <t>Data vintage: Aline figures are Q1 2024. CARF figures are 2024 medians from the 2025 edition. SOSH figures are 2025. CMS cut-points are the September 2026 Five-Star Technical Users Guide.</t>
  </si>
  <si>
    <t>Method, Scope and Caveats</t>
  </si>
  <si>
    <t>What drives what</t>
  </si>
  <si>
    <t>The single driver</t>
  </si>
  <si>
    <t>Occupancy on the Inputs sheet. Changing it re-runs the staffing model, the financial model, the model-linked measures on the scorecard and every live count on the summary and rollup sheets.</t>
  </si>
  <si>
    <t>Occupancy-elastic staffing</t>
  </si>
  <si>
    <t>Direct care, dining, laundry, activities, social services, business office, concierge, transport, MDS and the associate ED all scale with census.</t>
  </si>
  <si>
    <t>Occupancy-invariant staffing</t>
  </si>
  <si>
    <t>Executive director, sales, plant operations, housekeeping, the care director, security, foundation, employee dining and the SNF shift supervisor do not. Sales is driven by capacity because it is sized to build census, and housekeeping and plant are square-foot driven.</t>
  </si>
  <si>
    <t>Why margin steepens</t>
  </si>
  <si>
    <t>Fixed campus expense and the invariant roles do not follow census, so each additional occupied unit carries a much higher contribution margin than the average unit. That spread is the whole economic case for filling units.</t>
  </si>
  <si>
    <t>Labour in the model</t>
  </si>
  <si>
    <t>Priced position by position at the wages on Inputs, loaded with the benefit and tax burden. The Sensitivity sheet uses a blended cost per FTE instead, so its labour line differs slightly from the Financials sheet by design.</t>
  </si>
  <si>
    <t>Scope and filtering</t>
  </si>
  <si>
    <t>KPI set</t>
  </si>
  <si>
    <t>Operations KPI Catalog v9, 2026-09-22. 115 measures. The care-level applicability columns in that workbook decide what is in scope; a full CCRC continuum scores all 115.</t>
  </si>
  <si>
    <t>A note on the count</t>
  </si>
  <si>
    <t>The v9 title reads 108 measures and the Care Level Filter sheet totals 108 for a CCRC. Appendix B of the Screen Analysis Catalog records that those counts predate the eight additions made on 22 September, so 115 is current. This workbook scopes by the applicability columns, not the filter table.</t>
  </si>
  <si>
    <t>Staffing boundary</t>
  </si>
  <si>
    <t>Per the SBC Boundary sheet in v9, no KPI duplicates a staffing model output. FTE per occupied unit, AL and MC hours per patient day, meals per labour hour, housekeeping square feet per FTE and laundry pounds per hour are model outputs and are deliberately absent from the scorecard. The three CMS hours-per-resident-day measures are the documented exception and stay in the SNF block because they are rating inputs.</t>
  </si>
  <si>
    <t>Every measure traces to an onboarding screen through the Screen Analysis Catalog. 71 are scored from screens, 36 are fetched from CMS, and 8 were not yet assigned to a screen when that catalog was written.</t>
  </si>
  <si>
    <t>Caveats</t>
  </si>
  <si>
    <t>MOCKUP</t>
  </si>
  <si>
    <t>Whitefield Commons is fictional. Every community-specific value here is fabricated sample data. The KPI set, the benchmark targets and their sources, the Michigan LARA and CMS regulatory references, the staffing rules and the structure are real.</t>
  </si>
  <si>
    <t>Reported measures do not move</t>
  </si>
  <si>
    <t>About 70 measures are trailing-twelve-month results from the uploaded reports. They describe what happened at the occupancy the community actually ran. When you raise occupancy on Inputs they hold still, because a hypothetical census cannot restate a historical result. Only the model-linked rows follow.</t>
  </si>
  <si>
    <t>Model-linked financials</t>
  </si>
  <si>
    <t>Stated at recommended staffing rather than today's headcount, because current FTE is a fixed historical fact that stops being meaningful at a different occupancy. The Financials sheet shows both side by side.</t>
  </si>
  <si>
    <t>Rounding</t>
  </si>
  <si>
    <t>Occupied units are rounded to whole residents at each level, so total census can move by a unit or two between adjacent occupancy scenarios.</t>
  </si>
  <si>
    <t>Wages</t>
  </si>
  <si>
    <t>BLS OEWS medians for the Grand Rapids-Kentwood MSA. Replace them with the community's own average hourly rate by role from the payroll report for a precise cost read.</t>
  </si>
  <si>
    <t>Raw food share</t>
  </si>
  <si>
    <t>Dining cost per resident day splits raw food out of non-labour variable expense at the share set on Inputs. Replace it with the actual food line from the general ledger when available.</t>
  </si>
  <si>
    <t>Not modelled</t>
  </si>
  <si>
    <t>Policy and procedure alignment, contract analysis, document review, market radius, cultural health and the technology gap are analyses rather than KPIs. They are deliberately outside this workbook and outside the v9 catalog.</t>
  </si>
  <si>
    <t>Advantedge Operations - A VMP Systems product - Prepared by Rob Clark - Confidential to the operator and the advisory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</si>
</sst>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
    <numFmt numFmtId="167" formatCode="\$#,##0.00"/>
    <numFmt numFmtId="168" formatCode="\+0.00;\-0.00"/>
    <numFmt numFmtId="169" formatCode="\$#,##0;;&quot;-&quot;"/>
    <numFmt numFmtId="170" formatCode="\+0.0;\-0.0"/>
  </numFmts>
  <fonts count="45" x14ac:knownFonts="1">
    <font>
      <sz val="11"/>
      <color theme="1"/>
      <name val="Calibri"/>
      <family val="2"/>
      <scheme val="minor"/>
    </font>
    <font>
      <b/>
      <sz val="24"/>
      <color rgb="FF44535B"/>
      <name val="Georgia"/>
      <family val="1"/>
    </font>
    <font>
      <i/>
      <sz val="12"/>
      <color rgb="FFC8A951"/>
      <name val="Georgia"/>
      <family val="1"/>
    </font>
    <font>
      <b/>
      <sz val="17"/>
      <color rgb="FF44535B"/>
      <name val="Georgia"/>
      <family val="1"/>
    </font>
    <font>
      <sz val="10.5"/>
      <color rgb="FF7A8294"/>
      <name val="Calibri"/>
      <family val="2"/>
    </font>
    <font>
      <b/>
      <sz val="9"/>
      <color rgb="FF44535B"/>
      <name val="Calibri"/>
      <family val="2"/>
    </font>
    <font>
      <sz val="9"/>
      <color rgb="FF1A1F2E"/>
      <name val="Calibri"/>
      <family val="2"/>
    </font>
    <font>
      <b/>
      <sz val="11"/>
      <color rgb="FF44535B"/>
      <name val="Georgia"/>
      <family val="1"/>
    </font>
    <font>
      <i/>
      <sz val="8.5"/>
      <color rgb="FFB83838"/>
      <name val="Calibri"/>
      <family val="2"/>
    </font>
    <font>
      <b/>
      <sz val="16"/>
      <color rgb="FF44535B"/>
      <name val="Georgia"/>
      <family val="1"/>
    </font>
    <font>
      <i/>
      <sz val="9.5"/>
      <color rgb="FF7A8294"/>
      <name val="Calibri"/>
      <family val="2"/>
    </font>
    <font>
      <b/>
      <sz val="9"/>
      <color rgb="FFFFFFFF"/>
      <name val="Calibri"/>
      <family val="2"/>
    </font>
    <font>
      <b/>
      <sz val="10"/>
      <color rgb="FF1A1F2E"/>
      <name val="Calibri"/>
      <family val="2"/>
    </font>
    <font>
      <sz val="8"/>
      <color rgb="FF7A8294"/>
      <name val="Calibri"/>
      <family val="2"/>
    </font>
    <font>
      <b/>
      <sz val="12"/>
      <color rgb="FF44535B"/>
      <name val="Calibri"/>
      <family val="2"/>
    </font>
    <font>
      <sz val="10"/>
      <color rgb="FF44535B"/>
      <name val="Calibri"/>
      <family val="2"/>
    </font>
    <font>
      <b/>
      <sz val="10"/>
      <color rgb="FF44535B"/>
      <name val="Calibri"/>
      <family val="2"/>
    </font>
    <font>
      <b/>
      <sz val="11"/>
      <color rgb="FF44535B"/>
      <name val="Calibri"/>
      <family val="2"/>
    </font>
    <font>
      <b/>
      <sz val="11"/>
      <color rgb="FFC8A951"/>
      <name val="Calibri"/>
      <family val="2"/>
    </font>
    <font>
      <sz val="9"/>
      <color rgb="FF44535B"/>
      <name val="Calibri"/>
      <family val="2"/>
    </font>
    <font>
      <sz val="9"/>
      <color rgb="FF7A8294"/>
      <name val="Calibri"/>
      <family val="2"/>
    </font>
    <font>
      <i/>
      <sz val="8.5"/>
      <color rgb="FF7A8294"/>
      <name val="Calibri"/>
      <family val="2"/>
    </font>
    <font>
      <sz val="8.5"/>
      <color rgb="FF7A8294"/>
      <name val="Calibri"/>
      <family val="2"/>
    </font>
    <font>
      <b/>
      <sz val="9.5"/>
      <color rgb="FF44535B"/>
      <name val="Calibri"/>
      <family val="2"/>
    </font>
    <font>
      <b/>
      <sz val="9"/>
      <color rgb="FF1A1F2E"/>
      <name val="Calibri"/>
      <family val="2"/>
    </font>
    <font>
      <b/>
      <sz val="9.5"/>
      <color rgb="FF7A8294"/>
      <name val="Calibri"/>
      <family val="2"/>
    </font>
    <font>
      <b/>
      <sz val="11"/>
      <color rgb="FF7A8294"/>
      <name val="Calibri"/>
      <family val="2"/>
    </font>
    <font>
      <sz val="8.5"/>
      <color rgb="FF1A1F2E"/>
      <name val="Calibri"/>
      <family val="2"/>
    </font>
    <font>
      <b/>
      <sz val="8.5"/>
      <color rgb="FF44535B"/>
      <name val="Calibri"/>
      <family val="2"/>
    </font>
    <font>
      <b/>
      <sz val="8"/>
      <color rgb="FFC8A951"/>
      <name val="Calibri"/>
      <family val="2"/>
    </font>
    <font>
      <sz val="7.5"/>
      <color rgb="FF7A8294"/>
      <name val="Calibri"/>
      <family val="2"/>
    </font>
    <font>
      <b/>
      <sz val="8"/>
      <color rgb="FF7A8294"/>
      <name val="Calibri"/>
      <family val="2"/>
    </font>
    <font>
      <b/>
      <sz val="8.5"/>
      <color rgb="FF2F7A50"/>
      <name val="Calibri"/>
      <family val="2"/>
    </font>
    <font>
      <b/>
      <sz val="8.5"/>
      <color rgb="FFB8761C"/>
      <name val="Calibri"/>
      <family val="2"/>
    </font>
    <font>
      <b/>
      <sz val="8.5"/>
      <color rgb="FFB83838"/>
      <name val="Calibri"/>
      <family val="2"/>
    </font>
    <font>
      <b/>
      <sz val="8.5"/>
      <color rgb="FF7A8294"/>
      <name val="Calibri"/>
      <family val="2"/>
    </font>
    <font>
      <b/>
      <sz val="8"/>
      <color rgb="FF44535B"/>
      <name val="Calibri"/>
      <family val="2"/>
    </font>
    <font>
      <sz val="7.5"/>
      <color rgb="FFC8A951"/>
      <name val="Calibri"/>
      <family val="2"/>
    </font>
    <font>
      <b/>
      <sz val="20"/>
      <color rgb="FFC8A951"/>
      <name val="Georgia"/>
      <family val="1"/>
    </font>
    <font>
      <b/>
      <sz val="9"/>
      <color rgb="FF2F7A50"/>
      <name val="Calibri"/>
      <family val="2"/>
    </font>
    <font>
      <b/>
      <sz val="9"/>
      <color rgb="FFB8761C"/>
      <name val="Calibri"/>
      <family val="2"/>
    </font>
    <font>
      <b/>
      <sz val="9"/>
      <color rgb="FFB83838"/>
      <name val="Calibri"/>
      <family val="2"/>
    </font>
    <font>
      <b/>
      <sz val="9"/>
      <color rgb="FF7A8294"/>
      <name val="Calibri"/>
      <family val="2"/>
    </font>
    <font>
      <sz val="8.5"/>
      <color rgb="FF333333"/>
      <name val="Calibri"/>
      <family val="2"/>
    </font>
    <font>
      <sz val="8"/>
      <color rgb="FF1A1F2E"/>
      <name val="Calibri"/>
      <family val="2"/>
    </font>
  </fonts>
  <fills count="13">
    <fill>
      <patternFill patternType="none"/>
    </fill>
    <fill>
      <patternFill patternType="gray125"/>
    </fill>
    <fill>
      <patternFill patternType="solid">
        <fgColor rgb="FFFAF7EF"/>
      </patternFill>
    </fill>
    <fill>
      <patternFill patternType="solid">
        <fgColor rgb="FFC8A951"/>
      </patternFill>
    </fill>
    <fill>
      <patternFill patternType="solid">
        <fgColor rgb="FF44535B"/>
      </patternFill>
    </fill>
    <fill>
      <patternFill patternType="solid">
        <fgColor rgb="FFFFF9E3"/>
      </patternFill>
    </fill>
    <fill>
      <patternFill patternType="solid">
        <fgColor rgb="FFF3F4F5"/>
      </patternFill>
    </fill>
    <fill>
      <patternFill patternType="solid">
        <fgColor rgb="FFFDF6E3"/>
      </patternFill>
    </fill>
    <fill>
      <patternFill patternType="solid">
        <fgColor rgb="FFE4F0E9"/>
      </patternFill>
    </fill>
    <fill>
      <patternFill patternType="solid">
        <fgColor rgb="FFFBF0DC"/>
      </patternFill>
    </fill>
    <fill>
      <patternFill patternType="solid">
        <fgColor rgb="FFF8E4E4"/>
      </patternFill>
    </fill>
    <fill>
      <patternFill patternType="solid">
        <fgColor rgb="FFEFF1F3"/>
      </patternFill>
    </fill>
    <fill>
      <patternFill patternType="solid">
        <fgColor rgb="FFE8ECF5"/>
      </patternFill>
    </fill>
  </fills>
  <borders count="11">
    <border>
      <left/>
      <right/>
      <top/>
      <bottom/>
      <diagonal/>
    </border>
    <border>
      <left/>
      <right/>
      <top/>
      <bottom style="medium">
        <color rgb="FFC8A951"/>
      </bottom>
      <diagonal/>
    </border>
    <border>
      <left/>
      <right/>
      <top/>
      <bottom style="medium">
        <color rgb="FFC8A951"/>
      </bottom>
      <diagonal/>
    </border>
    <border>
      <left style="thin">
        <color rgb="FF44535B"/>
      </left>
      <right style="thin">
        <color rgb="FF44535B"/>
      </right>
      <top style="thin">
        <color rgb="FF44535B"/>
      </top>
      <bottom style="thin">
        <color rgb="FF44535B"/>
      </bottom>
      <diagonal/>
    </border>
    <border>
      <left style="thin">
        <color rgb="FFD9DCE0"/>
      </left>
      <right style="thin">
        <color rgb="FFD9DCE0"/>
      </right>
      <top style="thin">
        <color rgb="FFD9DCE0"/>
      </top>
      <bottom style="thin">
        <color rgb="FFD9DCE0"/>
      </bottom>
      <diagonal/>
    </border>
    <border>
      <left/>
      <right style="thin">
        <color rgb="FFD9DCE0"/>
      </right>
      <top style="thin">
        <color rgb="FFD9DCE0"/>
      </top>
      <bottom style="thin">
        <color rgb="FFD9DCE0"/>
      </bottom>
      <diagonal/>
    </border>
    <border>
      <left/>
      <right style="thin">
        <color rgb="FF44535B"/>
      </right>
      <top style="thin">
        <color rgb="FF44535B"/>
      </top>
      <bottom style="thin">
        <color rgb="FF44535B"/>
      </bottom>
      <diagonal/>
    </border>
    <border>
      <left style="thin">
        <color rgb="FFC8A951"/>
      </left>
      <right style="thin">
        <color rgb="FFC8A951"/>
      </right>
      <top style="thin">
        <color rgb="FFC8A951"/>
      </top>
      <bottom style="thin">
        <color rgb="FFC8A951"/>
      </bottom>
      <diagonal/>
    </border>
    <border>
      <left/>
      <right style="thin">
        <color rgb="FFC8A951"/>
      </right>
      <top style="thin">
        <color rgb="FFC8A951"/>
      </top>
      <bottom style="thin">
        <color rgb="FFC8A951"/>
      </bottom>
      <diagonal/>
    </border>
    <border>
      <left/>
      <right/>
      <top/>
      <bottom style="medium">
        <color rgb="FFC8A951"/>
      </bottom>
      <diagonal/>
    </border>
    <border>
      <left/>
      <right/>
      <top style="thin">
        <color rgb="FFE5E0D2"/>
      </top>
      <bottom/>
      <diagonal/>
    </border>
  </borders>
  <cellStyleXfs count="1">
    <xf numFmtId="0" fontId="0" fillId="0" borderId="0"/>
  </cellStyleXfs>
  <cellXfs count="15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vertical="center" wrapText="1"/>
    </xf>
    <xf numFmtId="0" fontId="11" fillId="4" borderId="3" xfId="0" applyFont="1" applyFill="1" applyBorder="1" applyAlignment="1">
      <alignment horizontal="left" vertical="center"/>
    </xf>
    <xf numFmtId="0" fontId="11" fillId="4" borderId="3" xfId="0" applyFont="1" applyFill="1" applyBorder="1" applyAlignment="1">
      <alignment horizontal="center" vertical="center"/>
    </xf>
    <xf numFmtId="0" fontId="5" fillId="0" borderId="4" xfId="0" applyFont="1" applyBorder="1" applyAlignment="1">
      <alignment horizontal="left" vertical="center" wrapText="1"/>
    </xf>
    <xf numFmtId="0" fontId="12" fillId="5" borderId="4" xfId="0" applyFont="1" applyFill="1" applyBorder="1" applyAlignment="1">
      <alignment horizontal="center" vertical="center"/>
    </xf>
    <xf numFmtId="0" fontId="13" fillId="0" borderId="4" xfId="0" applyFont="1" applyBorder="1" applyAlignment="1">
      <alignment horizontal="left" vertical="center" wrapText="1"/>
    </xf>
    <xf numFmtId="3" fontId="12" fillId="5" borderId="4" xfId="0" applyNumberFormat="1" applyFont="1" applyFill="1" applyBorder="1" applyAlignment="1">
      <alignment horizontal="center" vertical="center"/>
    </xf>
    <xf numFmtId="164" fontId="14" fillId="5" borderId="4" xfId="0" applyNumberFormat="1" applyFont="1" applyFill="1" applyBorder="1" applyAlignment="1">
      <alignment horizontal="center" vertical="center"/>
    </xf>
    <xf numFmtId="3" fontId="15" fillId="0" borderId="4" xfId="0" applyNumberFormat="1" applyFont="1" applyBorder="1" applyAlignment="1">
      <alignment horizontal="center" vertical="center"/>
    </xf>
    <xf numFmtId="9" fontId="12" fillId="6" borderId="4" xfId="0" applyNumberFormat="1" applyFont="1" applyFill="1" applyBorder="1" applyAlignment="1">
      <alignment horizontal="center" vertical="center"/>
    </xf>
    <xf numFmtId="9" fontId="12" fillId="5" borderId="4" xfId="0" applyNumberFormat="1" applyFont="1" applyFill="1" applyBorder="1" applyAlignment="1">
      <alignment horizontal="center" vertical="center"/>
    </xf>
    <xf numFmtId="3" fontId="17" fillId="2" borderId="3" xfId="0" applyNumberFormat="1" applyFont="1" applyFill="1" applyBorder="1" applyAlignment="1">
      <alignment horizontal="center" vertical="center"/>
    </xf>
    <xf numFmtId="0" fontId="16" fillId="2" borderId="3" xfId="0" applyFont="1" applyFill="1" applyBorder="1" applyAlignment="1">
      <alignment horizontal="center" vertical="center"/>
    </xf>
    <xf numFmtId="164" fontId="18" fillId="2" borderId="3" xfId="0" applyNumberFormat="1" applyFont="1" applyFill="1" applyBorder="1" applyAlignment="1">
      <alignment horizontal="center" vertical="center"/>
    </xf>
    <xf numFmtId="0" fontId="13" fillId="0" borderId="4" xfId="0" applyFont="1" applyBorder="1"/>
    <xf numFmtId="0" fontId="0" fillId="0" borderId="4" xfId="0" applyBorder="1"/>
    <xf numFmtId="165" fontId="12" fillId="5" borderId="4" xfId="0" applyNumberFormat="1" applyFont="1" applyFill="1" applyBorder="1" applyAlignment="1">
      <alignment horizontal="center" vertical="center"/>
    </xf>
    <xf numFmtId="1" fontId="12" fillId="5" borderId="4" xfId="0" applyNumberFormat="1" applyFont="1" applyFill="1" applyBorder="1" applyAlignment="1">
      <alignment horizontal="center" vertical="center"/>
    </xf>
    <xf numFmtId="166" fontId="12" fillId="5" borderId="4" xfId="0" applyNumberFormat="1" applyFont="1" applyFill="1" applyBorder="1" applyAlignment="1">
      <alignment horizontal="center" vertical="center"/>
    </xf>
    <xf numFmtId="0" fontId="19" fillId="0" borderId="4" xfId="0" applyFont="1" applyBorder="1" applyAlignment="1">
      <alignment horizontal="left" vertical="center" wrapText="1"/>
    </xf>
    <xf numFmtId="167" fontId="12" fillId="5" borderId="7" xfId="0" applyNumberFormat="1" applyFont="1" applyFill="1" applyBorder="1" applyAlignment="1">
      <alignment horizontal="center" vertical="center"/>
    </xf>
    <xf numFmtId="165" fontId="20" fillId="0" borderId="4" xfId="0" applyNumberFormat="1" applyFont="1" applyBorder="1" applyAlignment="1">
      <alignment horizontal="center" vertical="center"/>
    </xf>
    <xf numFmtId="0" fontId="0" fillId="2" borderId="4" xfId="0" applyFill="1" applyBorder="1"/>
    <xf numFmtId="0" fontId="11" fillId="4" borderId="3" xfId="0" applyFont="1" applyFill="1" applyBorder="1" applyAlignment="1">
      <alignment horizontal="left" vertical="center" wrapText="1"/>
    </xf>
    <xf numFmtId="2" fontId="22" fillId="0" borderId="4" xfId="0" applyNumberFormat="1" applyFont="1" applyBorder="1" applyAlignment="1">
      <alignment horizontal="center" vertical="center"/>
    </xf>
    <xf numFmtId="2" fontId="23" fillId="0" borderId="4" xfId="0" applyNumberFormat="1" applyFont="1" applyBorder="1" applyAlignment="1">
      <alignment horizontal="center" vertical="center"/>
    </xf>
    <xf numFmtId="2" fontId="6" fillId="0" borderId="4" xfId="0" applyNumberFormat="1" applyFont="1" applyBorder="1" applyAlignment="1">
      <alignment horizontal="center" vertical="center"/>
    </xf>
    <xf numFmtId="168" fontId="24" fillId="0" borderId="4" xfId="0" applyNumberFormat="1" applyFont="1" applyBorder="1" applyAlignment="1">
      <alignment horizontal="center" vertical="center"/>
    </xf>
    <xf numFmtId="169" fontId="6" fillId="0" borderId="4" xfId="0" applyNumberFormat="1" applyFont="1" applyBorder="1" applyAlignment="1">
      <alignment horizontal="center" vertical="center"/>
    </xf>
    <xf numFmtId="0" fontId="23" fillId="2" borderId="3" xfId="0" applyFont="1" applyFill="1" applyBorder="1"/>
    <xf numFmtId="0" fontId="0" fillId="2" borderId="3" xfId="0" applyFill="1" applyBorder="1"/>
    <xf numFmtId="2" fontId="23" fillId="2" borderId="3" xfId="0" applyNumberFormat="1" applyFont="1" applyFill="1" applyBorder="1" applyAlignment="1">
      <alignment horizontal="center" vertical="center"/>
    </xf>
    <xf numFmtId="168" fontId="23" fillId="2" borderId="3" xfId="0" applyNumberFormat="1" applyFont="1" applyFill="1" applyBorder="1" applyAlignment="1">
      <alignment horizontal="center" vertical="center"/>
    </xf>
    <xf numFmtId="169" fontId="23" fillId="2" borderId="3" xfId="0" applyNumberFormat="1" applyFont="1" applyFill="1" applyBorder="1" applyAlignment="1">
      <alignment horizontal="center" vertical="center"/>
    </xf>
    <xf numFmtId="0" fontId="17" fillId="3" borderId="3" xfId="0" applyFont="1" applyFill="1" applyBorder="1"/>
    <xf numFmtId="0" fontId="0" fillId="3" borderId="3" xfId="0" applyFill="1" applyBorder="1"/>
    <xf numFmtId="2" fontId="17" fillId="3" borderId="3" xfId="0" applyNumberFormat="1" applyFont="1" applyFill="1" applyBorder="1" applyAlignment="1">
      <alignment horizontal="center" vertical="center"/>
    </xf>
    <xf numFmtId="168" fontId="17" fillId="3" borderId="3" xfId="0" applyNumberFormat="1" applyFont="1" applyFill="1" applyBorder="1" applyAlignment="1">
      <alignment horizontal="center" vertical="center"/>
    </xf>
    <xf numFmtId="169" fontId="17" fillId="3" borderId="3" xfId="0" applyNumberFormat="1" applyFont="1" applyFill="1" applyBorder="1" applyAlignment="1">
      <alignment horizontal="center" vertical="center"/>
    </xf>
    <xf numFmtId="165" fontId="22" fillId="0" borderId="4" xfId="0" applyNumberFormat="1" applyFont="1" applyBorder="1" applyAlignment="1">
      <alignment horizontal="center" vertical="center"/>
    </xf>
    <xf numFmtId="165" fontId="5" fillId="2" borderId="3" xfId="0" applyNumberFormat="1" applyFont="1" applyFill="1" applyBorder="1" applyAlignment="1">
      <alignment horizontal="center" vertical="center"/>
    </xf>
    <xf numFmtId="165" fontId="16" fillId="3" borderId="3" xfId="0" applyNumberFormat="1" applyFont="1" applyFill="1" applyBorder="1" applyAlignment="1">
      <alignment horizontal="center" vertical="center"/>
    </xf>
    <xf numFmtId="0" fontId="21" fillId="0" borderId="0" xfId="0" applyFont="1"/>
    <xf numFmtId="165" fontId="6" fillId="0" borderId="4" xfId="0" applyNumberFormat="1" applyFont="1" applyBorder="1" applyAlignment="1">
      <alignment horizontal="center" vertical="center"/>
    </xf>
    <xf numFmtId="165" fontId="23" fillId="0" borderId="4" xfId="0" applyNumberFormat="1" applyFont="1" applyBorder="1" applyAlignment="1">
      <alignment horizontal="center" vertical="center"/>
    </xf>
    <xf numFmtId="0" fontId="20" fillId="0" borderId="4" xfId="0" applyFont="1" applyBorder="1" applyAlignment="1">
      <alignment horizontal="left" vertical="center" wrapText="1"/>
    </xf>
    <xf numFmtId="165" fontId="25" fillId="0" borderId="4" xfId="0" applyNumberFormat="1" applyFont="1" applyBorder="1" applyAlignment="1">
      <alignment horizontal="center" vertical="center"/>
    </xf>
    <xf numFmtId="0" fontId="16" fillId="2" borderId="4" xfId="0" applyFont="1" applyFill="1" applyBorder="1" applyAlignment="1">
      <alignment horizontal="left" vertical="center" wrapText="1"/>
    </xf>
    <xf numFmtId="165" fontId="17" fillId="2" borderId="4" xfId="0" applyNumberFormat="1" applyFont="1" applyFill="1" applyBorder="1" applyAlignment="1">
      <alignment horizontal="center" vertical="center"/>
    </xf>
    <xf numFmtId="165" fontId="26" fillId="2" borderId="4" xfId="0" applyNumberFormat="1" applyFont="1" applyFill="1" applyBorder="1" applyAlignment="1">
      <alignment horizontal="center" vertical="center"/>
    </xf>
    <xf numFmtId="164" fontId="17" fillId="2" borderId="4" xfId="0" applyNumberFormat="1" applyFont="1" applyFill="1" applyBorder="1" applyAlignment="1">
      <alignment horizontal="center" vertical="center"/>
    </xf>
    <xf numFmtId="164" fontId="26" fillId="2" borderId="4" xfId="0" applyNumberFormat="1" applyFont="1" applyFill="1" applyBorder="1" applyAlignment="1">
      <alignment horizontal="center" vertical="center"/>
    </xf>
    <xf numFmtId="164" fontId="23" fillId="0" borderId="4" xfId="0" applyNumberFormat="1" applyFont="1" applyBorder="1" applyAlignment="1">
      <alignment horizontal="center" vertical="center"/>
    </xf>
    <xf numFmtId="164" fontId="25" fillId="0" borderId="4" xfId="0" applyNumberFormat="1" applyFont="1" applyBorder="1" applyAlignment="1">
      <alignment horizontal="center" vertical="center"/>
    </xf>
    <xf numFmtId="0" fontId="23" fillId="0" borderId="4" xfId="0" applyFont="1" applyBorder="1" applyAlignment="1">
      <alignment horizontal="left" vertical="center" wrapText="1"/>
    </xf>
    <xf numFmtId="9" fontId="14" fillId="5" borderId="7" xfId="0" applyNumberFormat="1" applyFont="1" applyFill="1" applyBorder="1" applyAlignment="1">
      <alignment horizontal="center" vertical="center"/>
    </xf>
    <xf numFmtId="3" fontId="6" fillId="0" borderId="4" xfId="0" applyNumberFormat="1" applyFont="1" applyBorder="1" applyAlignment="1">
      <alignment horizontal="center" vertical="center"/>
    </xf>
    <xf numFmtId="0" fontId="23" fillId="2" borderId="4" xfId="0" applyFont="1" applyFill="1" applyBorder="1" applyAlignment="1">
      <alignment horizontal="left" vertical="center" wrapText="1"/>
    </xf>
    <xf numFmtId="3" fontId="16" fillId="2" borderId="4" xfId="0" applyNumberFormat="1" applyFont="1" applyFill="1" applyBorder="1" applyAlignment="1">
      <alignment horizontal="center" vertical="center"/>
    </xf>
    <xf numFmtId="0" fontId="13" fillId="2" borderId="4" xfId="0" applyFont="1" applyFill="1" applyBorder="1" applyAlignment="1">
      <alignment horizontal="left" vertical="center" wrapText="1"/>
    </xf>
    <xf numFmtId="0" fontId="23" fillId="3" borderId="4" xfId="0" applyFont="1" applyFill="1" applyBorder="1" applyAlignment="1">
      <alignment horizontal="left" vertical="center" wrapText="1"/>
    </xf>
    <xf numFmtId="2" fontId="16" fillId="3" borderId="4" xfId="0" applyNumberFormat="1" applyFont="1" applyFill="1" applyBorder="1" applyAlignment="1">
      <alignment horizontal="center" vertical="center"/>
    </xf>
    <xf numFmtId="0" fontId="13" fillId="3" borderId="4" xfId="0" applyFont="1" applyFill="1" applyBorder="1" applyAlignment="1">
      <alignment horizontal="left" vertical="center" wrapText="1"/>
    </xf>
    <xf numFmtId="168" fontId="6" fillId="0" borderId="4" xfId="0" applyNumberFormat="1" applyFont="1" applyBorder="1" applyAlignment="1">
      <alignment horizontal="center" vertical="center"/>
    </xf>
    <xf numFmtId="165" fontId="16" fillId="2" borderId="4" xfId="0" applyNumberFormat="1" applyFont="1" applyFill="1" applyBorder="1" applyAlignment="1">
      <alignment horizontal="center" vertical="center"/>
    </xf>
    <xf numFmtId="164" fontId="16" fillId="2" borderId="4" xfId="0" applyNumberFormat="1" applyFont="1" applyFill="1" applyBorder="1" applyAlignment="1">
      <alignment horizontal="center" vertical="center"/>
    </xf>
    <xf numFmtId="164" fontId="6" fillId="0" borderId="4" xfId="0" applyNumberFormat="1" applyFont="1" applyBorder="1" applyAlignment="1">
      <alignment horizontal="center" vertical="center"/>
    </xf>
    <xf numFmtId="0" fontId="28" fillId="0" borderId="4" xfId="0" applyFont="1" applyBorder="1" applyAlignment="1">
      <alignment horizontal="left" vertical="center" wrapText="1"/>
    </xf>
    <xf numFmtId="0" fontId="27" fillId="0" borderId="4" xfId="0" applyFont="1" applyBorder="1" applyAlignment="1">
      <alignment horizontal="left" vertical="center" wrapText="1"/>
    </xf>
    <xf numFmtId="0" fontId="29" fillId="7" borderId="4" xfId="0" applyFont="1" applyFill="1" applyBorder="1" applyAlignment="1">
      <alignment horizontal="center" vertical="center"/>
    </xf>
    <xf numFmtId="0" fontId="28" fillId="7" borderId="4" xfId="0" applyFont="1" applyFill="1" applyBorder="1" applyAlignment="1">
      <alignment horizontal="center" vertical="center"/>
    </xf>
    <xf numFmtId="0" fontId="30" fillId="0" borderId="4" xfId="0" applyFont="1" applyBorder="1" applyAlignment="1">
      <alignment horizontal="left" vertical="center" wrapText="1"/>
    </xf>
    <xf numFmtId="0" fontId="30" fillId="0" borderId="4" xfId="0" applyFont="1" applyBorder="1" applyAlignment="1">
      <alignment horizontal="center" vertical="center"/>
    </xf>
    <xf numFmtId="0" fontId="31" fillId="0" borderId="4" xfId="0" applyFont="1" applyBorder="1" applyAlignment="1">
      <alignment horizontal="center" vertical="center"/>
    </xf>
    <xf numFmtId="0" fontId="32" fillId="8" borderId="4" xfId="0" applyFont="1" applyFill="1" applyBorder="1" applyAlignment="1">
      <alignment horizontal="center" vertical="center"/>
    </xf>
    <xf numFmtId="0" fontId="33" fillId="9" borderId="4" xfId="0" applyFont="1" applyFill="1" applyBorder="1" applyAlignment="1">
      <alignment horizontal="center" vertical="center"/>
    </xf>
    <xf numFmtId="0" fontId="34" fillId="10" borderId="4" xfId="0" applyFont="1" applyFill="1" applyBorder="1" applyAlignment="1">
      <alignment horizontal="center" vertical="center"/>
    </xf>
    <xf numFmtId="0" fontId="35" fillId="11" borderId="4" xfId="0" applyFont="1" applyFill="1" applyBorder="1" applyAlignment="1">
      <alignment horizontal="center" vertical="center"/>
    </xf>
    <xf numFmtId="0" fontId="36" fillId="0" borderId="4" xfId="0" applyFont="1" applyBorder="1" applyAlignment="1">
      <alignment horizontal="center" vertical="center"/>
    </xf>
    <xf numFmtId="0" fontId="28" fillId="12" borderId="4" xfId="0" applyFont="1" applyFill="1" applyBorder="1" applyAlignment="1">
      <alignment horizontal="center" vertical="center"/>
    </xf>
    <xf numFmtId="0" fontId="31" fillId="2" borderId="7" xfId="0" applyFont="1" applyFill="1" applyBorder="1" applyAlignment="1">
      <alignment horizontal="center" vertical="center"/>
    </xf>
    <xf numFmtId="164" fontId="3" fillId="2" borderId="7" xfId="0" applyNumberFormat="1" applyFont="1" applyFill="1" applyBorder="1" applyAlignment="1">
      <alignment horizontal="center" vertical="center"/>
    </xf>
    <xf numFmtId="166" fontId="3" fillId="2" borderId="7" xfId="0" applyNumberFormat="1" applyFont="1" applyFill="1" applyBorder="1" applyAlignment="1">
      <alignment horizontal="center" vertical="center"/>
    </xf>
    <xf numFmtId="170" fontId="3" fillId="2" borderId="7" xfId="0" applyNumberFormat="1" applyFont="1" applyFill="1" applyBorder="1" applyAlignment="1">
      <alignment horizontal="center" vertical="center"/>
    </xf>
    <xf numFmtId="1" fontId="3" fillId="2" borderId="7" xfId="0" applyNumberFormat="1" applyFont="1" applyFill="1" applyBorder="1" applyAlignment="1">
      <alignment horizontal="center" vertical="center"/>
    </xf>
    <xf numFmtId="0" fontId="37" fillId="2" borderId="7" xfId="0" applyFont="1" applyFill="1" applyBorder="1" applyAlignment="1">
      <alignment horizontal="center" wrapText="1"/>
    </xf>
    <xf numFmtId="0" fontId="0" fillId="0" borderId="10" xfId="0" applyBorder="1"/>
    <xf numFmtId="0" fontId="39" fillId="8" borderId="4" xfId="0" applyFont="1" applyFill="1" applyBorder="1"/>
    <xf numFmtId="0" fontId="24" fillId="8" borderId="4" xfId="0" applyFont="1" applyFill="1" applyBorder="1" applyAlignment="1">
      <alignment horizontal="center" vertical="center"/>
    </xf>
    <xf numFmtId="164" fontId="6" fillId="8" borderId="4" xfId="0" applyNumberFormat="1" applyFont="1" applyFill="1" applyBorder="1" applyAlignment="1">
      <alignment horizontal="center" vertical="center"/>
    </xf>
    <xf numFmtId="0" fontId="0" fillId="8" borderId="4" xfId="0" applyFill="1" applyBorder="1"/>
    <xf numFmtId="0" fontId="40" fillId="9" borderId="4" xfId="0" applyFont="1" applyFill="1" applyBorder="1"/>
    <xf numFmtId="0" fontId="24" fillId="9" borderId="4" xfId="0" applyFont="1" applyFill="1" applyBorder="1" applyAlignment="1">
      <alignment horizontal="center" vertical="center"/>
    </xf>
    <xf numFmtId="164" fontId="6" fillId="9" borderId="4" xfId="0" applyNumberFormat="1" applyFont="1" applyFill="1" applyBorder="1" applyAlignment="1">
      <alignment horizontal="center" vertical="center"/>
    </xf>
    <xf numFmtId="0" fontId="0" fillId="9" borderId="4" xfId="0" applyFill="1" applyBorder="1"/>
    <xf numFmtId="0" fontId="41" fillId="10" borderId="4" xfId="0" applyFont="1" applyFill="1" applyBorder="1"/>
    <xf numFmtId="0" fontId="24" fillId="10" borderId="4" xfId="0" applyFont="1" applyFill="1" applyBorder="1" applyAlignment="1">
      <alignment horizontal="center" vertical="center"/>
    </xf>
    <xf numFmtId="164" fontId="6" fillId="10" borderId="4" xfId="0" applyNumberFormat="1" applyFont="1" applyFill="1" applyBorder="1" applyAlignment="1">
      <alignment horizontal="center" vertical="center"/>
    </xf>
    <xf numFmtId="0" fontId="0" fillId="10" borderId="4" xfId="0" applyFill="1" applyBorder="1"/>
    <xf numFmtId="0" fontId="42" fillId="11" borderId="4" xfId="0" applyFont="1" applyFill="1" applyBorder="1"/>
    <xf numFmtId="0" fontId="24" fillId="11" borderId="4" xfId="0" applyFont="1" applyFill="1" applyBorder="1" applyAlignment="1">
      <alignment horizontal="center" vertical="center"/>
    </xf>
    <xf numFmtId="0" fontId="6" fillId="11" borderId="4" xfId="0" applyFont="1" applyFill="1" applyBorder="1" applyAlignment="1">
      <alignment horizontal="center" vertical="center"/>
    </xf>
    <xf numFmtId="0" fontId="0" fillId="11" borderId="4" xfId="0" applyFill="1" applyBorder="1"/>
    <xf numFmtId="0" fontId="5" fillId="12" borderId="4" xfId="0" applyFont="1" applyFill="1" applyBorder="1"/>
    <xf numFmtId="0" fontId="24" fillId="12" borderId="4" xfId="0" applyFont="1" applyFill="1" applyBorder="1" applyAlignment="1">
      <alignment horizontal="center" vertical="center"/>
    </xf>
    <xf numFmtId="0" fontId="6" fillId="12" borderId="4" xfId="0" applyFont="1" applyFill="1" applyBorder="1" applyAlignment="1">
      <alignment horizontal="center" vertical="center"/>
    </xf>
    <xf numFmtId="0" fontId="0" fillId="12" borderId="4" xfId="0" applyFill="1" applyBorder="1"/>
    <xf numFmtId="0" fontId="23" fillId="2" borderId="3" xfId="0" applyFont="1" applyFill="1" applyBorder="1" applyAlignment="1">
      <alignment horizontal="center" vertical="center"/>
    </xf>
    <xf numFmtId="0" fontId="24" fillId="0" borderId="4" xfId="0" applyFont="1" applyBorder="1" applyAlignment="1">
      <alignment horizontal="center" vertical="center"/>
    </xf>
    <xf numFmtId="0" fontId="6" fillId="8" borderId="4" xfId="0" applyFont="1" applyFill="1" applyBorder="1" applyAlignment="1">
      <alignment horizontal="center" vertical="center"/>
    </xf>
    <xf numFmtId="0" fontId="6" fillId="9" borderId="4" xfId="0" applyFont="1" applyFill="1" applyBorder="1" applyAlignment="1">
      <alignment horizontal="center" vertical="center"/>
    </xf>
    <xf numFmtId="0" fontId="6" fillId="10" borderId="4" xfId="0" applyFont="1" applyFill="1" applyBorder="1" applyAlignment="1">
      <alignment horizontal="center" vertical="center"/>
    </xf>
    <xf numFmtId="0" fontId="16" fillId="3" borderId="3" xfId="0" applyFont="1" applyFill="1" applyBorder="1"/>
    <xf numFmtId="0" fontId="16" fillId="3" borderId="3" xfId="0" applyFont="1" applyFill="1" applyBorder="1" applyAlignment="1">
      <alignment horizontal="center" vertical="center"/>
    </xf>
    <xf numFmtId="0" fontId="11" fillId="3" borderId="7" xfId="0" applyFont="1" applyFill="1" applyBorder="1" applyAlignment="1">
      <alignment horizontal="center" vertical="center" wrapText="1"/>
    </xf>
    <xf numFmtId="0" fontId="16" fillId="0" borderId="4" xfId="0" applyFont="1" applyBorder="1" applyAlignment="1">
      <alignment horizontal="left" vertical="center" wrapText="1"/>
    </xf>
    <xf numFmtId="0" fontId="24" fillId="0" borderId="4" xfId="0" applyFont="1" applyBorder="1" applyAlignment="1">
      <alignment horizontal="left" vertical="top" wrapText="1"/>
    </xf>
    <xf numFmtId="0" fontId="0" fillId="6" borderId="4" xfId="0" applyFill="1" applyBorder="1"/>
    <xf numFmtId="0" fontId="29" fillId="0" borderId="4" xfId="0" applyFont="1" applyBorder="1" applyAlignment="1">
      <alignment horizontal="right" vertical="top"/>
    </xf>
    <xf numFmtId="0" fontId="43" fillId="0" borderId="4" xfId="0" applyFont="1" applyBorder="1" applyAlignment="1">
      <alignment horizontal="left" vertical="top" wrapText="1"/>
    </xf>
    <xf numFmtId="0" fontId="11" fillId="4" borderId="4" xfId="0" applyFont="1" applyFill="1" applyBorder="1" applyAlignment="1">
      <alignment horizontal="left" vertical="center" wrapText="1"/>
    </xf>
    <xf numFmtId="0" fontId="44" fillId="0" borderId="4"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horizontal="left" vertical="center" wrapText="1"/>
    </xf>
    <xf numFmtId="0" fontId="0" fillId="0" borderId="0" xfId="0"/>
    <xf numFmtId="0" fontId="7" fillId="2" borderId="9" xfId="0" applyFont="1" applyFill="1" applyBorder="1"/>
    <xf numFmtId="0" fontId="0" fillId="0" borderId="2" xfId="0" applyBorder="1"/>
    <xf numFmtId="0" fontId="8" fillId="0" borderId="0" xfId="0" applyFont="1" applyAlignment="1">
      <alignment horizontal="left" vertical="top" wrapText="1"/>
    </xf>
    <xf numFmtId="0" fontId="16" fillId="0" borderId="0" xfId="0" applyFont="1" applyAlignment="1">
      <alignment horizontal="left" vertical="top" wrapText="1"/>
    </xf>
    <xf numFmtId="0" fontId="38" fillId="0" borderId="0" xfId="0" applyFont="1" applyAlignment="1">
      <alignment horizontal="center" vertical="top"/>
    </xf>
    <xf numFmtId="0" fontId="10" fillId="0" borderId="0" xfId="0" applyFont="1" applyAlignment="1">
      <alignment horizontal="left" vertical="top" wrapText="1"/>
    </xf>
    <xf numFmtId="0" fontId="0" fillId="3" borderId="0" xfId="0" applyFill="1"/>
    <xf numFmtId="0" fontId="6" fillId="0" borderId="0" xfId="0" applyFont="1" applyAlignment="1">
      <alignment horizontal="left" vertical="top" wrapText="1"/>
    </xf>
    <xf numFmtId="0" fontId="21" fillId="0" borderId="0" xfId="0" applyFont="1" applyAlignment="1">
      <alignment horizontal="left" vertical="top" wrapText="1"/>
    </xf>
    <xf numFmtId="0" fontId="9" fillId="0" borderId="0" xfId="0" applyFont="1"/>
    <xf numFmtId="0" fontId="5" fillId="0" borderId="4" xfId="0" applyFont="1" applyBorder="1" applyAlignment="1">
      <alignment horizontal="left" vertical="center" wrapText="1"/>
    </xf>
    <xf numFmtId="0" fontId="0" fillId="0" borderId="5" xfId="0" applyBorder="1"/>
    <xf numFmtId="0" fontId="19" fillId="0" borderId="4" xfId="0" applyFont="1" applyBorder="1" applyAlignment="1">
      <alignment horizontal="left" vertical="center" wrapText="1"/>
    </xf>
    <xf numFmtId="2" fontId="12" fillId="5" borderId="7" xfId="0" applyNumberFormat="1" applyFont="1" applyFill="1" applyBorder="1" applyAlignment="1">
      <alignment horizontal="center" vertical="center"/>
    </xf>
    <xf numFmtId="0" fontId="0" fillId="0" borderId="8" xfId="0" applyBorder="1"/>
    <xf numFmtId="3" fontId="12" fillId="5" borderId="7" xfId="0" applyNumberFormat="1" applyFont="1" applyFill="1" applyBorder="1" applyAlignment="1">
      <alignment horizontal="center" vertical="center"/>
    </xf>
    <xf numFmtId="0" fontId="16" fillId="2" borderId="3" xfId="0" applyFont="1" applyFill="1" applyBorder="1"/>
    <xf numFmtId="0" fontId="0" fillId="0" borderId="6" xfId="0" applyBorder="1"/>
    <xf numFmtId="9" fontId="12" fillId="5" borderId="7" xfId="0" applyNumberFormat="1" applyFont="1" applyFill="1" applyBorder="1" applyAlignment="1">
      <alignment horizontal="center" vertical="center"/>
    </xf>
    <xf numFmtId="2" fontId="17" fillId="2" borderId="3" xfId="0" applyNumberFormat="1" applyFont="1" applyFill="1" applyBorder="1" applyAlignment="1">
      <alignment horizontal="center" vertical="center"/>
    </xf>
    <xf numFmtId="166" fontId="12" fillId="5" borderId="7" xfId="0" applyNumberFormat="1" applyFont="1" applyFill="1" applyBorder="1" applyAlignment="1">
      <alignment horizontal="center" vertical="center"/>
    </xf>
    <xf numFmtId="0" fontId="12" fillId="5" borderId="7" xfId="0" applyFont="1" applyFill="1" applyBorder="1" applyAlignment="1">
      <alignment horizontal="center" vertical="center"/>
    </xf>
    <xf numFmtId="165" fontId="12" fillId="5" borderId="7" xfId="0" applyNumberFormat="1" applyFont="1" applyFill="1" applyBorder="1" applyAlignment="1">
      <alignment horizontal="center" vertical="center"/>
    </xf>
    <xf numFmtId="0" fontId="7"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238500" cy="7239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8A951"/>
    <pageSetUpPr fitToPage="1"/>
  </sheetPr>
  <dimension ref="A2:F32"/>
  <sheetViews>
    <sheetView showGridLines="0" workbookViewId="0"/>
  </sheetViews>
  <sheetFormatPr baseColWidth="10" defaultColWidth="8.83203125" defaultRowHeight="15" x14ac:dyDescent="0.2"/>
  <cols>
    <col min="1" max="1" width="3" customWidth="1"/>
    <col min="2" max="2" width="30" customWidth="1"/>
    <col min="3" max="3" width="22" customWidth="1"/>
    <col min="4" max="5" width="20" customWidth="1"/>
    <col min="6" max="6" width="16" customWidth="1"/>
  </cols>
  <sheetData>
    <row r="2" spans="2:6" ht="68" customHeight="1" x14ac:dyDescent="0.2"/>
    <row r="7" spans="2:6" ht="34" customHeight="1" x14ac:dyDescent="0.3">
      <c r="B7" s="1" t="s">
        <v>0</v>
      </c>
    </row>
    <row r="8" spans="2:6" ht="16" x14ac:dyDescent="0.2">
      <c r="B8" s="2" t="s">
        <v>1</v>
      </c>
    </row>
    <row r="10" spans="2:6" ht="24" customHeight="1" x14ac:dyDescent="0.25">
      <c r="B10" s="3" t="s">
        <v>2</v>
      </c>
    </row>
    <row r="11" spans="2:6" x14ac:dyDescent="0.2">
      <c r="B11" s="4" t="s">
        <v>3</v>
      </c>
    </row>
    <row r="12" spans="2:6" x14ac:dyDescent="0.2">
      <c r="B12" s="4" t="s">
        <v>4</v>
      </c>
    </row>
    <row r="13" spans="2:6" x14ac:dyDescent="0.2">
      <c r="B13" s="4" t="s">
        <v>5</v>
      </c>
    </row>
    <row r="14" spans="2:6" x14ac:dyDescent="0.2">
      <c r="B14" s="4" t="s">
        <v>6</v>
      </c>
    </row>
    <row r="16" spans="2:6" x14ac:dyDescent="0.2">
      <c r="B16" s="5" t="s">
        <v>7</v>
      </c>
      <c r="C16" s="129" t="s">
        <v>8</v>
      </c>
      <c r="D16" s="130"/>
      <c r="E16" s="130"/>
      <c r="F16" s="130"/>
    </row>
    <row r="17" spans="1:6" x14ac:dyDescent="0.2">
      <c r="B17" s="5" t="s">
        <v>9</v>
      </c>
      <c r="C17" s="129" t="s">
        <v>10</v>
      </c>
      <c r="D17" s="130"/>
      <c r="E17" s="130"/>
      <c r="F17" s="130"/>
    </row>
    <row r="18" spans="1:6" x14ac:dyDescent="0.2">
      <c r="B18" s="5" t="s">
        <v>11</v>
      </c>
      <c r="C18" s="129" t="s">
        <v>12</v>
      </c>
      <c r="D18" s="130"/>
      <c r="E18" s="130"/>
      <c r="F18" s="130"/>
    </row>
    <row r="19" spans="1:6" x14ac:dyDescent="0.2">
      <c r="B19" s="5" t="s">
        <v>13</v>
      </c>
      <c r="C19" s="129" t="s">
        <v>14</v>
      </c>
      <c r="D19" s="130"/>
      <c r="E19" s="130"/>
      <c r="F19" s="130"/>
    </row>
    <row r="20" spans="1:6" x14ac:dyDescent="0.2">
      <c r="B20" s="5" t="s">
        <v>15</v>
      </c>
      <c r="C20" s="129" t="s">
        <v>16</v>
      </c>
      <c r="D20" s="130"/>
      <c r="E20" s="130"/>
      <c r="F20" s="130"/>
    </row>
    <row r="21" spans="1:6" x14ac:dyDescent="0.2">
      <c r="B21" s="5" t="s">
        <v>17</v>
      </c>
      <c r="C21" s="129" t="s">
        <v>18</v>
      </c>
      <c r="D21" s="130"/>
      <c r="E21" s="130"/>
      <c r="F21" s="130"/>
    </row>
    <row r="23" spans="1:6" ht="20" customHeight="1" x14ac:dyDescent="0.2">
      <c r="A23" s="131" t="s">
        <v>19</v>
      </c>
      <c r="B23" s="132"/>
      <c r="C23" s="132"/>
      <c r="D23" s="132"/>
      <c r="E23" s="132"/>
      <c r="F23" s="132"/>
    </row>
    <row r="24" spans="1:6" ht="24" customHeight="1" x14ac:dyDescent="0.2">
      <c r="B24" s="6" t="s">
        <v>20</v>
      </c>
      <c r="C24" s="129" t="s">
        <v>21</v>
      </c>
      <c r="D24" s="130"/>
      <c r="E24" s="130"/>
      <c r="F24" s="130"/>
    </row>
    <row r="25" spans="1:6" ht="24" customHeight="1" x14ac:dyDescent="0.2">
      <c r="B25" s="6" t="s">
        <v>22</v>
      </c>
      <c r="C25" s="129" t="s">
        <v>23</v>
      </c>
      <c r="D25" s="130"/>
      <c r="E25" s="130"/>
      <c r="F25" s="130"/>
    </row>
    <row r="26" spans="1:6" ht="24" customHeight="1" x14ac:dyDescent="0.2">
      <c r="B26" s="6" t="s">
        <v>24</v>
      </c>
      <c r="C26" s="129" t="s">
        <v>25</v>
      </c>
      <c r="D26" s="130"/>
      <c r="E26" s="130"/>
      <c r="F26" s="130"/>
    </row>
    <row r="27" spans="1:6" ht="24" customHeight="1" x14ac:dyDescent="0.2">
      <c r="B27" s="6" t="s">
        <v>26</v>
      </c>
      <c r="C27" s="129" t="s">
        <v>27</v>
      </c>
      <c r="D27" s="130"/>
      <c r="E27" s="130"/>
      <c r="F27" s="130"/>
    </row>
    <row r="29" spans="1:6" ht="36" customHeight="1" x14ac:dyDescent="0.2">
      <c r="A29" s="133" t="s">
        <v>28</v>
      </c>
      <c r="B29" s="130"/>
      <c r="C29" s="130"/>
      <c r="D29" s="130"/>
      <c r="E29" s="130"/>
      <c r="F29" s="130"/>
    </row>
    <row r="32" spans="1:6" x14ac:dyDescent="0.2">
      <c r="B32" s="5" t="s">
        <v>29</v>
      </c>
    </row>
  </sheetData>
  <mergeCells count="12">
    <mergeCell ref="A29:F29"/>
    <mergeCell ref="C16:F16"/>
    <mergeCell ref="C25:F25"/>
    <mergeCell ref="C27:F27"/>
    <mergeCell ref="C19:F19"/>
    <mergeCell ref="C24:F24"/>
    <mergeCell ref="C18:F18"/>
    <mergeCell ref="C17:F17"/>
    <mergeCell ref="C26:F26"/>
    <mergeCell ref="A23:F23"/>
    <mergeCell ref="C20:F20"/>
    <mergeCell ref="C21:F21"/>
  </mergeCells>
  <printOptions horizontalCentered="1"/>
  <pageMargins left="0.75" right="0.75" top="1" bottom="1" header="0.5" footer="0.5"/>
  <pageSetup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535B"/>
    <pageSetUpPr fitToPage="1"/>
  </sheetPr>
  <dimension ref="A1:F38"/>
  <sheetViews>
    <sheetView showGridLines="0" tabSelected="1" workbookViewId="0">
      <selection sqref="A1:F1"/>
    </sheetView>
  </sheetViews>
  <sheetFormatPr baseColWidth="10" defaultColWidth="8.83203125" defaultRowHeight="15" x14ac:dyDescent="0.2"/>
  <cols>
    <col min="1" max="1" width="32" customWidth="1"/>
    <col min="2" max="6" width="17" customWidth="1"/>
  </cols>
  <sheetData>
    <row r="1" spans="1:6" ht="24" customHeight="1" x14ac:dyDescent="0.25">
      <c r="A1" s="140" t="s">
        <v>30</v>
      </c>
      <c r="B1" s="130"/>
      <c r="C1" s="130"/>
      <c r="D1" s="130"/>
      <c r="E1" s="130"/>
      <c r="F1" s="130"/>
    </row>
    <row r="2" spans="1:6" ht="3" customHeight="1" x14ac:dyDescent="0.2">
      <c r="A2" s="137"/>
      <c r="B2" s="130"/>
      <c r="C2" s="130"/>
      <c r="D2" s="130"/>
      <c r="E2" s="130"/>
      <c r="F2" s="130"/>
    </row>
    <row r="3" spans="1:6" ht="49" customHeight="1" x14ac:dyDescent="0.2">
      <c r="A3" s="136" t="s">
        <v>31</v>
      </c>
      <c r="B3" s="130"/>
      <c r="C3" s="130"/>
      <c r="D3" s="130"/>
      <c r="E3" s="130"/>
      <c r="F3" s="130"/>
    </row>
    <row r="5" spans="1:6" ht="15" customHeight="1" x14ac:dyDescent="0.2">
      <c r="A5" s="86" t="s">
        <v>32</v>
      </c>
      <c r="B5" s="86" t="s">
        <v>33</v>
      </c>
      <c r="C5" s="86" t="s">
        <v>34</v>
      </c>
      <c r="D5" s="86" t="s">
        <v>35</v>
      </c>
      <c r="E5" s="86" t="s">
        <v>36</v>
      </c>
      <c r="F5" s="86" t="s">
        <v>37</v>
      </c>
    </row>
    <row r="6" spans="1:6" ht="28" customHeight="1" x14ac:dyDescent="0.2">
      <c r="A6" s="87">
        <f>Inputs!F19</f>
        <v>0.91785714285714282</v>
      </c>
      <c r="B6" s="88">
        <f>'Staffing Model'!G34</f>
        <v>173.36252211716857</v>
      </c>
      <c r="C6" s="89">
        <f>'Staffing Model'!I34</f>
        <v>-13.862522117168544</v>
      </c>
      <c r="D6" s="87">
        <f>Financials!E20</f>
        <v>0.2147223914712309</v>
      </c>
      <c r="E6" s="87">
        <f>Financials!E21</f>
        <v>0.48993491691553637</v>
      </c>
      <c r="F6" s="90">
        <f>COUNTIF('KPI Scorecard'!$F$7:$F$140,"Below")</f>
        <v>18</v>
      </c>
    </row>
    <row r="7" spans="1:6" ht="20" customHeight="1" x14ac:dyDescent="0.2">
      <c r="A7" s="91" t="s">
        <v>38</v>
      </c>
      <c r="B7" s="91" t="s">
        <v>39</v>
      </c>
      <c r="C7" s="91" t="s">
        <v>40</v>
      </c>
      <c r="D7" s="91" t="s">
        <v>41</v>
      </c>
      <c r="E7" s="91" t="s">
        <v>42</v>
      </c>
      <c r="F7" s="91" t="s">
        <v>43</v>
      </c>
    </row>
    <row r="9" spans="1:6" ht="20" customHeight="1" x14ac:dyDescent="0.2">
      <c r="A9" s="131" t="s">
        <v>44</v>
      </c>
      <c r="B9" s="132"/>
      <c r="C9" s="132"/>
      <c r="D9" s="132"/>
      <c r="E9" s="132"/>
      <c r="F9" s="132"/>
    </row>
    <row r="10" spans="1:6" ht="16" customHeight="1" x14ac:dyDescent="0.2">
      <c r="A10" s="135" t="s">
        <v>45</v>
      </c>
      <c r="B10" s="134" t="s">
        <v>46</v>
      </c>
      <c r="C10" s="130"/>
      <c r="D10" s="130"/>
      <c r="E10" s="130"/>
      <c r="F10" s="130"/>
    </row>
    <row r="11" spans="1:6" ht="56" customHeight="1" x14ac:dyDescent="0.2">
      <c r="A11" s="130"/>
      <c r="B11" s="138" t="s">
        <v>47</v>
      </c>
      <c r="C11" s="130"/>
      <c r="D11" s="130"/>
      <c r="E11" s="130"/>
      <c r="F11" s="130"/>
    </row>
    <row r="12" spans="1:6" ht="6" customHeight="1" x14ac:dyDescent="0.2">
      <c r="A12" s="92"/>
      <c r="B12" s="92"/>
      <c r="C12" s="92"/>
      <c r="D12" s="92"/>
      <c r="E12" s="92"/>
      <c r="F12" s="92"/>
    </row>
    <row r="13" spans="1:6" ht="16" customHeight="1" x14ac:dyDescent="0.2">
      <c r="A13" s="135" t="s">
        <v>48</v>
      </c>
      <c r="B13" s="134" t="s">
        <v>49</v>
      </c>
      <c r="C13" s="130"/>
      <c r="D13" s="130"/>
      <c r="E13" s="130"/>
      <c r="F13" s="130"/>
    </row>
    <row r="14" spans="1:6" ht="44" customHeight="1" x14ac:dyDescent="0.2">
      <c r="A14" s="130"/>
      <c r="B14" s="138" t="s">
        <v>50</v>
      </c>
      <c r="C14" s="130"/>
      <c r="D14" s="130"/>
      <c r="E14" s="130"/>
      <c r="F14" s="130"/>
    </row>
    <row r="15" spans="1:6" ht="6" customHeight="1" x14ac:dyDescent="0.2">
      <c r="A15" s="92"/>
      <c r="B15" s="92"/>
      <c r="C15" s="92"/>
      <c r="D15" s="92"/>
      <c r="E15" s="92"/>
      <c r="F15" s="92"/>
    </row>
    <row r="16" spans="1:6" ht="16" customHeight="1" x14ac:dyDescent="0.2">
      <c r="A16" s="135" t="s">
        <v>51</v>
      </c>
      <c r="B16" s="134" t="s">
        <v>52</v>
      </c>
      <c r="C16" s="130"/>
      <c r="D16" s="130"/>
      <c r="E16" s="130"/>
      <c r="F16" s="130"/>
    </row>
    <row r="17" spans="1:6" ht="44" customHeight="1" x14ac:dyDescent="0.2">
      <c r="A17" s="130"/>
      <c r="B17" s="138" t="s">
        <v>53</v>
      </c>
      <c r="C17" s="130"/>
      <c r="D17" s="130"/>
      <c r="E17" s="130"/>
      <c r="F17" s="130"/>
    </row>
    <row r="18" spans="1:6" ht="6" customHeight="1" x14ac:dyDescent="0.2">
      <c r="A18" s="92"/>
      <c r="B18" s="92"/>
      <c r="C18" s="92"/>
      <c r="D18" s="92"/>
      <c r="E18" s="92"/>
      <c r="F18" s="92"/>
    </row>
    <row r="19" spans="1:6" ht="16" customHeight="1" x14ac:dyDescent="0.2">
      <c r="A19" s="135" t="s">
        <v>54</v>
      </c>
      <c r="B19" s="134" t="s">
        <v>55</v>
      </c>
      <c r="C19" s="130"/>
      <c r="D19" s="130"/>
      <c r="E19" s="130"/>
      <c r="F19" s="130"/>
    </row>
    <row r="20" spans="1:6" ht="32" customHeight="1" x14ac:dyDescent="0.2">
      <c r="A20" s="130"/>
      <c r="B20" s="138" t="s">
        <v>56</v>
      </c>
      <c r="C20" s="130"/>
      <c r="D20" s="130"/>
      <c r="E20" s="130"/>
      <c r="F20" s="130"/>
    </row>
    <row r="21" spans="1:6" ht="6" customHeight="1" x14ac:dyDescent="0.2">
      <c r="A21" s="92"/>
      <c r="B21" s="92"/>
      <c r="C21" s="92"/>
      <c r="D21" s="92"/>
      <c r="E21" s="92"/>
      <c r="F21" s="92"/>
    </row>
    <row r="22" spans="1:6" ht="16" customHeight="1" x14ac:dyDescent="0.2">
      <c r="A22" s="135" t="s">
        <v>57</v>
      </c>
      <c r="B22" s="134" t="s">
        <v>58</v>
      </c>
      <c r="C22" s="130"/>
      <c r="D22" s="130"/>
      <c r="E22" s="130"/>
      <c r="F22" s="130"/>
    </row>
    <row r="23" spans="1:6" ht="32" customHeight="1" x14ac:dyDescent="0.2">
      <c r="A23" s="130"/>
      <c r="B23" s="138" t="s">
        <v>59</v>
      </c>
      <c r="C23" s="130"/>
      <c r="D23" s="130"/>
      <c r="E23" s="130"/>
      <c r="F23" s="130"/>
    </row>
    <row r="24" spans="1:6" ht="6" customHeight="1" x14ac:dyDescent="0.2">
      <c r="A24" s="92"/>
      <c r="B24" s="92"/>
      <c r="C24" s="92"/>
      <c r="D24" s="92"/>
      <c r="E24" s="92"/>
      <c r="F24" s="92"/>
    </row>
    <row r="25" spans="1:6" ht="16" customHeight="1" x14ac:dyDescent="0.2">
      <c r="A25" s="135" t="s">
        <v>60</v>
      </c>
      <c r="B25" s="134" t="s">
        <v>61</v>
      </c>
      <c r="C25" s="130"/>
      <c r="D25" s="130"/>
      <c r="E25" s="130"/>
      <c r="F25" s="130"/>
    </row>
    <row r="26" spans="1:6" ht="32" customHeight="1" x14ac:dyDescent="0.2">
      <c r="A26" s="130"/>
      <c r="B26" s="138" t="s">
        <v>62</v>
      </c>
      <c r="C26" s="130"/>
      <c r="D26" s="130"/>
      <c r="E26" s="130"/>
      <c r="F26" s="130"/>
    </row>
    <row r="27" spans="1:6" ht="6" customHeight="1" x14ac:dyDescent="0.2">
      <c r="A27" s="92"/>
      <c r="B27" s="92"/>
      <c r="C27" s="92"/>
      <c r="D27" s="92"/>
      <c r="E27" s="92"/>
      <c r="F27" s="92"/>
    </row>
    <row r="29" spans="1:6" ht="20" customHeight="1" x14ac:dyDescent="0.2">
      <c r="A29" s="131" t="s">
        <v>63</v>
      </c>
      <c r="B29" s="132"/>
      <c r="C29" s="132"/>
      <c r="D29" s="132"/>
      <c r="E29" s="132"/>
      <c r="F29" s="132"/>
    </row>
    <row r="30" spans="1:6" ht="26" customHeight="1" x14ac:dyDescent="0.2">
      <c r="A30" s="29" t="s">
        <v>64</v>
      </c>
      <c r="B30" s="29" t="s">
        <v>65</v>
      </c>
      <c r="C30" s="29" t="s">
        <v>66</v>
      </c>
      <c r="D30" s="29"/>
      <c r="E30" s="29"/>
      <c r="F30" s="29"/>
    </row>
    <row r="31" spans="1:6" ht="16" customHeight="1" x14ac:dyDescent="0.2">
      <c r="A31" s="93" t="s">
        <v>67</v>
      </c>
      <c r="B31" s="94">
        <f>COUNTIF('KPI Scorecard'!$F$7:$F$140,"On benchmark")</f>
        <v>22</v>
      </c>
      <c r="C31" s="95">
        <f>IFERROR(B31/(COUNTIF('KPI Scorecard'!$F$7:$F$140,"On benchmark")+COUNTIF('KPI Scorecard'!$F$7:$F$140,"Watch")+COUNTIF('KPI Scorecard'!$F$7:$F$140,"Below")),0)</f>
        <v>0.30985915492957744</v>
      </c>
      <c r="D31" s="96"/>
      <c r="E31" s="96"/>
      <c r="F31" s="96"/>
    </row>
    <row r="32" spans="1:6" ht="16" customHeight="1" x14ac:dyDescent="0.2">
      <c r="A32" s="97" t="s">
        <v>68</v>
      </c>
      <c r="B32" s="98">
        <f>COUNTIF('KPI Scorecard'!$F$7:$F$140,"Watch")</f>
        <v>31</v>
      </c>
      <c r="C32" s="99">
        <f>IFERROR(B32/(COUNTIF('KPI Scorecard'!$F$7:$F$140,"On benchmark")+COUNTIF('KPI Scorecard'!$F$7:$F$140,"Watch")+COUNTIF('KPI Scorecard'!$F$7:$F$140,"Below")),0)</f>
        <v>0.43661971830985913</v>
      </c>
      <c r="D32" s="100"/>
      <c r="E32" s="100"/>
      <c r="F32" s="100"/>
    </row>
    <row r="33" spans="1:6" ht="16" customHeight="1" x14ac:dyDescent="0.2">
      <c r="A33" s="101" t="s">
        <v>69</v>
      </c>
      <c r="B33" s="102">
        <f>COUNTIF('KPI Scorecard'!$F$7:$F$140,"Below")</f>
        <v>18</v>
      </c>
      <c r="C33" s="103">
        <f>IFERROR(B33/(COUNTIF('KPI Scorecard'!$F$7:$F$140,"On benchmark")+COUNTIF('KPI Scorecard'!$F$7:$F$140,"Watch")+COUNTIF('KPI Scorecard'!$F$7:$F$140,"Below")),0)</f>
        <v>0.25352112676056338</v>
      </c>
      <c r="D33" s="104"/>
      <c r="E33" s="104"/>
      <c r="F33" s="104"/>
    </row>
    <row r="34" spans="1:6" ht="16" customHeight="1" x14ac:dyDescent="0.2">
      <c r="A34" s="105" t="s">
        <v>70</v>
      </c>
      <c r="B34" s="106">
        <f>COUNTIF('KPI Scorecard'!$F$7:$F$140,"Informational")</f>
        <v>8</v>
      </c>
      <c r="C34" s="107" t="s">
        <v>71</v>
      </c>
      <c r="D34" s="108"/>
      <c r="E34" s="108"/>
      <c r="F34" s="108"/>
    </row>
    <row r="35" spans="1:6" ht="16" customHeight="1" x14ac:dyDescent="0.2">
      <c r="A35" s="109" t="s">
        <v>72</v>
      </c>
      <c r="B35" s="110">
        <f>COUNTIF('KPI Scorecard'!$F$7:$F$140,"CMS-fetched")</f>
        <v>36</v>
      </c>
      <c r="C35" s="111" t="s">
        <v>71</v>
      </c>
      <c r="D35" s="112"/>
      <c r="E35" s="112"/>
      <c r="F35" s="112"/>
    </row>
    <row r="36" spans="1:6" x14ac:dyDescent="0.2">
      <c r="A36" s="35" t="s">
        <v>73</v>
      </c>
      <c r="B36" s="113">
        <f>COUNTA('KPI Scorecard'!$J$7:$J$140)</f>
        <v>115</v>
      </c>
      <c r="C36" s="36"/>
      <c r="D36" s="36"/>
      <c r="E36" s="36"/>
      <c r="F36" s="36"/>
    </row>
    <row r="38" spans="1:6" ht="24" customHeight="1" x14ac:dyDescent="0.2">
      <c r="A38" s="139" t="s">
        <v>74</v>
      </c>
      <c r="B38" s="130"/>
      <c r="C38" s="130"/>
      <c r="D38" s="130"/>
      <c r="E38" s="130"/>
      <c r="F38" s="130"/>
    </row>
  </sheetData>
  <mergeCells count="24">
    <mergeCell ref="A1:F1"/>
    <mergeCell ref="B26:F26"/>
    <mergeCell ref="A29:F29"/>
    <mergeCell ref="B13:F13"/>
    <mergeCell ref="A38:F38"/>
    <mergeCell ref="A22:A23"/>
    <mergeCell ref="A13:A14"/>
    <mergeCell ref="B19:F19"/>
    <mergeCell ref="A19:A20"/>
    <mergeCell ref="B20:F20"/>
    <mergeCell ref="A2:F2"/>
    <mergeCell ref="A25:A26"/>
    <mergeCell ref="B11:F11"/>
    <mergeCell ref="B23:F23"/>
    <mergeCell ref="B14:F14"/>
    <mergeCell ref="B17:F17"/>
    <mergeCell ref="B10:F10"/>
    <mergeCell ref="A9:F9"/>
    <mergeCell ref="A10:A11"/>
    <mergeCell ref="B16:F16"/>
    <mergeCell ref="B25:F25"/>
    <mergeCell ref="A16:A17"/>
    <mergeCell ref="B22:F22"/>
    <mergeCell ref="A3:F3"/>
  </mergeCells>
  <printOptions horizontalCentered="1"/>
  <pageMargins left="0.75" right="0.75" top="1" bottom="1" header="0.5" footer="0.5"/>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8A951"/>
    <pageSetUpPr fitToPage="1"/>
  </sheetPr>
  <dimension ref="A1:G115"/>
  <sheetViews>
    <sheetView showGridLines="0" workbookViewId="0">
      <pane ySplit="4" topLeftCell="A5" activePane="bottomLeft" state="frozen"/>
      <selection pane="bottomLeft" sqref="A1:G1"/>
    </sheetView>
  </sheetViews>
  <sheetFormatPr baseColWidth="10" defaultColWidth="8.83203125" defaultRowHeight="15" x14ac:dyDescent="0.2"/>
  <cols>
    <col min="1" max="1" width="38" customWidth="1"/>
    <col min="2" max="2" width="17" customWidth="1"/>
    <col min="3" max="6" width="14" customWidth="1"/>
    <col min="7" max="7" width="30" customWidth="1"/>
  </cols>
  <sheetData>
    <row r="1" spans="1:7" ht="24" customHeight="1" x14ac:dyDescent="0.25">
      <c r="A1" s="140" t="s">
        <v>75</v>
      </c>
      <c r="B1" s="130"/>
      <c r="C1" s="130"/>
      <c r="D1" s="130"/>
      <c r="E1" s="130"/>
      <c r="F1" s="130"/>
      <c r="G1" s="130"/>
    </row>
    <row r="2" spans="1:7" ht="3" customHeight="1" x14ac:dyDescent="0.2">
      <c r="A2" s="137"/>
      <c r="B2" s="130"/>
      <c r="C2" s="130"/>
      <c r="D2" s="130"/>
      <c r="E2" s="130"/>
      <c r="F2" s="130"/>
      <c r="G2" s="130"/>
    </row>
    <row r="3" spans="1:7" ht="36" customHeight="1" x14ac:dyDescent="0.2">
      <c r="A3" s="136" t="s">
        <v>76</v>
      </c>
      <c r="B3" s="130"/>
      <c r="C3" s="130"/>
      <c r="D3" s="130"/>
      <c r="E3" s="130"/>
      <c r="F3" s="130"/>
      <c r="G3" s="130"/>
    </row>
    <row r="5" spans="1:7" ht="20" customHeight="1" x14ac:dyDescent="0.2">
      <c r="A5" s="131" t="s">
        <v>77</v>
      </c>
      <c r="B5" s="132"/>
      <c r="C5" s="132"/>
      <c r="D5" s="132"/>
      <c r="E5" s="132"/>
      <c r="F5" s="132"/>
      <c r="G5" s="132"/>
    </row>
    <row r="6" spans="1:7" ht="18" customHeight="1" x14ac:dyDescent="0.2">
      <c r="A6" s="7"/>
      <c r="B6" s="8"/>
      <c r="C6" s="8" t="s">
        <v>78</v>
      </c>
      <c r="D6" s="8" t="s">
        <v>79</v>
      </c>
      <c r="E6" s="8" t="s">
        <v>80</v>
      </c>
      <c r="F6" s="8" t="s">
        <v>81</v>
      </c>
      <c r="G6" s="7" t="s">
        <v>82</v>
      </c>
    </row>
    <row r="7" spans="1:7" ht="16" customHeight="1" x14ac:dyDescent="0.2">
      <c r="A7" s="141" t="s">
        <v>83</v>
      </c>
      <c r="B7" s="142"/>
      <c r="C7" s="10" t="s">
        <v>84</v>
      </c>
      <c r="D7" s="10" t="s">
        <v>84</v>
      </c>
      <c r="E7" s="10" t="s">
        <v>84</v>
      </c>
      <c r="F7" s="10" t="s">
        <v>84</v>
      </c>
      <c r="G7" s="11" t="s">
        <v>85</v>
      </c>
    </row>
    <row r="8" spans="1:7" ht="16" customHeight="1" x14ac:dyDescent="0.2">
      <c r="A8" s="141" t="s">
        <v>86</v>
      </c>
      <c r="B8" s="142"/>
      <c r="C8" s="12">
        <v>142</v>
      </c>
      <c r="D8" s="12">
        <v>58</v>
      </c>
      <c r="E8" s="12">
        <v>28</v>
      </c>
      <c r="F8" s="12">
        <v>52</v>
      </c>
      <c r="G8" s="11" t="s">
        <v>87</v>
      </c>
    </row>
    <row r="9" spans="1:7" ht="16" customHeight="1" x14ac:dyDescent="0.2">
      <c r="A9" s="141" t="s">
        <v>88</v>
      </c>
      <c r="B9" s="142"/>
      <c r="C9" s="12">
        <v>168000</v>
      </c>
      <c r="D9" s="12">
        <v>46400</v>
      </c>
      <c r="E9" s="12">
        <v>19600</v>
      </c>
      <c r="F9" s="12">
        <v>41600</v>
      </c>
      <c r="G9" s="11" t="s">
        <v>89</v>
      </c>
    </row>
    <row r="11" spans="1:7" ht="20" customHeight="1" x14ac:dyDescent="0.2">
      <c r="A11" s="131" t="s">
        <v>90</v>
      </c>
      <c r="B11" s="132"/>
      <c r="C11" s="132"/>
      <c r="D11" s="132"/>
      <c r="E11" s="132"/>
      <c r="F11" s="132"/>
      <c r="G11" s="132"/>
    </row>
    <row r="12" spans="1:7" ht="18" customHeight="1" x14ac:dyDescent="0.2">
      <c r="A12" s="7"/>
      <c r="B12" s="8"/>
      <c r="C12" s="8" t="s">
        <v>78</v>
      </c>
      <c r="D12" s="8" t="s">
        <v>79</v>
      </c>
      <c r="E12" s="8" t="s">
        <v>80</v>
      </c>
      <c r="F12" s="8" t="s">
        <v>81</v>
      </c>
      <c r="G12" s="7" t="s">
        <v>82</v>
      </c>
    </row>
    <row r="13" spans="1:7" ht="22" customHeight="1" x14ac:dyDescent="0.2">
      <c r="A13" s="141" t="s">
        <v>91</v>
      </c>
      <c r="B13" s="142"/>
      <c r="C13" s="13">
        <v>0.92300000000000004</v>
      </c>
      <c r="D13" s="13">
        <v>0.91400000000000003</v>
      </c>
      <c r="E13" s="13">
        <v>0.92900000000000005</v>
      </c>
      <c r="F13" s="13">
        <v>0.90400000000000003</v>
      </c>
      <c r="G13" s="11" t="s">
        <v>92</v>
      </c>
    </row>
    <row r="14" spans="1:7" ht="16" customHeight="1" x14ac:dyDescent="0.2">
      <c r="A14" s="141" t="s">
        <v>93</v>
      </c>
      <c r="B14" s="142"/>
      <c r="C14" s="14">
        <f>ROUND(C8*C13,0)</f>
        <v>131</v>
      </c>
      <c r="D14" s="14">
        <f>ROUND(D8*D13,0)</f>
        <v>53</v>
      </c>
      <c r="E14" s="14">
        <f>ROUND(E8*E13,0)</f>
        <v>26</v>
      </c>
      <c r="F14" s="14">
        <f>ROUND(F8*F13,0)</f>
        <v>47</v>
      </c>
      <c r="G14" s="11" t="s">
        <v>94</v>
      </c>
    </row>
    <row r="15" spans="1:7" ht="16" customHeight="1" x14ac:dyDescent="0.2">
      <c r="A15" s="141" t="s">
        <v>95</v>
      </c>
      <c r="B15" s="142"/>
      <c r="C15" s="15" t="s">
        <v>71</v>
      </c>
      <c r="D15" s="15" t="s">
        <v>71</v>
      </c>
      <c r="E15" s="15" t="s">
        <v>71</v>
      </c>
      <c r="F15" s="16">
        <v>0.3</v>
      </c>
      <c r="G15" s="11" t="s">
        <v>96</v>
      </c>
    </row>
    <row r="16" spans="1:7" ht="16" customHeight="1" x14ac:dyDescent="0.2">
      <c r="A16" s="141" t="s">
        <v>97</v>
      </c>
      <c r="B16" s="142"/>
      <c r="C16" s="14"/>
      <c r="D16" s="14"/>
      <c r="E16" s="14"/>
      <c r="F16" s="14">
        <f>ROUND(F14*F15,0)</f>
        <v>14</v>
      </c>
      <c r="G16" s="11" t="s">
        <v>98</v>
      </c>
    </row>
    <row r="17" spans="1:7" ht="16" customHeight="1" x14ac:dyDescent="0.2">
      <c r="A17" s="141" t="s">
        <v>99</v>
      </c>
      <c r="B17" s="142"/>
      <c r="C17" s="14"/>
      <c r="D17" s="14"/>
      <c r="E17" s="14"/>
      <c r="F17" s="14">
        <f>F14-F16</f>
        <v>33</v>
      </c>
      <c r="G17" s="11" t="s">
        <v>98</v>
      </c>
    </row>
    <row r="19" spans="1:7" x14ac:dyDescent="0.2">
      <c r="A19" s="147" t="s">
        <v>100</v>
      </c>
      <c r="B19" s="148"/>
      <c r="C19" s="17">
        <f>SUM(C8:F8)</f>
        <v>280</v>
      </c>
      <c r="D19" s="18" t="s">
        <v>101</v>
      </c>
      <c r="E19" s="17">
        <f>SUM(C14:F14)</f>
        <v>257</v>
      </c>
      <c r="F19" s="19">
        <f>IFERROR(E19/C19,0)</f>
        <v>0.91785714285714282</v>
      </c>
      <c r="G19" s="20" t="s">
        <v>32</v>
      </c>
    </row>
    <row r="21" spans="1:7" ht="20" customHeight="1" x14ac:dyDescent="0.2">
      <c r="A21" s="131" t="s">
        <v>102</v>
      </c>
      <c r="B21" s="132"/>
      <c r="C21" s="132"/>
      <c r="D21" s="132"/>
      <c r="E21" s="132"/>
      <c r="F21" s="132"/>
      <c r="G21" s="132"/>
    </row>
    <row r="22" spans="1:7" ht="16" customHeight="1" x14ac:dyDescent="0.2">
      <c r="A22" s="141" t="s">
        <v>103</v>
      </c>
      <c r="B22" s="142"/>
      <c r="C22" s="152" t="s">
        <v>84</v>
      </c>
      <c r="D22" s="145"/>
      <c r="E22" s="21"/>
      <c r="F22" s="21"/>
      <c r="G22" s="11" t="s">
        <v>104</v>
      </c>
    </row>
    <row r="23" spans="1:7" ht="16" customHeight="1" x14ac:dyDescent="0.2">
      <c r="A23" s="141" t="s">
        <v>105</v>
      </c>
      <c r="B23" s="142"/>
      <c r="C23" s="152" t="s">
        <v>106</v>
      </c>
      <c r="D23" s="145"/>
      <c r="E23" s="21"/>
      <c r="F23" s="21"/>
      <c r="G23" s="11" t="s">
        <v>107</v>
      </c>
    </row>
    <row r="24" spans="1:7" ht="16" customHeight="1" x14ac:dyDescent="0.2">
      <c r="A24" s="141" t="s">
        <v>108</v>
      </c>
      <c r="B24" s="142"/>
      <c r="C24" s="152" t="s">
        <v>109</v>
      </c>
      <c r="D24" s="145"/>
      <c r="E24" s="21"/>
      <c r="F24" s="21"/>
      <c r="G24" s="11" t="s">
        <v>110</v>
      </c>
    </row>
    <row r="25" spans="1:7" ht="16" customHeight="1" x14ac:dyDescent="0.2">
      <c r="A25" s="141" t="s">
        <v>111</v>
      </c>
      <c r="B25" s="142"/>
      <c r="C25" s="152" t="s">
        <v>112</v>
      </c>
      <c r="D25" s="145"/>
      <c r="E25" s="21"/>
      <c r="F25" s="21"/>
      <c r="G25" s="11" t="s">
        <v>113</v>
      </c>
    </row>
    <row r="26" spans="1:7" ht="16" customHeight="1" x14ac:dyDescent="0.2">
      <c r="A26" s="141" t="s">
        <v>114</v>
      </c>
      <c r="B26" s="142"/>
      <c r="C26" s="152" t="s">
        <v>115</v>
      </c>
      <c r="D26" s="145"/>
      <c r="E26" s="21"/>
      <c r="F26" s="21"/>
      <c r="G26" s="11" t="s">
        <v>116</v>
      </c>
    </row>
    <row r="27" spans="1:7" x14ac:dyDescent="0.2">
      <c r="A27" s="141" t="s">
        <v>117</v>
      </c>
      <c r="B27" s="142"/>
      <c r="C27" s="146">
        <v>196</v>
      </c>
      <c r="D27" s="145"/>
      <c r="E27" s="21"/>
      <c r="F27" s="21"/>
      <c r="G27" s="20" t="s">
        <v>118</v>
      </c>
    </row>
    <row r="29" spans="1:7" ht="20" customHeight="1" x14ac:dyDescent="0.2">
      <c r="A29" s="131" t="s">
        <v>119</v>
      </c>
      <c r="B29" s="132"/>
      <c r="C29" s="132"/>
      <c r="D29" s="132"/>
      <c r="E29" s="132"/>
      <c r="F29" s="132"/>
      <c r="G29" s="132"/>
    </row>
    <row r="30" spans="1:7" ht="18" customHeight="1" x14ac:dyDescent="0.2">
      <c r="A30" s="7"/>
      <c r="B30" s="8"/>
      <c r="C30" s="8" t="s">
        <v>78</v>
      </c>
      <c r="D30" s="8" t="s">
        <v>79</v>
      </c>
      <c r="E30" s="8" t="s">
        <v>80</v>
      </c>
      <c r="F30" s="8" t="s">
        <v>81</v>
      </c>
      <c r="G30" s="7" t="s">
        <v>82</v>
      </c>
    </row>
    <row r="31" spans="1:7" ht="16" customHeight="1" x14ac:dyDescent="0.2">
      <c r="A31" s="141" t="s">
        <v>120</v>
      </c>
      <c r="B31" s="142"/>
      <c r="C31" s="22">
        <v>4150</v>
      </c>
      <c r="D31" s="22">
        <v>7100</v>
      </c>
      <c r="E31" s="22">
        <v>8750</v>
      </c>
      <c r="F31" s="22">
        <v>398</v>
      </c>
      <c r="G31" s="11" t="s">
        <v>121</v>
      </c>
    </row>
    <row r="32" spans="1:7" ht="16" customHeight="1" x14ac:dyDescent="0.2">
      <c r="A32" s="141" t="s">
        <v>122</v>
      </c>
      <c r="B32" s="142"/>
      <c r="C32" s="22">
        <v>340</v>
      </c>
      <c r="D32" s="22">
        <v>780</v>
      </c>
      <c r="E32" s="22">
        <v>980</v>
      </c>
      <c r="F32" s="22">
        <v>96</v>
      </c>
      <c r="G32" s="11" t="s">
        <v>123</v>
      </c>
    </row>
    <row r="33" spans="1:7" ht="24" x14ac:dyDescent="0.2">
      <c r="A33" s="141" t="s">
        <v>124</v>
      </c>
      <c r="B33" s="142"/>
      <c r="C33" s="153">
        <v>3100000</v>
      </c>
      <c r="D33" s="145"/>
      <c r="E33" s="21"/>
      <c r="F33" s="21"/>
      <c r="G33" s="11" t="s">
        <v>125</v>
      </c>
    </row>
    <row r="34" spans="1:7" x14ac:dyDescent="0.2">
      <c r="A34" s="141" t="s">
        <v>126</v>
      </c>
      <c r="B34" s="142"/>
      <c r="C34" s="149">
        <v>0.22</v>
      </c>
      <c r="D34" s="145"/>
      <c r="E34" s="21"/>
      <c r="F34" s="21"/>
      <c r="G34" s="20" t="s">
        <v>127</v>
      </c>
    </row>
    <row r="36" spans="1:7" ht="20" customHeight="1" x14ac:dyDescent="0.2">
      <c r="A36" s="131" t="s">
        <v>128</v>
      </c>
      <c r="B36" s="132"/>
      <c r="C36" s="132"/>
      <c r="D36" s="132"/>
      <c r="E36" s="132"/>
      <c r="F36" s="132"/>
      <c r="G36" s="132"/>
    </row>
    <row r="37" spans="1:7" ht="18" customHeight="1" x14ac:dyDescent="0.2">
      <c r="A37" s="7" t="s">
        <v>129</v>
      </c>
      <c r="B37" s="8"/>
      <c r="C37" s="8" t="s">
        <v>78</v>
      </c>
      <c r="D37" s="8" t="s">
        <v>79</v>
      </c>
      <c r="E37" s="8" t="s">
        <v>80</v>
      </c>
      <c r="F37" s="8" t="s">
        <v>81</v>
      </c>
      <c r="G37" s="7" t="s">
        <v>82</v>
      </c>
    </row>
    <row r="38" spans="1:7" ht="16" customHeight="1" x14ac:dyDescent="0.2">
      <c r="A38" s="141" t="s">
        <v>130</v>
      </c>
      <c r="B38" s="142"/>
      <c r="C38" s="23" t="s">
        <v>71</v>
      </c>
      <c r="D38" s="23">
        <v>12</v>
      </c>
      <c r="E38" s="23">
        <v>8</v>
      </c>
      <c r="F38" s="23">
        <v>8</v>
      </c>
      <c r="G38" s="11" t="s">
        <v>131</v>
      </c>
    </row>
    <row r="39" spans="1:7" ht="16" customHeight="1" x14ac:dyDescent="0.2">
      <c r="A39" s="141" t="s">
        <v>132</v>
      </c>
      <c r="B39" s="142"/>
      <c r="C39" s="23" t="s">
        <v>71</v>
      </c>
      <c r="D39" s="23">
        <v>15</v>
      </c>
      <c r="E39" s="23">
        <v>8</v>
      </c>
      <c r="F39" s="23">
        <v>8</v>
      </c>
      <c r="G39" s="11"/>
    </row>
    <row r="40" spans="1:7" ht="16" customHeight="1" x14ac:dyDescent="0.2">
      <c r="A40" s="141" t="s">
        <v>133</v>
      </c>
      <c r="B40" s="142"/>
      <c r="C40" s="23" t="s">
        <v>71</v>
      </c>
      <c r="D40" s="23">
        <v>20</v>
      </c>
      <c r="E40" s="23">
        <v>12</v>
      </c>
      <c r="F40" s="23">
        <v>12</v>
      </c>
      <c r="G40" s="11"/>
    </row>
    <row r="41" spans="1:7" ht="16" customHeight="1" x14ac:dyDescent="0.2">
      <c r="A41" s="141" t="s">
        <v>134</v>
      </c>
      <c r="B41" s="142"/>
      <c r="C41" s="23" t="s">
        <v>71</v>
      </c>
      <c r="D41" s="23">
        <v>30</v>
      </c>
      <c r="E41" s="23">
        <v>30</v>
      </c>
      <c r="F41" s="23">
        <v>20</v>
      </c>
      <c r="G41" s="11" t="s">
        <v>135</v>
      </c>
    </row>
    <row r="42" spans="1:7" ht="16" customHeight="1" x14ac:dyDescent="0.2">
      <c r="A42" s="141" t="s">
        <v>136</v>
      </c>
      <c r="B42" s="142"/>
      <c r="C42" s="23" t="s">
        <v>71</v>
      </c>
      <c r="D42" s="23">
        <v>30</v>
      </c>
      <c r="E42" s="23">
        <v>30</v>
      </c>
      <c r="F42" s="23">
        <v>20</v>
      </c>
      <c r="G42" s="11"/>
    </row>
    <row r="43" spans="1:7" ht="16" customHeight="1" x14ac:dyDescent="0.2">
      <c r="A43" s="141" t="s">
        <v>137</v>
      </c>
      <c r="B43" s="142"/>
      <c r="C43" s="23" t="s">
        <v>71</v>
      </c>
      <c r="D43" s="23">
        <v>30</v>
      </c>
      <c r="E43" s="23">
        <v>30</v>
      </c>
      <c r="F43" s="23">
        <v>20</v>
      </c>
      <c r="G43" s="11"/>
    </row>
    <row r="44" spans="1:7" ht="16" customHeight="1" x14ac:dyDescent="0.2">
      <c r="A44" s="141" t="s">
        <v>138</v>
      </c>
      <c r="B44" s="142"/>
      <c r="C44" s="23" t="s">
        <v>71</v>
      </c>
      <c r="D44" s="23">
        <v>2</v>
      </c>
      <c r="E44" s="23">
        <v>2</v>
      </c>
      <c r="F44" s="23">
        <v>0</v>
      </c>
      <c r="G44" s="11" t="s">
        <v>139</v>
      </c>
    </row>
    <row r="46" spans="1:7" ht="20" customHeight="1" x14ac:dyDescent="0.2">
      <c r="A46" s="131" t="s">
        <v>140</v>
      </c>
      <c r="B46" s="132"/>
      <c r="C46" s="132"/>
      <c r="D46" s="132"/>
      <c r="E46" s="132"/>
      <c r="F46" s="132"/>
      <c r="G46" s="132"/>
    </row>
    <row r="47" spans="1:7" ht="18" customHeight="1" x14ac:dyDescent="0.2">
      <c r="A47" s="7"/>
      <c r="B47" s="8"/>
      <c r="C47" s="8" t="s">
        <v>78</v>
      </c>
      <c r="D47" s="8" t="s">
        <v>79</v>
      </c>
      <c r="E47" s="8" t="s">
        <v>80</v>
      </c>
      <c r="F47" s="8" t="s">
        <v>81</v>
      </c>
      <c r="G47" s="7" t="s">
        <v>82</v>
      </c>
    </row>
    <row r="48" spans="1:7" ht="16" customHeight="1" x14ac:dyDescent="0.2">
      <c r="A48" s="141" t="s">
        <v>141</v>
      </c>
      <c r="B48" s="142"/>
      <c r="C48" s="24">
        <v>1</v>
      </c>
      <c r="D48" s="24">
        <v>3</v>
      </c>
      <c r="E48" s="24">
        <v>3</v>
      </c>
      <c r="F48" s="24">
        <v>3</v>
      </c>
      <c r="G48" s="11" t="s">
        <v>142</v>
      </c>
    </row>
    <row r="49" spans="1:7" ht="16" customHeight="1" x14ac:dyDescent="0.2">
      <c r="A49" s="141" t="s">
        <v>143</v>
      </c>
      <c r="B49" s="142"/>
      <c r="C49" s="24">
        <v>2.2000000000000002</v>
      </c>
      <c r="D49" s="24">
        <v>2.5</v>
      </c>
      <c r="E49" s="24">
        <v>3</v>
      </c>
      <c r="F49" s="24">
        <v>3.5</v>
      </c>
      <c r="G49" s="11" t="s">
        <v>144</v>
      </c>
    </row>
    <row r="50" spans="1:7" ht="16" customHeight="1" x14ac:dyDescent="0.2">
      <c r="A50" s="141" t="s">
        <v>145</v>
      </c>
      <c r="B50" s="142"/>
      <c r="C50" s="12">
        <v>25000</v>
      </c>
      <c r="D50" s="12">
        <v>20000</v>
      </c>
      <c r="E50" s="12">
        <v>8000</v>
      </c>
      <c r="F50" s="12">
        <v>8000</v>
      </c>
      <c r="G50" s="11"/>
    </row>
    <row r="51" spans="1:7" ht="16" customHeight="1" x14ac:dyDescent="0.2">
      <c r="A51" s="141" t="s">
        <v>146</v>
      </c>
      <c r="B51" s="142"/>
      <c r="C51" s="24">
        <v>6.4</v>
      </c>
      <c r="D51" s="24">
        <v>18.899999999999999</v>
      </c>
      <c r="E51" s="24">
        <v>18.899999999999999</v>
      </c>
      <c r="F51" s="24">
        <v>66</v>
      </c>
      <c r="G51" s="11" t="s">
        <v>147</v>
      </c>
    </row>
    <row r="52" spans="1:7" x14ac:dyDescent="0.2">
      <c r="A52" s="141" t="s">
        <v>148</v>
      </c>
      <c r="B52" s="142"/>
      <c r="C52" s="152">
        <v>50</v>
      </c>
      <c r="D52" s="145"/>
      <c r="E52" s="21"/>
      <c r="F52" s="21"/>
      <c r="G52" s="20" t="s">
        <v>149</v>
      </c>
    </row>
    <row r="53" spans="1:7" x14ac:dyDescent="0.2">
      <c r="A53" s="141" t="s">
        <v>150</v>
      </c>
      <c r="B53" s="142"/>
      <c r="C53" s="146">
        <v>50000</v>
      </c>
      <c r="D53" s="145"/>
      <c r="E53" s="21"/>
      <c r="F53" s="21"/>
      <c r="G53" s="20" t="s">
        <v>151</v>
      </c>
    </row>
    <row r="55" spans="1:7" ht="20" customHeight="1" x14ac:dyDescent="0.2">
      <c r="A55" s="131" t="s">
        <v>152</v>
      </c>
      <c r="B55" s="132"/>
      <c r="C55" s="132"/>
      <c r="D55" s="132"/>
      <c r="E55" s="132"/>
      <c r="F55" s="132"/>
      <c r="G55" s="132"/>
    </row>
    <row r="56" spans="1:7" ht="18" customHeight="1" x14ac:dyDescent="0.2">
      <c r="A56" s="7" t="s">
        <v>153</v>
      </c>
      <c r="B56" s="8"/>
      <c r="C56" s="8" t="s">
        <v>154</v>
      </c>
      <c r="D56" s="8" t="s">
        <v>155</v>
      </c>
      <c r="E56" s="8"/>
      <c r="F56" s="8"/>
      <c r="G56" s="7" t="s">
        <v>82</v>
      </c>
    </row>
    <row r="57" spans="1:7" ht="15" customHeight="1" x14ac:dyDescent="0.2">
      <c r="A57" s="143" t="s">
        <v>156</v>
      </c>
      <c r="B57" s="142"/>
      <c r="C57" s="26">
        <v>62</v>
      </c>
      <c r="D57" s="27">
        <f t="shared" ref="D57:D77" si="0">C57*2080*(1+$C$34)</f>
        <v>157331.19999999998</v>
      </c>
      <c r="E57" s="21"/>
      <c r="F57" s="21"/>
      <c r="G57" s="20" t="s">
        <v>157</v>
      </c>
    </row>
    <row r="58" spans="1:7" ht="15" customHeight="1" x14ac:dyDescent="0.2">
      <c r="A58" s="143" t="s">
        <v>158</v>
      </c>
      <c r="B58" s="142"/>
      <c r="C58" s="26">
        <v>44</v>
      </c>
      <c r="D58" s="27">
        <f t="shared" si="0"/>
        <v>111654.39999999999</v>
      </c>
      <c r="E58" s="21"/>
      <c r="F58" s="21"/>
      <c r="G58" s="21"/>
    </row>
    <row r="59" spans="1:7" ht="15" customHeight="1" x14ac:dyDescent="0.2">
      <c r="A59" s="143" t="s">
        <v>159</v>
      </c>
      <c r="B59" s="142"/>
      <c r="C59" s="26">
        <v>27</v>
      </c>
      <c r="D59" s="27">
        <f t="shared" si="0"/>
        <v>68515.199999999997</v>
      </c>
      <c r="E59" s="21"/>
      <c r="F59" s="21"/>
      <c r="G59" s="21"/>
    </row>
    <row r="60" spans="1:7" ht="15" customHeight="1" x14ac:dyDescent="0.2">
      <c r="A60" s="143" t="s">
        <v>160</v>
      </c>
      <c r="B60" s="142"/>
      <c r="C60" s="26">
        <v>17</v>
      </c>
      <c r="D60" s="27">
        <f t="shared" si="0"/>
        <v>43139.199999999997</v>
      </c>
      <c r="E60" s="21"/>
      <c r="F60" s="21"/>
      <c r="G60" s="21"/>
    </row>
    <row r="61" spans="1:7" ht="15" customHeight="1" x14ac:dyDescent="0.2">
      <c r="A61" s="143" t="s">
        <v>161</v>
      </c>
      <c r="B61" s="142"/>
      <c r="C61" s="26">
        <v>34</v>
      </c>
      <c r="D61" s="27">
        <f t="shared" si="0"/>
        <v>86278.399999999994</v>
      </c>
      <c r="E61" s="21"/>
      <c r="F61" s="21"/>
      <c r="G61" s="21"/>
    </row>
    <row r="62" spans="1:7" ht="15" customHeight="1" x14ac:dyDescent="0.2">
      <c r="A62" s="143" t="s">
        <v>162</v>
      </c>
      <c r="B62" s="142"/>
      <c r="C62" s="26">
        <v>34</v>
      </c>
      <c r="D62" s="27">
        <f t="shared" si="0"/>
        <v>86278.399999999994</v>
      </c>
      <c r="E62" s="21"/>
      <c r="F62" s="21"/>
      <c r="G62" s="21"/>
    </row>
    <row r="63" spans="1:7" ht="15" customHeight="1" x14ac:dyDescent="0.2">
      <c r="A63" s="143" t="s">
        <v>163</v>
      </c>
      <c r="B63" s="142"/>
      <c r="C63" s="26">
        <v>17.2</v>
      </c>
      <c r="D63" s="27">
        <f t="shared" si="0"/>
        <v>43646.720000000001</v>
      </c>
      <c r="E63" s="21"/>
      <c r="F63" s="21"/>
      <c r="G63" s="21"/>
    </row>
    <row r="64" spans="1:7" ht="15" customHeight="1" x14ac:dyDescent="0.2">
      <c r="A64" s="143" t="s">
        <v>164</v>
      </c>
      <c r="B64" s="142"/>
      <c r="C64" s="26">
        <v>26.5</v>
      </c>
      <c r="D64" s="27">
        <f t="shared" si="0"/>
        <v>67246.399999999994</v>
      </c>
      <c r="E64" s="21"/>
      <c r="F64" s="21"/>
      <c r="G64" s="21"/>
    </row>
    <row r="65" spans="1:7" ht="15" customHeight="1" x14ac:dyDescent="0.2">
      <c r="A65" s="143" t="s">
        <v>165</v>
      </c>
      <c r="B65" s="142"/>
      <c r="C65" s="26">
        <v>42</v>
      </c>
      <c r="D65" s="27">
        <f t="shared" si="0"/>
        <v>106579.2</v>
      </c>
      <c r="E65" s="21"/>
      <c r="F65" s="21"/>
      <c r="G65" s="21"/>
    </row>
    <row r="66" spans="1:7" ht="15" customHeight="1" x14ac:dyDescent="0.2">
      <c r="A66" s="143" t="s">
        <v>166</v>
      </c>
      <c r="B66" s="142"/>
      <c r="C66" s="26">
        <v>30</v>
      </c>
      <c r="D66" s="27">
        <f t="shared" si="0"/>
        <v>76128</v>
      </c>
      <c r="E66" s="21"/>
      <c r="F66" s="21"/>
      <c r="G66" s="21"/>
    </row>
    <row r="67" spans="1:7" ht="15" customHeight="1" x14ac:dyDescent="0.2">
      <c r="A67" s="143" t="s">
        <v>167</v>
      </c>
      <c r="B67" s="142"/>
      <c r="C67" s="26">
        <v>19</v>
      </c>
      <c r="D67" s="27">
        <f t="shared" si="0"/>
        <v>48214.400000000001</v>
      </c>
      <c r="E67" s="21"/>
      <c r="F67" s="21"/>
      <c r="G67" s="21"/>
    </row>
    <row r="68" spans="1:7" ht="15" customHeight="1" x14ac:dyDescent="0.2">
      <c r="A68" s="143" t="s">
        <v>168</v>
      </c>
      <c r="B68" s="142"/>
      <c r="C68" s="26">
        <v>24</v>
      </c>
      <c r="D68" s="27">
        <f t="shared" si="0"/>
        <v>60902.400000000001</v>
      </c>
      <c r="E68" s="21"/>
      <c r="F68" s="21"/>
      <c r="G68" s="21"/>
    </row>
    <row r="69" spans="1:7" ht="15" customHeight="1" x14ac:dyDescent="0.2">
      <c r="A69" s="143" t="s">
        <v>169</v>
      </c>
      <c r="B69" s="142"/>
      <c r="C69" s="26">
        <v>16.399999999999999</v>
      </c>
      <c r="D69" s="27">
        <f t="shared" si="0"/>
        <v>41616.639999999999</v>
      </c>
      <c r="E69" s="21"/>
      <c r="F69" s="21"/>
      <c r="G69" s="21"/>
    </row>
    <row r="70" spans="1:7" ht="15" customHeight="1" x14ac:dyDescent="0.2">
      <c r="A70" s="143" t="s">
        <v>170</v>
      </c>
      <c r="B70" s="142"/>
      <c r="C70" s="26">
        <v>16</v>
      </c>
      <c r="D70" s="27">
        <f t="shared" si="0"/>
        <v>40601.599999999999</v>
      </c>
      <c r="E70" s="21"/>
      <c r="F70" s="21"/>
      <c r="G70" s="21"/>
    </row>
    <row r="71" spans="1:7" ht="15" customHeight="1" x14ac:dyDescent="0.2">
      <c r="A71" s="143" t="s">
        <v>171</v>
      </c>
      <c r="B71" s="142"/>
      <c r="C71" s="26">
        <v>18</v>
      </c>
      <c r="D71" s="27">
        <f t="shared" si="0"/>
        <v>45676.799999999996</v>
      </c>
      <c r="E71" s="21"/>
      <c r="F71" s="21"/>
      <c r="G71" s="21"/>
    </row>
    <row r="72" spans="1:7" ht="15" customHeight="1" x14ac:dyDescent="0.2">
      <c r="A72" s="143" t="s">
        <v>172</v>
      </c>
      <c r="B72" s="142"/>
      <c r="C72" s="26">
        <v>19.5</v>
      </c>
      <c r="D72" s="27">
        <f t="shared" si="0"/>
        <v>49483.199999999997</v>
      </c>
      <c r="E72" s="21"/>
      <c r="F72" s="21"/>
      <c r="G72" s="21"/>
    </row>
    <row r="73" spans="1:7" ht="15" customHeight="1" x14ac:dyDescent="0.2">
      <c r="A73" s="143" t="s">
        <v>173</v>
      </c>
      <c r="B73" s="142"/>
      <c r="C73" s="26">
        <v>36</v>
      </c>
      <c r="D73" s="27">
        <f t="shared" si="0"/>
        <v>91353.599999999991</v>
      </c>
      <c r="E73" s="21"/>
      <c r="F73" s="21"/>
      <c r="G73" s="21"/>
    </row>
    <row r="74" spans="1:7" ht="15" customHeight="1" x14ac:dyDescent="0.2">
      <c r="A74" s="143" t="s">
        <v>174</v>
      </c>
      <c r="B74" s="142"/>
      <c r="C74" s="26">
        <v>21.4</v>
      </c>
      <c r="D74" s="27">
        <f t="shared" si="0"/>
        <v>54304.639999999999</v>
      </c>
      <c r="E74" s="21"/>
      <c r="F74" s="21"/>
      <c r="G74" s="21"/>
    </row>
    <row r="75" spans="1:7" ht="15" customHeight="1" x14ac:dyDescent="0.2">
      <c r="A75" s="143" t="s">
        <v>175</v>
      </c>
      <c r="B75" s="142"/>
      <c r="C75" s="26">
        <v>32.799999999999997</v>
      </c>
      <c r="D75" s="27">
        <f t="shared" si="0"/>
        <v>83233.279999999999</v>
      </c>
      <c r="E75" s="21"/>
      <c r="F75" s="21"/>
      <c r="G75" s="21"/>
    </row>
    <row r="76" spans="1:7" ht="15" customHeight="1" x14ac:dyDescent="0.2">
      <c r="A76" s="143" t="s">
        <v>176</v>
      </c>
      <c r="B76" s="142"/>
      <c r="C76" s="26">
        <v>34</v>
      </c>
      <c r="D76" s="27">
        <f t="shared" si="0"/>
        <v>86278.399999999994</v>
      </c>
      <c r="E76" s="21"/>
      <c r="F76" s="21"/>
      <c r="G76" s="21"/>
    </row>
    <row r="77" spans="1:7" ht="15" customHeight="1" x14ac:dyDescent="0.2">
      <c r="A77" s="143" t="s">
        <v>177</v>
      </c>
      <c r="B77" s="142"/>
      <c r="C77" s="26">
        <v>36</v>
      </c>
      <c r="D77" s="27">
        <f t="shared" si="0"/>
        <v>91353.599999999991</v>
      </c>
      <c r="E77" s="21"/>
      <c r="F77" s="21"/>
      <c r="G77" s="21"/>
    </row>
    <row r="79" spans="1:7" ht="24" customHeight="1" x14ac:dyDescent="0.2">
      <c r="A79" s="139" t="s">
        <v>178</v>
      </c>
      <c r="B79" s="130"/>
      <c r="C79" s="130"/>
      <c r="D79" s="130"/>
      <c r="E79" s="130"/>
      <c r="F79" s="130"/>
      <c r="G79" s="130"/>
    </row>
    <row r="81" spans="1:7" ht="20" customHeight="1" x14ac:dyDescent="0.2">
      <c r="A81" s="131" t="s">
        <v>179</v>
      </c>
      <c r="B81" s="132"/>
      <c r="C81" s="132"/>
      <c r="D81" s="132"/>
      <c r="E81" s="132"/>
      <c r="F81" s="132"/>
      <c r="G81" s="132"/>
    </row>
    <row r="82" spans="1:7" ht="16" customHeight="1" x14ac:dyDescent="0.2">
      <c r="A82" s="141" t="s">
        <v>180</v>
      </c>
      <c r="B82" s="142"/>
      <c r="C82" s="144">
        <v>5.12</v>
      </c>
      <c r="D82" s="145"/>
      <c r="E82" s="21"/>
      <c r="F82" s="21"/>
      <c r="G82" s="11" t="s">
        <v>181</v>
      </c>
    </row>
    <row r="83" spans="1:7" ht="16" customHeight="1" x14ac:dyDescent="0.2">
      <c r="A83" s="141" t="s">
        <v>182</v>
      </c>
      <c r="B83" s="142"/>
      <c r="C83" s="144">
        <v>0.25</v>
      </c>
      <c r="D83" s="145"/>
      <c r="E83" s="21"/>
      <c r="F83" s="21"/>
      <c r="G83" s="11" t="s">
        <v>183</v>
      </c>
    </row>
    <row r="84" spans="1:7" ht="16" customHeight="1" x14ac:dyDescent="0.2">
      <c r="A84" s="141" t="s">
        <v>184</v>
      </c>
      <c r="B84" s="142"/>
      <c r="C84" s="151">
        <v>3</v>
      </c>
      <c r="D84" s="145"/>
      <c r="E84" s="21"/>
      <c r="F84" s="21"/>
      <c r="G84" s="11"/>
    </row>
    <row r="85" spans="1:7" ht="16" customHeight="1" x14ac:dyDescent="0.2">
      <c r="A85" s="141" t="s">
        <v>185</v>
      </c>
      <c r="B85" s="142"/>
      <c r="C85" s="146">
        <v>2080</v>
      </c>
      <c r="D85" s="145"/>
      <c r="E85" s="21"/>
      <c r="F85" s="21"/>
      <c r="G85" s="11"/>
    </row>
    <row r="86" spans="1:7" ht="16" customHeight="1" x14ac:dyDescent="0.2">
      <c r="A86" s="141" t="s">
        <v>186</v>
      </c>
      <c r="B86" s="142"/>
      <c r="C86" s="149">
        <v>0.18</v>
      </c>
      <c r="D86" s="145"/>
      <c r="E86" s="21"/>
      <c r="F86" s="21"/>
      <c r="G86" s="11" t="s">
        <v>187</v>
      </c>
    </row>
    <row r="88" spans="1:7" ht="20" customHeight="1" x14ac:dyDescent="0.2">
      <c r="A88" s="131" t="s">
        <v>188</v>
      </c>
      <c r="B88" s="132"/>
      <c r="C88" s="132"/>
      <c r="D88" s="132"/>
      <c r="E88" s="132"/>
      <c r="F88" s="132"/>
      <c r="G88" s="132"/>
    </row>
    <row r="89" spans="1:7" ht="18" customHeight="1" x14ac:dyDescent="0.2">
      <c r="A89" s="7" t="s">
        <v>153</v>
      </c>
      <c r="B89" s="8"/>
      <c r="C89" s="8" t="s">
        <v>189</v>
      </c>
      <c r="D89" s="8"/>
      <c r="E89" s="8"/>
      <c r="F89" s="8"/>
      <c r="G89" s="7" t="s">
        <v>82</v>
      </c>
    </row>
    <row r="90" spans="1:7" ht="15" customHeight="1" x14ac:dyDescent="0.2">
      <c r="A90" s="143" t="s">
        <v>190</v>
      </c>
      <c r="B90" s="142"/>
      <c r="C90" s="144">
        <v>1</v>
      </c>
      <c r="D90" s="145"/>
      <c r="E90" s="21"/>
      <c r="F90" s="21"/>
      <c r="G90" s="21"/>
    </row>
    <row r="91" spans="1:7" ht="15" customHeight="1" x14ac:dyDescent="0.2">
      <c r="A91" s="143" t="s">
        <v>158</v>
      </c>
      <c r="B91" s="142"/>
      <c r="C91" s="144">
        <v>1</v>
      </c>
      <c r="D91" s="145"/>
      <c r="E91" s="21"/>
      <c r="F91" s="21"/>
      <c r="G91" s="21"/>
    </row>
    <row r="92" spans="1:7" ht="15" customHeight="1" x14ac:dyDescent="0.2">
      <c r="A92" s="143" t="s">
        <v>191</v>
      </c>
      <c r="B92" s="142"/>
      <c r="C92" s="144">
        <v>3</v>
      </c>
      <c r="D92" s="145"/>
      <c r="E92" s="21"/>
      <c r="F92" s="21"/>
      <c r="G92" s="21"/>
    </row>
    <row r="93" spans="1:7" ht="15" customHeight="1" x14ac:dyDescent="0.2">
      <c r="A93" s="143" t="s">
        <v>160</v>
      </c>
      <c r="B93" s="142"/>
      <c r="C93" s="144">
        <v>7</v>
      </c>
      <c r="D93" s="145"/>
      <c r="E93" s="21"/>
      <c r="F93" s="21"/>
      <c r="G93" s="21"/>
    </row>
    <row r="94" spans="1:7" ht="15" customHeight="1" x14ac:dyDescent="0.2">
      <c r="A94" s="143" t="s">
        <v>192</v>
      </c>
      <c r="B94" s="142"/>
      <c r="C94" s="144">
        <v>5</v>
      </c>
      <c r="D94" s="145"/>
      <c r="E94" s="21"/>
      <c r="F94" s="21"/>
      <c r="G94" s="21"/>
    </row>
    <row r="95" spans="1:7" ht="15" customHeight="1" x14ac:dyDescent="0.2">
      <c r="A95" s="143" t="s">
        <v>162</v>
      </c>
      <c r="B95" s="142"/>
      <c r="C95" s="144">
        <v>1</v>
      </c>
      <c r="D95" s="145"/>
      <c r="E95" s="21"/>
      <c r="F95" s="21"/>
      <c r="G95" s="21"/>
    </row>
    <row r="96" spans="1:7" ht="15" customHeight="1" x14ac:dyDescent="0.2">
      <c r="A96" s="143" t="s">
        <v>163</v>
      </c>
      <c r="B96" s="142"/>
      <c r="C96" s="144">
        <v>30</v>
      </c>
      <c r="D96" s="145"/>
      <c r="E96" s="21"/>
      <c r="F96" s="21"/>
      <c r="G96" s="21"/>
    </row>
    <row r="97" spans="1:7" ht="15" customHeight="1" x14ac:dyDescent="0.2">
      <c r="A97" s="143" t="s">
        <v>164</v>
      </c>
      <c r="B97" s="142"/>
      <c r="C97" s="144">
        <v>5</v>
      </c>
      <c r="D97" s="145"/>
      <c r="E97" s="21"/>
      <c r="F97" s="21"/>
      <c r="G97" s="21"/>
    </row>
    <row r="98" spans="1:7" ht="15" customHeight="1" x14ac:dyDescent="0.2">
      <c r="A98" s="143" t="s">
        <v>193</v>
      </c>
      <c r="B98" s="142"/>
      <c r="C98" s="144">
        <v>2</v>
      </c>
      <c r="D98" s="145"/>
      <c r="E98" s="21"/>
      <c r="F98" s="21"/>
      <c r="G98" s="21"/>
    </row>
    <row r="99" spans="1:7" ht="15" customHeight="1" x14ac:dyDescent="0.2">
      <c r="A99" s="143" t="s">
        <v>166</v>
      </c>
      <c r="B99" s="142"/>
      <c r="C99" s="144">
        <v>2</v>
      </c>
      <c r="D99" s="145"/>
      <c r="E99" s="21"/>
      <c r="F99" s="21"/>
      <c r="G99" s="21"/>
    </row>
    <row r="100" spans="1:7" ht="15" customHeight="1" x14ac:dyDescent="0.2">
      <c r="A100" s="143" t="s">
        <v>167</v>
      </c>
      <c r="B100" s="142"/>
      <c r="C100" s="144">
        <v>5.4</v>
      </c>
      <c r="D100" s="145"/>
      <c r="E100" s="21"/>
      <c r="F100" s="21"/>
      <c r="G100" s="21"/>
    </row>
    <row r="101" spans="1:7" ht="15" customHeight="1" x14ac:dyDescent="0.2">
      <c r="A101" s="143" t="s">
        <v>168</v>
      </c>
      <c r="B101" s="142"/>
      <c r="C101" s="144">
        <v>2</v>
      </c>
      <c r="D101" s="145"/>
      <c r="E101" s="21"/>
      <c r="F101" s="21"/>
      <c r="G101" s="21"/>
    </row>
    <row r="102" spans="1:7" ht="15" customHeight="1" x14ac:dyDescent="0.2">
      <c r="A102" s="143" t="s">
        <v>169</v>
      </c>
      <c r="B102" s="142"/>
      <c r="C102" s="144">
        <v>15</v>
      </c>
      <c r="D102" s="145"/>
      <c r="E102" s="21"/>
      <c r="F102" s="21"/>
      <c r="G102" s="21"/>
    </row>
    <row r="103" spans="1:7" ht="15" customHeight="1" x14ac:dyDescent="0.2">
      <c r="A103" s="143" t="s">
        <v>170</v>
      </c>
      <c r="B103" s="142"/>
      <c r="C103" s="144">
        <v>3</v>
      </c>
      <c r="D103" s="145"/>
      <c r="E103" s="21"/>
      <c r="F103" s="21"/>
      <c r="G103" s="21"/>
    </row>
    <row r="104" spans="1:7" ht="15" customHeight="1" x14ac:dyDescent="0.2">
      <c r="A104" s="143" t="s">
        <v>171</v>
      </c>
      <c r="B104" s="142"/>
      <c r="C104" s="144">
        <v>0.8</v>
      </c>
      <c r="D104" s="145"/>
      <c r="E104" s="21"/>
      <c r="F104" s="21"/>
      <c r="G104" s="21"/>
    </row>
    <row r="105" spans="1:7" ht="15" customHeight="1" x14ac:dyDescent="0.2">
      <c r="A105" s="143" t="s">
        <v>172</v>
      </c>
      <c r="B105" s="142"/>
      <c r="C105" s="144">
        <v>4.5999999999999996</v>
      </c>
      <c r="D105" s="145"/>
      <c r="E105" s="21"/>
      <c r="F105" s="21"/>
      <c r="G105" s="21"/>
    </row>
    <row r="106" spans="1:7" ht="15" customHeight="1" x14ac:dyDescent="0.2">
      <c r="A106" s="143" t="s">
        <v>173</v>
      </c>
      <c r="B106" s="142"/>
      <c r="C106" s="144">
        <v>1</v>
      </c>
      <c r="D106" s="145"/>
      <c r="E106" s="21"/>
      <c r="F106" s="21"/>
      <c r="G106" s="21"/>
    </row>
    <row r="107" spans="1:7" ht="15" customHeight="1" x14ac:dyDescent="0.2">
      <c r="A107" s="143" t="s">
        <v>194</v>
      </c>
      <c r="B107" s="142"/>
      <c r="C107" s="144">
        <v>2.5</v>
      </c>
      <c r="D107" s="145"/>
      <c r="E107" s="21"/>
      <c r="F107" s="21"/>
      <c r="G107" s="21"/>
    </row>
    <row r="108" spans="1:7" ht="15" customHeight="1" x14ac:dyDescent="0.2">
      <c r="A108" s="143" t="s">
        <v>174</v>
      </c>
      <c r="B108" s="142"/>
      <c r="C108" s="144">
        <v>43</v>
      </c>
      <c r="D108" s="145"/>
      <c r="E108" s="21"/>
      <c r="F108" s="21"/>
      <c r="G108" s="21"/>
    </row>
    <row r="109" spans="1:7" ht="15" customHeight="1" x14ac:dyDescent="0.2">
      <c r="A109" s="143" t="s">
        <v>175</v>
      </c>
      <c r="B109" s="142"/>
      <c r="C109" s="144">
        <v>19.600000000000001</v>
      </c>
      <c r="D109" s="145"/>
      <c r="E109" s="21"/>
      <c r="F109" s="21"/>
      <c r="G109" s="21"/>
    </row>
    <row r="110" spans="1:7" ht="15" customHeight="1" x14ac:dyDescent="0.2">
      <c r="A110" s="143" t="s">
        <v>195</v>
      </c>
      <c r="B110" s="142"/>
      <c r="C110" s="144">
        <v>0</v>
      </c>
      <c r="D110" s="145"/>
      <c r="E110" s="21"/>
      <c r="F110" s="21"/>
      <c r="G110" s="21"/>
    </row>
    <row r="111" spans="1:7" ht="15" customHeight="1" x14ac:dyDescent="0.2">
      <c r="A111" s="143" t="s">
        <v>176</v>
      </c>
      <c r="B111" s="142"/>
      <c r="C111" s="144">
        <v>4.2</v>
      </c>
      <c r="D111" s="145"/>
      <c r="E111" s="21"/>
      <c r="F111" s="21"/>
      <c r="G111" s="21"/>
    </row>
    <row r="112" spans="1:7" ht="15" customHeight="1" x14ac:dyDescent="0.2">
      <c r="A112" s="143" t="s">
        <v>177</v>
      </c>
      <c r="B112" s="142"/>
      <c r="C112" s="144">
        <v>1.4</v>
      </c>
      <c r="D112" s="145"/>
      <c r="E112" s="21"/>
      <c r="F112" s="21"/>
      <c r="G112" s="21"/>
    </row>
    <row r="113" spans="1:7" x14ac:dyDescent="0.2">
      <c r="A113" s="147" t="s">
        <v>196</v>
      </c>
      <c r="B113" s="148"/>
      <c r="C113" s="150">
        <f>SUM(C90:C112)</f>
        <v>159.5</v>
      </c>
      <c r="D113" s="148"/>
      <c r="E113" s="28"/>
      <c r="F113" s="28"/>
      <c r="G113" s="28"/>
    </row>
    <row r="115" spans="1:7" ht="24" customHeight="1" x14ac:dyDescent="0.2">
      <c r="A115" s="139" t="s">
        <v>197</v>
      </c>
      <c r="B115" s="130"/>
      <c r="C115" s="130"/>
      <c r="D115" s="130"/>
      <c r="E115" s="130"/>
      <c r="F115" s="130"/>
      <c r="G115" s="130"/>
    </row>
  </sheetData>
  <mergeCells count="135">
    <mergeCell ref="A112:B112"/>
    <mergeCell ref="A13:B13"/>
    <mergeCell ref="A44:B44"/>
    <mergeCell ref="C96:D96"/>
    <mergeCell ref="A31:B31"/>
    <mergeCell ref="A58:B58"/>
    <mergeCell ref="A110:B110"/>
    <mergeCell ref="C26:D26"/>
    <mergeCell ref="A16:B16"/>
    <mergeCell ref="A25:B25"/>
    <mergeCell ref="C25:D25"/>
    <mergeCell ref="C103:D103"/>
    <mergeCell ref="A108:B108"/>
    <mergeCell ref="C99:D99"/>
    <mergeCell ref="A84:B84"/>
    <mergeCell ref="A66:B66"/>
    <mergeCell ref="A50:B50"/>
    <mergeCell ref="A86:B86"/>
    <mergeCell ref="A88:G88"/>
    <mergeCell ref="A95:B95"/>
    <mergeCell ref="C52:D52"/>
    <mergeCell ref="A97:B97"/>
    <mergeCell ref="A72:B72"/>
    <mergeCell ref="A2:G2"/>
    <mergeCell ref="A40:B40"/>
    <mergeCell ref="A67:B67"/>
    <mergeCell ref="C101:D101"/>
    <mergeCell ref="A24:B24"/>
    <mergeCell ref="C24:D24"/>
    <mergeCell ref="A82:B82"/>
    <mergeCell ref="A60:B60"/>
    <mergeCell ref="C33:D33"/>
    <mergeCell ref="A29:G29"/>
    <mergeCell ref="A81:G81"/>
    <mergeCell ref="A5:G5"/>
    <mergeCell ref="C34:D34"/>
    <mergeCell ref="A92:B92"/>
    <mergeCell ref="C86:D86"/>
    <mergeCell ref="C108:D108"/>
    <mergeCell ref="A49:B49"/>
    <mergeCell ref="A94:B94"/>
    <mergeCell ref="A69:B69"/>
    <mergeCell ref="C113:D113"/>
    <mergeCell ref="C85:D85"/>
    <mergeCell ref="C100:D100"/>
    <mergeCell ref="A65:B65"/>
    <mergeCell ref="C112:D112"/>
    <mergeCell ref="C94:D94"/>
    <mergeCell ref="A75:B75"/>
    <mergeCell ref="C84:D84"/>
    <mergeCell ref="C22:D22"/>
    <mergeCell ref="A104:B104"/>
    <mergeCell ref="A57:B57"/>
    <mergeCell ref="A113:B113"/>
    <mergeCell ref="C95:D95"/>
    <mergeCell ref="A32:B32"/>
    <mergeCell ref="A14:B14"/>
    <mergeCell ref="A23:B23"/>
    <mergeCell ref="A115:G115"/>
    <mergeCell ref="C109:D109"/>
    <mergeCell ref="A105:B105"/>
    <mergeCell ref="A36:G36"/>
    <mergeCell ref="A26:B26"/>
    <mergeCell ref="A1:G1"/>
    <mergeCell ref="C90:D90"/>
    <mergeCell ref="A71:B71"/>
    <mergeCell ref="C110:D110"/>
    <mergeCell ref="A8:B8"/>
    <mergeCell ref="A91:B91"/>
    <mergeCell ref="C91:D91"/>
    <mergeCell ref="A100:B100"/>
    <mergeCell ref="A52:B52"/>
    <mergeCell ref="C82:D82"/>
    <mergeCell ref="A3:G3"/>
    <mergeCell ref="A63:B63"/>
    <mergeCell ref="A55:G55"/>
    <mergeCell ref="A93:B93"/>
    <mergeCell ref="A102:B102"/>
    <mergeCell ref="C53:D53"/>
    <mergeCell ref="C102:D102"/>
    <mergeCell ref="A77:B77"/>
    <mergeCell ref="A34:B34"/>
    <mergeCell ref="A109:B109"/>
    <mergeCell ref="A62:B62"/>
    <mergeCell ref="A19:B19"/>
    <mergeCell ref="A21:G21"/>
    <mergeCell ref="A68:B68"/>
    <mergeCell ref="A111:B111"/>
    <mergeCell ref="C111:D111"/>
    <mergeCell ref="A9:B9"/>
    <mergeCell ref="A39:B39"/>
    <mergeCell ref="C83:D83"/>
    <mergeCell ref="A48:B48"/>
    <mergeCell ref="C92:D92"/>
    <mergeCell ref="A59:B59"/>
    <mergeCell ref="A103:B103"/>
    <mergeCell ref="C97:D97"/>
    <mergeCell ref="A61:B61"/>
    <mergeCell ref="A83:B83"/>
    <mergeCell ref="C23:D23"/>
    <mergeCell ref="A106:B106"/>
    <mergeCell ref="C106:D106"/>
    <mergeCell ref="A38:B38"/>
    <mergeCell ref="A96:B96"/>
    <mergeCell ref="A43:B43"/>
    <mergeCell ref="C104:D104"/>
    <mergeCell ref="A7:B7"/>
    <mergeCell ref="A41:B41"/>
    <mergeCell ref="A90:B90"/>
    <mergeCell ref="A99:B99"/>
    <mergeCell ref="C93:D93"/>
    <mergeCell ref="A74:B74"/>
    <mergeCell ref="A27:B27"/>
    <mergeCell ref="A11:G11"/>
    <mergeCell ref="C105:D105"/>
    <mergeCell ref="A101:B101"/>
    <mergeCell ref="A79:G79"/>
    <mergeCell ref="A76:B76"/>
    <mergeCell ref="A33:B33"/>
    <mergeCell ref="C27:D27"/>
    <mergeCell ref="A85:B85"/>
    <mergeCell ref="A42:B42"/>
    <mergeCell ref="A17:B17"/>
    <mergeCell ref="A22:B22"/>
    <mergeCell ref="A53:B53"/>
    <mergeCell ref="A46:G46"/>
    <mergeCell ref="A15:B15"/>
    <mergeCell ref="A64:B64"/>
    <mergeCell ref="A98:B98"/>
    <mergeCell ref="A73:B73"/>
    <mergeCell ref="A51:B51"/>
    <mergeCell ref="C98:D98"/>
    <mergeCell ref="A107:B107"/>
    <mergeCell ref="C107:D107"/>
    <mergeCell ref="A70:B70"/>
  </mergeCells>
  <printOptions horizontalCentered="1"/>
  <pageMargins left="0.75" right="0.7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535B"/>
    <pageSetUpPr fitToPage="1"/>
  </sheetPr>
  <dimension ref="A1:I39"/>
  <sheetViews>
    <sheetView showGridLines="0" workbookViewId="0">
      <pane xSplit="2" ySplit="6" topLeftCell="C7" activePane="bottomRight" state="frozen"/>
      <selection pane="topRight"/>
      <selection pane="bottomLeft"/>
      <selection pane="bottomRight" sqref="A1:I1"/>
    </sheetView>
  </sheetViews>
  <sheetFormatPr baseColWidth="10" defaultColWidth="8.83203125" defaultRowHeight="15" x14ac:dyDescent="0.2"/>
  <cols>
    <col min="1" max="1" width="36" customWidth="1"/>
    <col min="2" max="8" width="13" customWidth="1"/>
    <col min="9" max="9" width="26" customWidth="1"/>
  </cols>
  <sheetData>
    <row r="1" spans="1:9" ht="24" customHeight="1" x14ac:dyDescent="0.25">
      <c r="A1" s="140" t="s">
        <v>198</v>
      </c>
      <c r="B1" s="130"/>
      <c r="C1" s="130"/>
      <c r="D1" s="130"/>
      <c r="E1" s="130"/>
      <c r="F1" s="130"/>
      <c r="G1" s="130"/>
      <c r="H1" s="130"/>
      <c r="I1" s="130"/>
    </row>
    <row r="2" spans="1:9" ht="3" customHeight="1" x14ac:dyDescent="0.2">
      <c r="A2" s="137"/>
      <c r="B2" s="130"/>
      <c r="C2" s="130"/>
      <c r="D2" s="130"/>
      <c r="E2" s="130"/>
      <c r="F2" s="130"/>
      <c r="G2" s="130"/>
      <c r="H2" s="130"/>
      <c r="I2" s="130"/>
    </row>
    <row r="3" spans="1:9" ht="49" customHeight="1" x14ac:dyDescent="0.2">
      <c r="A3" s="136" t="s">
        <v>199</v>
      </c>
      <c r="B3" s="130"/>
      <c r="C3" s="130"/>
      <c r="D3" s="130"/>
      <c r="E3" s="130"/>
      <c r="F3" s="130"/>
      <c r="G3" s="130"/>
      <c r="H3" s="130"/>
      <c r="I3" s="130"/>
    </row>
    <row r="5" spans="1:9" ht="24" customHeight="1" x14ac:dyDescent="0.2">
      <c r="A5" s="60" t="s">
        <v>200</v>
      </c>
      <c r="B5" s="61">
        <v>0.75</v>
      </c>
      <c r="C5" s="61">
        <v>0.8</v>
      </c>
      <c r="D5" s="61">
        <v>0.85</v>
      </c>
      <c r="E5" s="61">
        <v>0.9</v>
      </c>
      <c r="F5" s="61">
        <v>0.95</v>
      </c>
      <c r="G5" s="61">
        <v>0.98</v>
      </c>
      <c r="H5" s="61">
        <v>1</v>
      </c>
      <c r="I5" s="20" t="s">
        <v>201</v>
      </c>
    </row>
    <row r="6" spans="1:9" ht="20" customHeight="1" x14ac:dyDescent="0.2">
      <c r="A6" s="131" t="s">
        <v>202</v>
      </c>
      <c r="B6" s="132"/>
      <c r="C6" s="132"/>
      <c r="D6" s="132"/>
      <c r="E6" s="132"/>
      <c r="F6" s="132"/>
      <c r="G6" s="132"/>
      <c r="H6" s="132"/>
      <c r="I6" s="132"/>
    </row>
    <row r="7" spans="1:9" ht="15" customHeight="1" x14ac:dyDescent="0.2">
      <c r="A7" s="25" t="s">
        <v>203</v>
      </c>
      <c r="B7" s="62">
        <f>ROUND(Inputs!$C$8*B$5,0)</f>
        <v>107</v>
      </c>
      <c r="C7" s="62">
        <f>ROUND(Inputs!$C$8*C$5,0)</f>
        <v>114</v>
      </c>
      <c r="D7" s="62">
        <f>ROUND(Inputs!$C$8*D$5,0)</f>
        <v>121</v>
      </c>
      <c r="E7" s="62">
        <f>ROUND(Inputs!$C$8*E$5,0)</f>
        <v>128</v>
      </c>
      <c r="F7" s="62">
        <f>ROUND(Inputs!$C$8*F$5,0)</f>
        <v>135</v>
      </c>
      <c r="G7" s="62">
        <f>ROUND(Inputs!$C$8*G$5,0)</f>
        <v>139</v>
      </c>
      <c r="H7" s="62">
        <f>ROUND(Inputs!$C$8*H$5,0)</f>
        <v>142</v>
      </c>
      <c r="I7" s="11"/>
    </row>
    <row r="8" spans="1:9" ht="15" customHeight="1" x14ac:dyDescent="0.2">
      <c r="A8" s="25" t="s">
        <v>204</v>
      </c>
      <c r="B8" s="62">
        <f>ROUND(Inputs!$D$8*B$5,0)</f>
        <v>44</v>
      </c>
      <c r="C8" s="62">
        <f>ROUND(Inputs!$D$8*C$5,0)</f>
        <v>46</v>
      </c>
      <c r="D8" s="62">
        <f>ROUND(Inputs!$D$8*D$5,0)</f>
        <v>49</v>
      </c>
      <c r="E8" s="62">
        <f>ROUND(Inputs!$D$8*E$5,0)</f>
        <v>52</v>
      </c>
      <c r="F8" s="62">
        <f>ROUND(Inputs!$D$8*F$5,0)</f>
        <v>55</v>
      </c>
      <c r="G8" s="62">
        <f>ROUND(Inputs!$D$8*G$5,0)</f>
        <v>57</v>
      </c>
      <c r="H8" s="62">
        <f>ROUND(Inputs!$D$8*H$5,0)</f>
        <v>58</v>
      </c>
      <c r="I8" s="11"/>
    </row>
    <row r="9" spans="1:9" ht="15" customHeight="1" x14ac:dyDescent="0.2">
      <c r="A9" s="25" t="s">
        <v>205</v>
      </c>
      <c r="B9" s="62">
        <f>ROUND(Inputs!$E$8*B$5,0)</f>
        <v>21</v>
      </c>
      <c r="C9" s="62">
        <f>ROUND(Inputs!$E$8*C$5,0)</f>
        <v>22</v>
      </c>
      <c r="D9" s="62">
        <f>ROUND(Inputs!$E$8*D$5,0)</f>
        <v>24</v>
      </c>
      <c r="E9" s="62">
        <f>ROUND(Inputs!$E$8*E$5,0)</f>
        <v>25</v>
      </c>
      <c r="F9" s="62">
        <f>ROUND(Inputs!$E$8*F$5,0)</f>
        <v>27</v>
      </c>
      <c r="G9" s="62">
        <f>ROUND(Inputs!$E$8*G$5,0)</f>
        <v>27</v>
      </c>
      <c r="H9" s="62">
        <f>ROUND(Inputs!$E$8*H$5,0)</f>
        <v>28</v>
      </c>
      <c r="I9" s="11"/>
    </row>
    <row r="10" spans="1:9" ht="15" customHeight="1" x14ac:dyDescent="0.2">
      <c r="A10" s="25" t="s">
        <v>206</v>
      </c>
      <c r="B10" s="62">
        <f>ROUND(Inputs!$F$8*B$5,0)</f>
        <v>39</v>
      </c>
      <c r="C10" s="62">
        <f>ROUND(Inputs!$F$8*C$5,0)</f>
        <v>42</v>
      </c>
      <c r="D10" s="62">
        <f>ROUND(Inputs!$F$8*D$5,0)</f>
        <v>44</v>
      </c>
      <c r="E10" s="62">
        <f>ROUND(Inputs!$F$8*E$5,0)</f>
        <v>47</v>
      </c>
      <c r="F10" s="62">
        <f>ROUND(Inputs!$F$8*F$5,0)</f>
        <v>49</v>
      </c>
      <c r="G10" s="62">
        <f>ROUND(Inputs!$F$8*G$5,0)</f>
        <v>51</v>
      </c>
      <c r="H10" s="62">
        <f>ROUND(Inputs!$F$8*H$5,0)</f>
        <v>52</v>
      </c>
      <c r="I10" s="11"/>
    </row>
    <row r="11" spans="1:9" ht="15" customHeight="1" x14ac:dyDescent="0.2">
      <c r="A11" s="63" t="s">
        <v>207</v>
      </c>
      <c r="B11" s="64">
        <f>(ROUND(Inputs!$C$8*B$5,0)+ROUND(Inputs!$D$8*B$5,0)+ROUND(Inputs!$E$8*B$5,0)+ROUND(Inputs!$F$8*B$5,0))</f>
        <v>211</v>
      </c>
      <c r="C11" s="64">
        <f>(ROUND(Inputs!$C$8*C$5,0)+ROUND(Inputs!$D$8*C$5,0)+ROUND(Inputs!$E$8*C$5,0)+ROUND(Inputs!$F$8*C$5,0))</f>
        <v>224</v>
      </c>
      <c r="D11" s="64">
        <f>(ROUND(Inputs!$C$8*D$5,0)+ROUND(Inputs!$D$8*D$5,0)+ROUND(Inputs!$E$8*D$5,0)+ROUND(Inputs!$F$8*D$5,0))</f>
        <v>238</v>
      </c>
      <c r="E11" s="64">
        <f>(ROUND(Inputs!$C$8*E$5,0)+ROUND(Inputs!$D$8*E$5,0)+ROUND(Inputs!$E$8*E$5,0)+ROUND(Inputs!$F$8*E$5,0))</f>
        <v>252</v>
      </c>
      <c r="F11" s="64">
        <f>(ROUND(Inputs!$C$8*F$5,0)+ROUND(Inputs!$D$8*F$5,0)+ROUND(Inputs!$E$8*F$5,0)+ROUND(Inputs!$F$8*F$5,0))</f>
        <v>266</v>
      </c>
      <c r="G11" s="64">
        <f>(ROUND(Inputs!$C$8*G$5,0)+ROUND(Inputs!$D$8*G$5,0)+ROUND(Inputs!$E$8*G$5,0)+ROUND(Inputs!$F$8*G$5,0))</f>
        <v>274</v>
      </c>
      <c r="H11" s="64">
        <f>(ROUND(Inputs!$C$8*H$5,0)+ROUND(Inputs!$D$8*H$5,0)+ROUND(Inputs!$E$8*H$5,0)+ROUND(Inputs!$F$8*H$5,0))</f>
        <v>280</v>
      </c>
      <c r="I11" s="65"/>
    </row>
    <row r="12" spans="1:9" ht="20" customHeight="1" x14ac:dyDescent="0.2">
      <c r="A12" s="131" t="s">
        <v>208</v>
      </c>
      <c r="B12" s="132"/>
      <c r="C12" s="132"/>
      <c r="D12" s="132"/>
      <c r="E12" s="132"/>
      <c r="F12" s="132"/>
      <c r="G12" s="132"/>
      <c r="H12" s="132"/>
      <c r="I12" s="132"/>
    </row>
    <row r="13" spans="1:9" ht="15" customHeight="1" x14ac:dyDescent="0.2">
      <c r="A13" s="25" t="s">
        <v>174</v>
      </c>
      <c r="B13" s="32">
        <f>IF(ROUND(Inputs!$D$8*B$5,0)=0,0,((ROUND(Inputs!$D$8*B$5,0)/Inputs!$D$38)+(ROUND(Inputs!$D$8*B$5,0)/Inputs!$D$39)+MAX(Inputs!$D$44,ROUND(Inputs!$D$8*B$5,0)/Inputs!$D$40))*8*7/40)+IF(ROUND(Inputs!$E$8*B$5,0)=0,0,((ROUND(Inputs!$E$8*B$5,0)/Inputs!$E$38)+(ROUND(Inputs!$E$8*B$5,0)/Inputs!$E$39)+MAX(Inputs!$E$44,ROUND(Inputs!$E$8*B$5,0)/Inputs!$E$40))*8*7/40)+IF(ROUND(Inputs!$F$8*B$5,0)=0,0,((ROUND(Inputs!$F$8*B$5,0)/Inputs!$F$38)+(ROUND(Inputs!$F$8*B$5,0)/Inputs!$F$39)+MAX(Inputs!$F$44,ROUND(Inputs!$F$8*B$5,0)/Inputs!$F$40))*8*7/40)</f>
        <v>40.67</v>
      </c>
      <c r="C13" s="32">
        <f>IF(ROUND(Inputs!$D$8*C$5,0)=0,0,((ROUND(Inputs!$D$8*C$5,0)/Inputs!$D$38)+(ROUND(Inputs!$D$8*C$5,0)/Inputs!$D$39)+MAX(Inputs!$D$44,ROUND(Inputs!$D$8*C$5,0)/Inputs!$D$40))*8*7/40)+IF(ROUND(Inputs!$E$8*C$5,0)=0,0,((ROUND(Inputs!$E$8*C$5,0)/Inputs!$E$38)+(ROUND(Inputs!$E$8*C$5,0)/Inputs!$E$39)+MAX(Inputs!$E$44,ROUND(Inputs!$E$8*C$5,0)/Inputs!$E$40))*8*7/40)+IF(ROUND(Inputs!$F$8*C$5,0)=0,0,((ROUND(Inputs!$F$8*C$5,0)/Inputs!$F$38)+(ROUND(Inputs!$F$8*C$5,0)/Inputs!$F$39)+MAX(Inputs!$F$44,ROUND(Inputs!$F$8*C$5,0)/Inputs!$F$40))*8*7/40)</f>
        <v>42.980000000000004</v>
      </c>
      <c r="D13" s="32">
        <f>IF(ROUND(Inputs!$D$8*D$5,0)=0,0,((ROUND(Inputs!$D$8*D$5,0)/Inputs!$D$38)+(ROUND(Inputs!$D$8*D$5,0)/Inputs!$D$39)+MAX(Inputs!$D$44,ROUND(Inputs!$D$8*D$5,0)/Inputs!$D$40))*8*7/40)+IF(ROUND(Inputs!$E$8*D$5,0)=0,0,((ROUND(Inputs!$E$8*D$5,0)/Inputs!$E$38)+(ROUND(Inputs!$E$8*D$5,0)/Inputs!$E$39)+MAX(Inputs!$E$44,ROUND(Inputs!$E$8*D$5,0)/Inputs!$E$40))*8*7/40)+IF(ROUND(Inputs!$F$8*D$5,0)=0,0,((ROUND(Inputs!$F$8*D$5,0)/Inputs!$F$38)+(ROUND(Inputs!$F$8*D$5,0)/Inputs!$F$39)+MAX(Inputs!$F$44,ROUND(Inputs!$F$8*D$5,0)/Inputs!$F$40))*8*7/40)</f>
        <v>45.453333333333333</v>
      </c>
      <c r="E13" s="32">
        <f>IF(ROUND(Inputs!$D$8*E$5,0)=0,0,((ROUND(Inputs!$D$8*E$5,0)/Inputs!$D$38)+(ROUND(Inputs!$D$8*E$5,0)/Inputs!$D$39)+MAX(Inputs!$D$44,ROUND(Inputs!$D$8*E$5,0)/Inputs!$D$40))*8*7/40)+IF(ROUND(Inputs!$E$8*E$5,0)=0,0,((ROUND(Inputs!$E$8*E$5,0)/Inputs!$E$38)+(ROUND(Inputs!$E$8*E$5,0)/Inputs!$E$39)+MAX(Inputs!$E$44,ROUND(Inputs!$E$8*E$5,0)/Inputs!$E$40))*8*7/40)+IF(ROUND(Inputs!$F$8*E$5,0)=0,0,((ROUND(Inputs!$F$8*E$5,0)/Inputs!$F$38)+(ROUND(Inputs!$F$8*E$5,0)/Inputs!$F$39)+MAX(Inputs!$F$44,ROUND(Inputs!$F$8*E$5,0)/Inputs!$F$40))*8*7/40)</f>
        <v>48.16</v>
      </c>
      <c r="F13" s="32">
        <f>IF(ROUND(Inputs!$D$8*F$5,0)=0,0,((ROUND(Inputs!$D$8*F$5,0)/Inputs!$D$38)+(ROUND(Inputs!$D$8*F$5,0)/Inputs!$D$39)+MAX(Inputs!$D$44,ROUND(Inputs!$D$8*F$5,0)/Inputs!$D$40))*8*7/40)+IF(ROUND(Inputs!$E$8*F$5,0)=0,0,((ROUND(Inputs!$E$8*F$5,0)/Inputs!$E$38)+(ROUND(Inputs!$E$8*F$5,0)/Inputs!$E$39)+MAX(Inputs!$E$44,ROUND(Inputs!$E$8*F$5,0)/Inputs!$E$40))*8*7/40)+IF(ROUND(Inputs!$F$8*F$5,0)=0,0,((ROUND(Inputs!$F$8*F$5,0)/Inputs!$F$38)+(ROUND(Inputs!$F$8*F$5,0)/Inputs!$F$39)+MAX(Inputs!$F$44,ROUND(Inputs!$F$8*F$5,0)/Inputs!$F$40))*8*7/40)</f>
        <v>50.866666666666667</v>
      </c>
      <c r="G13" s="32">
        <f>IF(ROUND(Inputs!$D$8*G$5,0)=0,0,((ROUND(Inputs!$D$8*G$5,0)/Inputs!$D$38)+(ROUND(Inputs!$D$8*G$5,0)/Inputs!$D$39)+MAX(Inputs!$D$44,ROUND(Inputs!$D$8*G$5,0)/Inputs!$D$40))*8*7/40)+IF(ROUND(Inputs!$E$8*G$5,0)=0,0,((ROUND(Inputs!$E$8*G$5,0)/Inputs!$E$38)+(ROUND(Inputs!$E$8*G$5,0)/Inputs!$E$39)+MAX(Inputs!$E$44,ROUND(Inputs!$E$8*G$5,0)/Inputs!$E$40))*8*7/40)+IF(ROUND(Inputs!$F$8*G$5,0)=0,0,((ROUND(Inputs!$F$8*G$5,0)/Inputs!$F$38)+(ROUND(Inputs!$F$8*G$5,0)/Inputs!$F$39)+MAX(Inputs!$F$44,ROUND(Inputs!$F$8*G$5,0)/Inputs!$F$40))*8*7/40)</f>
        <v>52.36</v>
      </c>
      <c r="H13" s="32">
        <f>IF(ROUND(Inputs!$D$8*H$5,0)=0,0,((ROUND(Inputs!$D$8*H$5,0)/Inputs!$D$38)+(ROUND(Inputs!$D$8*H$5,0)/Inputs!$D$39)+MAX(Inputs!$D$44,ROUND(Inputs!$D$8*H$5,0)/Inputs!$D$40))*8*7/40)+IF(ROUND(Inputs!$E$8*H$5,0)=0,0,((ROUND(Inputs!$E$8*H$5,0)/Inputs!$E$38)+(ROUND(Inputs!$E$8*H$5,0)/Inputs!$E$39)+MAX(Inputs!$E$44,ROUND(Inputs!$E$8*H$5,0)/Inputs!$E$40))*8*7/40)+IF(ROUND(Inputs!$F$8*H$5,0)=0,0,((ROUND(Inputs!$F$8*H$5,0)/Inputs!$F$38)+(ROUND(Inputs!$F$8*H$5,0)/Inputs!$F$39)+MAX(Inputs!$F$44,ROUND(Inputs!$F$8*H$5,0)/Inputs!$F$40))*8*7/40)</f>
        <v>53.573333333333338</v>
      </c>
      <c r="I13" s="11" t="s">
        <v>209</v>
      </c>
    </row>
    <row r="14" spans="1:9" ht="15" customHeight="1" x14ac:dyDescent="0.2">
      <c r="A14" s="25" t="s">
        <v>175</v>
      </c>
      <c r="B14" s="32">
        <f>IF(ROUND(Inputs!$D$8*B$5,0)=0,0,(MAX(1,ROUND(Inputs!$D$8*B$5,0)/Inputs!$D$41)+MAX(1,ROUND(Inputs!$D$8*B$5,0)/Inputs!$D$42)+MAX(1,ROUND(Inputs!$D$8*B$5,0)/Inputs!$D$43))*8*7/40)+IF(ROUND(Inputs!$E$8*B$5,0)=0,0,(MAX(1,ROUND(Inputs!$E$8*B$5,0)/Inputs!$E$41)+MAX(1,ROUND(Inputs!$E$8*B$5,0)/Inputs!$E$42)+MAX(1,ROUND(Inputs!$E$8*B$5,0)/Inputs!$E$43))*8*7/40)+IF(ROUND(Inputs!$F$8*B$5,0)=0,0,(MAX(1,ROUND(Inputs!$F$8*B$5,0)/Inputs!$F$41)+MAX(1,ROUND(Inputs!$F$8*B$5,0)/Inputs!$F$42)+MAX(1,ROUND(Inputs!$F$8*B$5,0)/Inputs!$F$43))*8*7/40)</f>
        <v>18.549999999999997</v>
      </c>
      <c r="C14" s="32">
        <f>IF(ROUND(Inputs!$D$8*C$5,0)=0,0,(MAX(1,ROUND(Inputs!$D$8*C$5,0)/Inputs!$D$41)+MAX(1,ROUND(Inputs!$D$8*C$5,0)/Inputs!$D$42)+MAX(1,ROUND(Inputs!$D$8*C$5,0)/Inputs!$D$43))*8*7/40)+IF(ROUND(Inputs!$E$8*C$5,0)=0,0,(MAX(1,ROUND(Inputs!$E$8*C$5,0)/Inputs!$E$41)+MAX(1,ROUND(Inputs!$E$8*C$5,0)/Inputs!$E$42)+MAX(1,ROUND(Inputs!$E$8*C$5,0)/Inputs!$E$43))*8*7/40)+IF(ROUND(Inputs!$F$8*C$5,0)=0,0,(MAX(1,ROUND(Inputs!$F$8*C$5,0)/Inputs!$F$41)+MAX(1,ROUND(Inputs!$F$8*C$5,0)/Inputs!$F$42)+MAX(1,ROUND(Inputs!$F$8*C$5,0)/Inputs!$F$43))*8*7/40)</f>
        <v>19.46</v>
      </c>
      <c r="D14" s="32">
        <f>IF(ROUND(Inputs!$D$8*D$5,0)=0,0,(MAX(1,ROUND(Inputs!$D$8*D$5,0)/Inputs!$D$41)+MAX(1,ROUND(Inputs!$D$8*D$5,0)/Inputs!$D$42)+MAX(1,ROUND(Inputs!$D$8*D$5,0)/Inputs!$D$43))*8*7/40)+IF(ROUND(Inputs!$E$8*D$5,0)=0,0,(MAX(1,ROUND(Inputs!$E$8*D$5,0)/Inputs!$E$41)+MAX(1,ROUND(Inputs!$E$8*D$5,0)/Inputs!$E$42)+MAX(1,ROUND(Inputs!$E$8*D$5,0)/Inputs!$E$43))*8*7/40)+IF(ROUND(Inputs!$F$8*D$5,0)=0,0,(MAX(1,ROUND(Inputs!$F$8*D$5,0)/Inputs!$F$41)+MAX(1,ROUND(Inputs!$F$8*D$5,0)/Inputs!$F$42)+MAX(1,ROUND(Inputs!$F$8*D$5,0)/Inputs!$F$43))*8*7/40)</f>
        <v>20.300000000000004</v>
      </c>
      <c r="E14" s="32">
        <f>IF(ROUND(Inputs!$D$8*E$5,0)=0,0,(MAX(1,ROUND(Inputs!$D$8*E$5,0)/Inputs!$D$41)+MAX(1,ROUND(Inputs!$D$8*E$5,0)/Inputs!$D$42)+MAX(1,ROUND(Inputs!$D$8*E$5,0)/Inputs!$D$43))*8*7/40)+IF(ROUND(Inputs!$E$8*E$5,0)=0,0,(MAX(1,ROUND(Inputs!$E$8*E$5,0)/Inputs!$E$41)+MAX(1,ROUND(Inputs!$E$8*E$5,0)/Inputs!$E$42)+MAX(1,ROUND(Inputs!$E$8*E$5,0)/Inputs!$E$43))*8*7/40)+IF(ROUND(Inputs!$F$8*E$5,0)=0,0,(MAX(1,ROUND(Inputs!$F$8*E$5,0)/Inputs!$F$41)+MAX(1,ROUND(Inputs!$F$8*E$5,0)/Inputs!$F$42)+MAX(1,ROUND(Inputs!$F$8*E$5,0)/Inputs!$F$43))*8*7/40)</f>
        <v>21.35</v>
      </c>
      <c r="F14" s="32">
        <f>IF(ROUND(Inputs!$D$8*F$5,0)=0,0,(MAX(1,ROUND(Inputs!$D$8*F$5,0)/Inputs!$D$41)+MAX(1,ROUND(Inputs!$D$8*F$5,0)/Inputs!$D$42)+MAX(1,ROUND(Inputs!$D$8*F$5,0)/Inputs!$D$43))*8*7/40)+IF(ROUND(Inputs!$E$8*F$5,0)=0,0,(MAX(1,ROUND(Inputs!$E$8*F$5,0)/Inputs!$E$41)+MAX(1,ROUND(Inputs!$E$8*F$5,0)/Inputs!$E$42)+MAX(1,ROUND(Inputs!$E$8*F$5,0)/Inputs!$E$43))*8*7/40)+IF(ROUND(Inputs!$F$8*F$5,0)=0,0,(MAX(1,ROUND(Inputs!$F$8*F$5,0)/Inputs!$F$41)+MAX(1,ROUND(Inputs!$F$8*F$5,0)/Inputs!$F$42)+MAX(1,ROUND(Inputs!$F$8*F$5,0)/Inputs!$F$43))*8*7/40)</f>
        <v>22.19</v>
      </c>
      <c r="G14" s="32">
        <f>IF(ROUND(Inputs!$D$8*G$5,0)=0,0,(MAX(1,ROUND(Inputs!$D$8*G$5,0)/Inputs!$D$41)+MAX(1,ROUND(Inputs!$D$8*G$5,0)/Inputs!$D$42)+MAX(1,ROUND(Inputs!$D$8*G$5,0)/Inputs!$D$43))*8*7/40)+IF(ROUND(Inputs!$E$8*G$5,0)=0,0,(MAX(1,ROUND(Inputs!$E$8*G$5,0)/Inputs!$E$41)+MAX(1,ROUND(Inputs!$E$8*G$5,0)/Inputs!$E$42)+MAX(1,ROUND(Inputs!$E$8*G$5,0)/Inputs!$E$43))*8*7/40)+IF(ROUND(Inputs!$F$8*G$5,0)=0,0,(MAX(1,ROUND(Inputs!$F$8*G$5,0)/Inputs!$F$41)+MAX(1,ROUND(Inputs!$F$8*G$5,0)/Inputs!$F$42)+MAX(1,ROUND(Inputs!$F$8*G$5,0)/Inputs!$F$43))*8*7/40)</f>
        <v>22.89</v>
      </c>
      <c r="H14" s="32">
        <f>IF(ROUND(Inputs!$D$8*H$5,0)=0,0,(MAX(1,ROUND(Inputs!$D$8*H$5,0)/Inputs!$D$41)+MAX(1,ROUND(Inputs!$D$8*H$5,0)/Inputs!$D$42)+MAX(1,ROUND(Inputs!$D$8*H$5,0)/Inputs!$D$43))*8*7/40)+IF(ROUND(Inputs!$E$8*H$5,0)=0,0,(MAX(1,ROUND(Inputs!$E$8*H$5,0)/Inputs!$E$41)+MAX(1,ROUND(Inputs!$E$8*H$5,0)/Inputs!$E$42)+MAX(1,ROUND(Inputs!$E$8*H$5,0)/Inputs!$E$43))*8*7/40)+IF(ROUND(Inputs!$F$8*H$5,0)=0,0,(MAX(1,ROUND(Inputs!$F$8*H$5,0)/Inputs!$F$41)+MAX(1,ROUND(Inputs!$F$8*H$5,0)/Inputs!$F$42)+MAX(1,ROUND(Inputs!$F$8*H$5,0)/Inputs!$F$43))*8*7/40)</f>
        <v>23.240000000000002</v>
      </c>
      <c r="I14" s="11"/>
    </row>
    <row r="15" spans="1:9" ht="15" customHeight="1" x14ac:dyDescent="0.2">
      <c r="A15" s="25" t="s">
        <v>163</v>
      </c>
      <c r="B15" s="32">
        <f>ROUND(Inputs!$C$8*B$5,0)*Inputs!$C$48*365/Inputs!$C$49/Inputs!$C$85+ROUND(Inputs!$D$8*B$5,0)*Inputs!$D$48*365/Inputs!$D$49/Inputs!$C$85+ROUND(Inputs!$E$8*B$5,0)*Inputs!$E$48*365/Inputs!$E$49/Inputs!$C$85+ROUND(Inputs!$F$8*B$5,0)*Inputs!$F$48*365/Inputs!$F$49/Inputs!$C$85</f>
        <v>27.351298701298699</v>
      </c>
      <c r="C15" s="32">
        <f>ROUND(Inputs!$C$8*C$5,0)*Inputs!$C$48*365/Inputs!$C$49/Inputs!$C$85+ROUND(Inputs!$D$8*C$5,0)*Inputs!$D$48*365/Inputs!$D$49/Inputs!$C$85+ROUND(Inputs!$E$8*C$5,0)*Inputs!$E$48*365/Inputs!$E$49/Inputs!$C$85+ROUND(Inputs!$F$8*C$5,0)*Inputs!$F$48*365/Inputs!$F$49/Inputs!$C$85</f>
        <v>28.957517482517481</v>
      </c>
      <c r="D15" s="32">
        <f>ROUND(Inputs!$C$8*D$5,0)*Inputs!$C$48*365/Inputs!$C$49/Inputs!$C$85+ROUND(Inputs!$D$8*D$5,0)*Inputs!$D$48*365/Inputs!$D$49/Inputs!$C$85+ROUND(Inputs!$E$8*D$5,0)*Inputs!$E$48*365/Inputs!$E$49/Inputs!$C$85+ROUND(Inputs!$F$8*D$5,0)*Inputs!$F$48*365/Inputs!$F$49/Inputs!$C$85</f>
        <v>30.799381868131867</v>
      </c>
      <c r="E15" s="32">
        <f>ROUND(Inputs!$C$8*E$5,0)*Inputs!$C$48*365/Inputs!$C$49/Inputs!$C$85+ROUND(Inputs!$D$8*E$5,0)*Inputs!$D$48*365/Inputs!$D$49/Inputs!$C$85+ROUND(Inputs!$E$8*E$5,0)*Inputs!$E$48*365/Inputs!$E$49/Inputs!$C$85+ROUND(Inputs!$F$8*E$5,0)*Inputs!$F$48*365/Inputs!$F$49/Inputs!$C$85</f>
        <v>32.616177572427574</v>
      </c>
      <c r="F15" s="32">
        <f>ROUND(Inputs!$C$8*F$5,0)*Inputs!$C$48*365/Inputs!$C$49/Inputs!$C$85+ROUND(Inputs!$D$8*F$5,0)*Inputs!$D$48*365/Inputs!$D$49/Inputs!$C$85+ROUND(Inputs!$E$8*F$5,0)*Inputs!$E$48*365/Inputs!$E$49/Inputs!$C$85+ROUND(Inputs!$F$8*F$5,0)*Inputs!$F$48*365/Inputs!$F$49/Inputs!$C$85</f>
        <v>34.45804195804196</v>
      </c>
      <c r="G15" s="32">
        <f>ROUND(Inputs!$C$8*G$5,0)*Inputs!$C$48*365/Inputs!$C$49/Inputs!$C$85+ROUND(Inputs!$D$8*G$5,0)*Inputs!$D$48*365/Inputs!$D$49/Inputs!$C$85+ROUND(Inputs!$E$8*G$5,0)*Inputs!$E$48*365/Inputs!$E$49/Inputs!$C$85+ROUND(Inputs!$F$8*G$5,0)*Inputs!$F$48*365/Inputs!$F$49/Inputs!$C$85</f>
        <v>35.499075924075925</v>
      </c>
      <c r="H15" s="32">
        <f>ROUND(Inputs!$C$8*H$5,0)*Inputs!$C$48*365/Inputs!$C$49/Inputs!$C$85+ROUND(Inputs!$D$8*H$5,0)*Inputs!$D$48*365/Inputs!$D$49/Inputs!$C$85+ROUND(Inputs!$E$8*H$5,0)*Inputs!$E$48*365/Inputs!$E$49/Inputs!$C$85+ROUND(Inputs!$F$8*H$5,0)*Inputs!$F$48*365/Inputs!$F$49/Inputs!$C$85</f>
        <v>36.27483766233766</v>
      </c>
      <c r="I15" s="11"/>
    </row>
    <row r="16" spans="1:9" ht="15" customHeight="1" x14ac:dyDescent="0.2">
      <c r="A16" s="25" t="s">
        <v>159</v>
      </c>
      <c r="B16" s="32">
        <f>IF(ROUND(Inputs!$C$8*B$5,0)=0,0,IF(ROUND(Inputs!$C$8*B$5,0)&lt;125,1,ROUND(Inputs!$C$8*B$5,0)*0.005))+IF(ROUND(Inputs!$D$8*B$5,0)&gt;75,1,ROUND(Inputs!$D$8*B$5,0)*0.005)+IF(ROUND(Inputs!$E$8*B$5,0)&gt;75,1,ROUND(Inputs!$E$8*B$5,0)*0.005)+IF(ROUND(Inputs!$F$8*B$5,0)&gt;0,1,0)</f>
        <v>2.3250000000000002</v>
      </c>
      <c r="C16" s="32">
        <f>IF(ROUND(Inputs!$C$8*C$5,0)=0,0,IF(ROUND(Inputs!$C$8*C$5,0)&lt;125,1,ROUND(Inputs!$C$8*C$5,0)*0.005))+IF(ROUND(Inputs!$D$8*C$5,0)&gt;75,1,ROUND(Inputs!$D$8*C$5,0)*0.005)+IF(ROUND(Inputs!$E$8*C$5,0)&gt;75,1,ROUND(Inputs!$E$8*C$5,0)*0.005)+IF(ROUND(Inputs!$F$8*C$5,0)&gt;0,1,0)</f>
        <v>2.34</v>
      </c>
      <c r="D16" s="32">
        <f>IF(ROUND(Inputs!$C$8*D$5,0)=0,0,IF(ROUND(Inputs!$C$8*D$5,0)&lt;125,1,ROUND(Inputs!$C$8*D$5,0)*0.005))+IF(ROUND(Inputs!$D$8*D$5,0)&gt;75,1,ROUND(Inputs!$D$8*D$5,0)*0.005)+IF(ROUND(Inputs!$E$8*D$5,0)&gt;75,1,ROUND(Inputs!$E$8*D$5,0)*0.005)+IF(ROUND(Inputs!$F$8*D$5,0)&gt;0,1,0)</f>
        <v>2.3650000000000002</v>
      </c>
      <c r="E16" s="32">
        <f>IF(ROUND(Inputs!$C$8*E$5,0)=0,0,IF(ROUND(Inputs!$C$8*E$5,0)&lt;125,1,ROUND(Inputs!$C$8*E$5,0)*0.005))+IF(ROUND(Inputs!$D$8*E$5,0)&gt;75,1,ROUND(Inputs!$D$8*E$5,0)*0.005)+IF(ROUND(Inputs!$E$8*E$5,0)&gt;75,1,ROUND(Inputs!$E$8*E$5,0)*0.005)+IF(ROUND(Inputs!$F$8*E$5,0)&gt;0,1,0)</f>
        <v>2.0249999999999999</v>
      </c>
      <c r="F16" s="32">
        <f>IF(ROUND(Inputs!$C$8*F$5,0)=0,0,IF(ROUND(Inputs!$C$8*F$5,0)&lt;125,1,ROUND(Inputs!$C$8*F$5,0)*0.005))+IF(ROUND(Inputs!$D$8*F$5,0)&gt;75,1,ROUND(Inputs!$D$8*F$5,0)*0.005)+IF(ROUND(Inputs!$E$8*F$5,0)&gt;75,1,ROUND(Inputs!$E$8*F$5,0)*0.005)+IF(ROUND(Inputs!$F$8*F$5,0)&gt;0,1,0)</f>
        <v>2.085</v>
      </c>
      <c r="G16" s="32">
        <f>IF(ROUND(Inputs!$C$8*G$5,0)=0,0,IF(ROUND(Inputs!$C$8*G$5,0)&lt;125,1,ROUND(Inputs!$C$8*G$5,0)*0.005))+IF(ROUND(Inputs!$D$8*G$5,0)&gt;75,1,ROUND(Inputs!$D$8*G$5,0)*0.005)+IF(ROUND(Inputs!$E$8*G$5,0)&gt;75,1,ROUND(Inputs!$E$8*G$5,0)*0.005)+IF(ROUND(Inputs!$F$8*G$5,0)&gt;0,1,0)</f>
        <v>2.1150000000000002</v>
      </c>
      <c r="H16" s="32">
        <f>IF(ROUND(Inputs!$C$8*H$5,0)=0,0,IF(ROUND(Inputs!$C$8*H$5,0)&lt;125,1,ROUND(Inputs!$C$8*H$5,0)*0.005))+IF(ROUND(Inputs!$D$8*H$5,0)&gt;75,1,ROUND(Inputs!$D$8*H$5,0)*0.005)+IF(ROUND(Inputs!$E$8*H$5,0)&gt;75,1,ROUND(Inputs!$E$8*H$5,0)*0.005)+IF(ROUND(Inputs!$F$8*H$5,0)&gt;0,1,0)</f>
        <v>2.14</v>
      </c>
      <c r="I16" s="11"/>
    </row>
    <row r="17" spans="1:9" ht="15" customHeight="1" x14ac:dyDescent="0.2">
      <c r="A17" s="25" t="s">
        <v>160</v>
      </c>
      <c r="B17" s="32">
        <f>IF(ROUND(Inputs!$C$8*B$5,0)&gt;0,4.2,0)+IF(ROUND(Inputs!$D$8*B$5,0)&lt;45,ROUND(Inputs!$D$8*B$5,0)*0.005,1)+ROUND(Inputs!$E$8*B$5,0)*0.005+IF(ROUND(Inputs!$F$8*B$5,0)&gt;40,2.1,0)</f>
        <v>4.5250000000000004</v>
      </c>
      <c r="C17" s="32">
        <f>IF(ROUND(Inputs!$C$8*C$5,0)&gt;0,4.2,0)+IF(ROUND(Inputs!$D$8*C$5,0)&lt;45,ROUND(Inputs!$D$8*C$5,0)*0.005,1)+ROUND(Inputs!$E$8*C$5,0)*0.005+IF(ROUND(Inputs!$F$8*C$5,0)&gt;40,2.1,0)</f>
        <v>7.41</v>
      </c>
      <c r="D17" s="32">
        <f>IF(ROUND(Inputs!$C$8*D$5,0)&gt;0,4.2,0)+IF(ROUND(Inputs!$D$8*D$5,0)&lt;45,ROUND(Inputs!$D$8*D$5,0)*0.005,1)+ROUND(Inputs!$E$8*D$5,0)*0.005+IF(ROUND(Inputs!$F$8*D$5,0)&gt;40,2.1,0)</f>
        <v>7.42</v>
      </c>
      <c r="E17" s="32">
        <f>IF(ROUND(Inputs!$C$8*E$5,0)&gt;0,4.2,0)+IF(ROUND(Inputs!$D$8*E$5,0)&lt;45,ROUND(Inputs!$D$8*E$5,0)*0.005,1)+ROUND(Inputs!$E$8*E$5,0)*0.005+IF(ROUND(Inputs!$F$8*E$5,0)&gt;40,2.1,0)</f>
        <v>7.4250000000000007</v>
      </c>
      <c r="F17" s="32">
        <f>IF(ROUND(Inputs!$C$8*F$5,0)&gt;0,4.2,0)+IF(ROUND(Inputs!$D$8*F$5,0)&lt;45,ROUND(Inputs!$D$8*F$5,0)*0.005,1)+ROUND(Inputs!$E$8*F$5,0)*0.005+IF(ROUND(Inputs!$F$8*F$5,0)&gt;40,2.1,0)</f>
        <v>7.4350000000000005</v>
      </c>
      <c r="G17" s="32">
        <f>IF(ROUND(Inputs!$C$8*G$5,0)&gt;0,4.2,0)+IF(ROUND(Inputs!$D$8*G$5,0)&lt;45,ROUND(Inputs!$D$8*G$5,0)*0.005,1)+ROUND(Inputs!$E$8*G$5,0)*0.005+IF(ROUND(Inputs!$F$8*G$5,0)&gt;40,2.1,0)</f>
        <v>7.4350000000000005</v>
      </c>
      <c r="H17" s="32">
        <f>IF(ROUND(Inputs!$C$8*H$5,0)&gt;0,4.2,0)+IF(ROUND(Inputs!$D$8*H$5,0)&lt;45,ROUND(Inputs!$D$8*H$5,0)*0.005,1)+ROUND(Inputs!$E$8*H$5,0)*0.005+IF(ROUND(Inputs!$F$8*H$5,0)&gt;40,2.1,0)</f>
        <v>7.4399999999999995</v>
      </c>
      <c r="I17" s="11"/>
    </row>
    <row r="18" spans="1:9" ht="15" customHeight="1" x14ac:dyDescent="0.2">
      <c r="A18" s="25" t="s">
        <v>167</v>
      </c>
      <c r="B18" s="32">
        <f>ROUND(Inputs!$C$8*B$5,0)/100+IF(ROUND(Inputs!$D$8*B$5,0)=0,0,IF(ROUND(Inputs!$D$8*B$5,0)&lt;60,1.4,ROUND(Inputs!$D$8*B$5,0)*0.05))+IF(ROUND(Inputs!$E$8*B$5,0)=0,0,IF(ROUND(Inputs!$E$8*B$5,0)&lt;30,1.4,ROUND(Inputs!$E$8*B$5,0)*0.035))+IF(ROUND(Inputs!$F$8*B$5,0)=0,0,IF(ROUND(Inputs!$F$8*B$5,0)&lt;30,1.4,ROUND(Inputs!$F$8*B$5,0)*0.035))</f>
        <v>5.2349999999999994</v>
      </c>
      <c r="C18" s="32">
        <f>ROUND(Inputs!$C$8*C$5,0)/100+IF(ROUND(Inputs!$D$8*C$5,0)=0,0,IF(ROUND(Inputs!$D$8*C$5,0)&lt;60,1.4,ROUND(Inputs!$D$8*C$5,0)*0.05))+IF(ROUND(Inputs!$E$8*C$5,0)=0,0,IF(ROUND(Inputs!$E$8*C$5,0)&lt;30,1.4,ROUND(Inputs!$E$8*C$5,0)*0.035))+IF(ROUND(Inputs!$F$8*C$5,0)=0,0,IF(ROUND(Inputs!$F$8*C$5,0)&lt;30,1.4,ROUND(Inputs!$F$8*C$5,0)*0.035))</f>
        <v>5.41</v>
      </c>
      <c r="D18" s="32">
        <f>ROUND(Inputs!$C$8*D$5,0)/100+IF(ROUND(Inputs!$D$8*D$5,0)=0,0,IF(ROUND(Inputs!$D$8*D$5,0)&lt;60,1.4,ROUND(Inputs!$D$8*D$5,0)*0.05))+IF(ROUND(Inputs!$E$8*D$5,0)=0,0,IF(ROUND(Inputs!$E$8*D$5,0)&lt;30,1.4,ROUND(Inputs!$E$8*D$5,0)*0.035))+IF(ROUND(Inputs!$F$8*D$5,0)=0,0,IF(ROUND(Inputs!$F$8*D$5,0)&lt;30,1.4,ROUND(Inputs!$F$8*D$5,0)*0.035))</f>
        <v>5.55</v>
      </c>
      <c r="E18" s="32">
        <f>ROUND(Inputs!$C$8*E$5,0)/100+IF(ROUND(Inputs!$D$8*E$5,0)=0,0,IF(ROUND(Inputs!$D$8*E$5,0)&lt;60,1.4,ROUND(Inputs!$D$8*E$5,0)*0.05))+IF(ROUND(Inputs!$E$8*E$5,0)=0,0,IF(ROUND(Inputs!$E$8*E$5,0)&lt;30,1.4,ROUND(Inputs!$E$8*E$5,0)*0.035))+IF(ROUND(Inputs!$F$8*E$5,0)=0,0,IF(ROUND(Inputs!$F$8*E$5,0)&lt;30,1.4,ROUND(Inputs!$F$8*E$5,0)*0.035))</f>
        <v>5.7250000000000005</v>
      </c>
      <c r="F18" s="32">
        <f>ROUND(Inputs!$C$8*F$5,0)/100+IF(ROUND(Inputs!$D$8*F$5,0)=0,0,IF(ROUND(Inputs!$D$8*F$5,0)&lt;60,1.4,ROUND(Inputs!$D$8*F$5,0)*0.05))+IF(ROUND(Inputs!$E$8*F$5,0)=0,0,IF(ROUND(Inputs!$E$8*F$5,0)&lt;30,1.4,ROUND(Inputs!$E$8*F$5,0)*0.035))+IF(ROUND(Inputs!$F$8*F$5,0)=0,0,IF(ROUND(Inputs!$F$8*F$5,0)&lt;30,1.4,ROUND(Inputs!$F$8*F$5,0)*0.035))</f>
        <v>5.8650000000000002</v>
      </c>
      <c r="G18" s="32">
        <f>ROUND(Inputs!$C$8*G$5,0)/100+IF(ROUND(Inputs!$D$8*G$5,0)=0,0,IF(ROUND(Inputs!$D$8*G$5,0)&lt;60,1.4,ROUND(Inputs!$D$8*G$5,0)*0.05))+IF(ROUND(Inputs!$E$8*G$5,0)=0,0,IF(ROUND(Inputs!$E$8*G$5,0)&lt;30,1.4,ROUND(Inputs!$E$8*G$5,0)*0.035))+IF(ROUND(Inputs!$F$8*G$5,0)=0,0,IF(ROUND(Inputs!$F$8*G$5,0)&lt;30,1.4,ROUND(Inputs!$F$8*G$5,0)*0.035))</f>
        <v>5.9749999999999996</v>
      </c>
      <c r="H18" s="32">
        <f>ROUND(Inputs!$C$8*H$5,0)/100+IF(ROUND(Inputs!$D$8*H$5,0)=0,0,IF(ROUND(Inputs!$D$8*H$5,0)&lt;60,1.4,ROUND(Inputs!$D$8*H$5,0)*0.05))+IF(ROUND(Inputs!$E$8*H$5,0)=0,0,IF(ROUND(Inputs!$E$8*H$5,0)&lt;30,1.4,ROUND(Inputs!$E$8*H$5,0)*0.035))+IF(ROUND(Inputs!$F$8*H$5,0)=0,0,IF(ROUND(Inputs!$F$8*H$5,0)&lt;30,1.4,ROUND(Inputs!$F$8*H$5,0)*0.035))</f>
        <v>6.04</v>
      </c>
      <c r="I18" s="11"/>
    </row>
    <row r="19" spans="1:9" ht="15" customHeight="1" x14ac:dyDescent="0.2">
      <c r="A19" s="25" t="s">
        <v>168</v>
      </c>
      <c r="B19" s="32">
        <f>IF(ROUND(Inputs!$D$8*B$5,0)=0,0,ROUND(Inputs!$D$8*B$5,0)/120)+IF(ROUND(Inputs!$E$8*B$5,0)=0,0,ROUND(Inputs!$E$8*B$5,0)/80)+ROUND(ROUND(Inputs!$F$8*B$5,0)*Inputs!$F$15,0)/25+(ROUND(Inputs!$F$8*B$5,0)-ROUND(ROUND(Inputs!$F$8*B$5,0)*Inputs!$F$15,0))/50</f>
        <v>1.6491666666666667</v>
      </c>
      <c r="C19" s="32">
        <f>IF(ROUND(Inputs!$D$8*C$5,0)=0,0,ROUND(Inputs!$D$8*C$5,0)/120)+IF(ROUND(Inputs!$E$8*C$5,0)=0,0,ROUND(Inputs!$E$8*C$5,0)/80)+ROUND(ROUND(Inputs!$F$8*C$5,0)*Inputs!$F$15,0)/25+(ROUND(Inputs!$F$8*C$5,0)-ROUND(ROUND(Inputs!$F$8*C$5,0)*Inputs!$F$15,0))/50</f>
        <v>1.7583333333333333</v>
      </c>
      <c r="D19" s="32">
        <f>IF(ROUND(Inputs!$D$8*D$5,0)=0,0,ROUND(Inputs!$D$8*D$5,0)/120)+IF(ROUND(Inputs!$E$8*D$5,0)=0,0,ROUND(Inputs!$E$8*D$5,0)/80)+ROUND(ROUND(Inputs!$F$8*D$5,0)*Inputs!$F$15,0)/25+(ROUND(Inputs!$F$8*D$5,0)-ROUND(ROUND(Inputs!$F$8*D$5,0)*Inputs!$F$15,0))/50</f>
        <v>1.8483333333333332</v>
      </c>
      <c r="E19" s="32">
        <f>IF(ROUND(Inputs!$D$8*E$5,0)=0,0,ROUND(Inputs!$D$8*E$5,0)/120)+IF(ROUND(Inputs!$E$8*E$5,0)=0,0,ROUND(Inputs!$E$8*E$5,0)/80)+ROUND(ROUND(Inputs!$F$8*E$5,0)*Inputs!$F$15,0)/25+(ROUND(Inputs!$F$8*E$5,0)-ROUND(ROUND(Inputs!$F$8*E$5,0)*Inputs!$F$15,0))/50</f>
        <v>1.9658333333333333</v>
      </c>
      <c r="F19" s="32">
        <f>IF(ROUND(Inputs!$D$8*F$5,0)=0,0,ROUND(Inputs!$D$8*F$5,0)/120)+IF(ROUND(Inputs!$E$8*F$5,0)=0,0,ROUND(Inputs!$E$8*F$5,0)/80)+ROUND(ROUND(Inputs!$F$8*F$5,0)*Inputs!$F$15,0)/25+(ROUND(Inputs!$F$8*F$5,0)-ROUND(ROUND(Inputs!$F$8*F$5,0)*Inputs!$F$15,0))/50</f>
        <v>2.0758333333333336</v>
      </c>
      <c r="G19" s="32">
        <f>IF(ROUND(Inputs!$D$8*G$5,0)=0,0,ROUND(Inputs!$D$8*G$5,0)/120)+IF(ROUND(Inputs!$E$8*G$5,0)=0,0,ROUND(Inputs!$E$8*G$5,0)/80)+ROUND(ROUND(Inputs!$F$8*G$5,0)*Inputs!$F$15,0)/25+(ROUND(Inputs!$F$8*G$5,0)-ROUND(ROUND(Inputs!$F$8*G$5,0)*Inputs!$F$15,0))/50</f>
        <v>2.1325000000000003</v>
      </c>
      <c r="H19" s="32">
        <f>IF(ROUND(Inputs!$D$8*H$5,0)=0,0,ROUND(Inputs!$D$8*H$5,0)/120)+IF(ROUND(Inputs!$E$8*H$5,0)=0,0,ROUND(Inputs!$E$8*H$5,0)/80)+ROUND(ROUND(Inputs!$F$8*H$5,0)*Inputs!$F$15,0)/25+(ROUND(Inputs!$F$8*H$5,0)-ROUND(ROUND(Inputs!$F$8*H$5,0)*Inputs!$F$15,0))/50</f>
        <v>2.1933333333333334</v>
      </c>
      <c r="I19" s="11"/>
    </row>
    <row r="20" spans="1:9" ht="15" customHeight="1" x14ac:dyDescent="0.2">
      <c r="A20" s="25" t="s">
        <v>170</v>
      </c>
      <c r="B20" s="32">
        <f>ROUND(Inputs!$C$8*B$5,0)*Inputs!$C$51/Inputs!$C$52/40+ROUND(Inputs!$D$8*B$5,0)*Inputs!$D$51/Inputs!$C$52/40+ROUND(Inputs!$E$8*B$5,0)*Inputs!$E$51/Inputs!$C$52/40+ROUND(Inputs!$F$8*B$5,0)*Inputs!$F$51/Inputs!$C$52/40</f>
        <v>2.2436499999999997</v>
      </c>
      <c r="C20" s="32">
        <f>ROUND(Inputs!$C$8*C$5,0)*Inputs!$C$51/Inputs!$C$52/40+ROUND(Inputs!$D$8*C$5,0)*Inputs!$D$51/Inputs!$C$52/40+ROUND(Inputs!$E$8*C$5,0)*Inputs!$E$51/Inputs!$C$52/40+ROUND(Inputs!$F$8*C$5,0)*Inputs!$F$51/Inputs!$C$52/40</f>
        <v>2.3933999999999997</v>
      </c>
      <c r="D20" s="32">
        <f>ROUND(Inputs!$C$8*D$5,0)*Inputs!$C$51/Inputs!$C$52/40+ROUND(Inputs!$D$8*D$5,0)*Inputs!$D$51/Inputs!$C$52/40+ROUND(Inputs!$E$8*D$5,0)*Inputs!$E$51/Inputs!$C$52/40+ROUND(Inputs!$F$8*D$5,0)*Inputs!$F$51/Inputs!$C$52/40</f>
        <v>2.5290499999999998</v>
      </c>
      <c r="E20" s="32">
        <f>ROUND(Inputs!$C$8*E$5,0)*Inputs!$C$51/Inputs!$C$52/40+ROUND(Inputs!$D$8*E$5,0)*Inputs!$D$51/Inputs!$C$52/40+ROUND(Inputs!$E$8*E$5,0)*Inputs!$E$51/Inputs!$C$52/40+ROUND(Inputs!$F$8*E$5,0)*Inputs!$F$51/Inputs!$C$52/40</f>
        <v>2.68825</v>
      </c>
      <c r="F20" s="32">
        <f>ROUND(Inputs!$C$8*F$5,0)*Inputs!$C$51/Inputs!$C$52/40+ROUND(Inputs!$D$8*F$5,0)*Inputs!$D$51/Inputs!$C$52/40+ROUND(Inputs!$E$8*F$5,0)*Inputs!$E$51/Inputs!$C$52/40+ROUND(Inputs!$F$8*F$5,0)*Inputs!$F$51/Inputs!$C$52/40</f>
        <v>2.8239000000000001</v>
      </c>
      <c r="G20" s="32">
        <f>ROUND(Inputs!$C$8*G$5,0)*Inputs!$C$51/Inputs!$C$52/40+ROUND(Inputs!$D$8*G$5,0)*Inputs!$D$51/Inputs!$C$52/40+ROUND(Inputs!$E$8*G$5,0)*Inputs!$E$51/Inputs!$C$52/40+ROUND(Inputs!$F$8*G$5,0)*Inputs!$F$51/Inputs!$C$52/40</f>
        <v>2.9215999999999998</v>
      </c>
      <c r="H20" s="32">
        <f>ROUND(Inputs!$C$8*H$5,0)*Inputs!$C$51/Inputs!$C$52/40+ROUND(Inputs!$D$8*H$5,0)*Inputs!$D$51/Inputs!$C$52/40+ROUND(Inputs!$E$8*H$5,0)*Inputs!$E$51/Inputs!$C$52/40+ROUND(Inputs!$F$8*H$5,0)*Inputs!$F$51/Inputs!$C$52/40</f>
        <v>2.9830999999999999</v>
      </c>
      <c r="I20" s="11"/>
    </row>
    <row r="21" spans="1:9" ht="15" customHeight="1" x14ac:dyDescent="0.2">
      <c r="A21" s="25" t="s">
        <v>171</v>
      </c>
      <c r="B21" s="32">
        <f>IF(ROUND(Inputs!$C$8*B$5,0)=0,0,ROUND(Inputs!$C$8*B$5,0)*0.006)</f>
        <v>0.64200000000000002</v>
      </c>
      <c r="C21" s="32">
        <f>IF(ROUND(Inputs!$C$8*C$5,0)=0,0,ROUND(Inputs!$C$8*C$5,0)*0.006)</f>
        <v>0.68400000000000005</v>
      </c>
      <c r="D21" s="32">
        <f>IF(ROUND(Inputs!$C$8*D$5,0)=0,0,ROUND(Inputs!$C$8*D$5,0)*0.006)</f>
        <v>0.72599999999999998</v>
      </c>
      <c r="E21" s="32">
        <f>IF(ROUND(Inputs!$C$8*E$5,0)=0,0,ROUND(Inputs!$C$8*E$5,0)*0.006)</f>
        <v>0.76800000000000002</v>
      </c>
      <c r="F21" s="32">
        <f>IF(ROUND(Inputs!$C$8*F$5,0)=0,0,ROUND(Inputs!$C$8*F$5,0)*0.006)</f>
        <v>0.81</v>
      </c>
      <c r="G21" s="32">
        <f>IF(ROUND(Inputs!$C$8*G$5,0)=0,0,ROUND(Inputs!$C$8*G$5,0)*0.006)</f>
        <v>0.83399999999999996</v>
      </c>
      <c r="H21" s="32">
        <f>IF(ROUND(Inputs!$C$8*H$5,0)=0,0,ROUND(Inputs!$C$8*H$5,0)*0.006)</f>
        <v>0.85199999999999998</v>
      </c>
      <c r="I21" s="11"/>
    </row>
    <row r="22" spans="1:9" ht="15" customHeight="1" x14ac:dyDescent="0.2">
      <c r="A22" s="25" t="s">
        <v>177</v>
      </c>
      <c r="B22" s="32">
        <f>IF(ROUND(Inputs!$F$8*B$5,0)=0,0,(ROUND(Inputs!$F$8*B$5,0)-ROUND(ROUND(Inputs!$F$8*B$5,0)*Inputs!$F$15,0))/45+ROUND(ROUND(Inputs!$F$8*B$5,0)*Inputs!$F$15,0)/30)</f>
        <v>1</v>
      </c>
      <c r="C22" s="32">
        <f>IF(ROUND(Inputs!$F$8*C$5,0)=0,0,(ROUND(Inputs!$F$8*C$5,0)-ROUND(ROUND(Inputs!$F$8*C$5,0)*Inputs!$F$15,0))/45+ROUND(ROUND(Inputs!$F$8*C$5,0)*Inputs!$F$15,0)/30)</f>
        <v>1.0777777777777779</v>
      </c>
      <c r="D22" s="32">
        <f>IF(ROUND(Inputs!$F$8*D$5,0)=0,0,(ROUND(Inputs!$F$8*D$5,0)-ROUND(ROUND(Inputs!$F$8*D$5,0)*Inputs!$F$15,0))/45+ROUND(ROUND(Inputs!$F$8*D$5,0)*Inputs!$F$15,0)/30)</f>
        <v>1.1222222222222222</v>
      </c>
      <c r="E22" s="32">
        <f>IF(ROUND(Inputs!$F$8*E$5,0)=0,0,(ROUND(Inputs!$F$8*E$5,0)-ROUND(ROUND(Inputs!$F$8*E$5,0)*Inputs!$F$15,0))/45+ROUND(ROUND(Inputs!$F$8*E$5,0)*Inputs!$F$15,0)/30)</f>
        <v>1.2</v>
      </c>
      <c r="F22" s="32">
        <f>IF(ROUND(Inputs!$F$8*F$5,0)=0,0,(ROUND(Inputs!$F$8*F$5,0)-ROUND(ROUND(Inputs!$F$8*F$5,0)*Inputs!$F$15,0))/45+ROUND(ROUND(Inputs!$F$8*F$5,0)*Inputs!$F$15,0)/30)</f>
        <v>1.2555555555555555</v>
      </c>
      <c r="G22" s="32">
        <f>IF(ROUND(Inputs!$F$8*G$5,0)=0,0,(ROUND(Inputs!$F$8*G$5,0)-ROUND(ROUND(Inputs!$F$8*G$5,0)*Inputs!$F$15,0))/45+ROUND(ROUND(Inputs!$F$8*G$5,0)*Inputs!$F$15,0)/30)</f>
        <v>1.3</v>
      </c>
      <c r="H22" s="32">
        <f>IF(ROUND(Inputs!$F$8*H$5,0)=0,0,(ROUND(Inputs!$F$8*H$5,0)-ROUND(ROUND(Inputs!$F$8*H$5,0)*Inputs!$F$15,0))/45+ROUND(ROUND(Inputs!$F$8*H$5,0)*Inputs!$F$15,0)/30)</f>
        <v>1.3333333333333335</v>
      </c>
      <c r="I22" s="11"/>
    </row>
    <row r="23" spans="1:9" ht="15" customHeight="1" x14ac:dyDescent="0.2">
      <c r="A23" s="25" t="s">
        <v>158</v>
      </c>
      <c r="B23" s="32">
        <f>IF((ROUND(Inputs!$C$8*B$5,0)+ROUND(Inputs!$D$8*B$5,0)+ROUND(Inputs!$E$8*B$5,0)+ROUND(Inputs!$F$8*B$5,0))&gt;200,1,0)</f>
        <v>1</v>
      </c>
      <c r="C23" s="32">
        <f>IF((ROUND(Inputs!$C$8*C$5,0)+ROUND(Inputs!$D$8*C$5,0)+ROUND(Inputs!$E$8*C$5,0)+ROUND(Inputs!$F$8*C$5,0))&gt;200,1,0)</f>
        <v>1</v>
      </c>
      <c r="D23" s="32">
        <f>IF((ROUND(Inputs!$C$8*D$5,0)+ROUND(Inputs!$D$8*D$5,0)+ROUND(Inputs!$E$8*D$5,0)+ROUND(Inputs!$F$8*D$5,0))&gt;200,1,0)</f>
        <v>1</v>
      </c>
      <c r="E23" s="32">
        <f>IF((ROUND(Inputs!$C$8*E$5,0)+ROUND(Inputs!$D$8*E$5,0)+ROUND(Inputs!$E$8*E$5,0)+ROUND(Inputs!$F$8*E$5,0))&gt;200,1,0)</f>
        <v>1</v>
      </c>
      <c r="F23" s="32">
        <f>IF((ROUND(Inputs!$C$8*F$5,0)+ROUND(Inputs!$D$8*F$5,0)+ROUND(Inputs!$E$8*F$5,0)+ROUND(Inputs!$F$8*F$5,0))&gt;200,1,0)</f>
        <v>1</v>
      </c>
      <c r="G23" s="32">
        <f>IF((ROUND(Inputs!$C$8*G$5,0)+ROUND(Inputs!$D$8*G$5,0)+ROUND(Inputs!$E$8*G$5,0)+ROUND(Inputs!$F$8*G$5,0))&gt;200,1,0)</f>
        <v>1</v>
      </c>
      <c r="H23" s="32">
        <f>IF((ROUND(Inputs!$C$8*H$5,0)+ROUND(Inputs!$D$8*H$5,0)+ROUND(Inputs!$E$8*H$5,0)+ROUND(Inputs!$F$8*H$5,0))&gt;200,1,0)</f>
        <v>1</v>
      </c>
      <c r="I23" s="11"/>
    </row>
    <row r="24" spans="1:9" ht="44" customHeight="1" x14ac:dyDescent="0.2">
      <c r="A24" s="25" t="s">
        <v>210</v>
      </c>
      <c r="B24" s="32">
        <f>'Staffing Model'!G6+'Staffing Model'!G10+'Staffing Model'!G11+'Staffing Model'!G13+'Staffing Model'!G14+'Staffing Model'!G18+'Staffing Model'!G21+'Staffing Model'!G22+'Staffing Model'!G23+'Staffing Model'!G30+'Staffing Model'!G31</f>
        <v>44.358185897435895</v>
      </c>
      <c r="C24" s="32">
        <f>'Staffing Model'!G6+'Staffing Model'!G10+'Staffing Model'!G11+'Staffing Model'!G13+'Staffing Model'!G14+'Staffing Model'!G18+'Staffing Model'!G21+'Staffing Model'!G22+'Staffing Model'!G23+'Staffing Model'!G30+'Staffing Model'!G31</f>
        <v>44.358185897435895</v>
      </c>
      <c r="D24" s="32">
        <f>'Staffing Model'!G6+'Staffing Model'!G10+'Staffing Model'!G11+'Staffing Model'!G13+'Staffing Model'!G14+'Staffing Model'!G18+'Staffing Model'!G21+'Staffing Model'!G22+'Staffing Model'!G23+'Staffing Model'!G30+'Staffing Model'!G31</f>
        <v>44.358185897435895</v>
      </c>
      <c r="E24" s="32">
        <f>'Staffing Model'!G6+'Staffing Model'!G10+'Staffing Model'!G11+'Staffing Model'!G13+'Staffing Model'!G14+'Staffing Model'!G18+'Staffing Model'!G21+'Staffing Model'!G22+'Staffing Model'!G23+'Staffing Model'!G30+'Staffing Model'!G31</f>
        <v>44.358185897435895</v>
      </c>
      <c r="F24" s="32">
        <f>'Staffing Model'!G6+'Staffing Model'!G10+'Staffing Model'!G11+'Staffing Model'!G13+'Staffing Model'!G14+'Staffing Model'!G18+'Staffing Model'!G21+'Staffing Model'!G22+'Staffing Model'!G23+'Staffing Model'!G30+'Staffing Model'!G31</f>
        <v>44.358185897435895</v>
      </c>
      <c r="G24" s="32">
        <f>'Staffing Model'!G6+'Staffing Model'!G10+'Staffing Model'!G11+'Staffing Model'!G13+'Staffing Model'!G14+'Staffing Model'!G18+'Staffing Model'!G21+'Staffing Model'!G22+'Staffing Model'!G23+'Staffing Model'!G30+'Staffing Model'!G31</f>
        <v>44.358185897435895</v>
      </c>
      <c r="H24" s="32">
        <f>'Staffing Model'!G6+'Staffing Model'!G10+'Staffing Model'!G11+'Staffing Model'!G13+'Staffing Model'!G14+'Staffing Model'!G18+'Staffing Model'!G21+'Staffing Model'!G22+'Staffing Model'!G23+'Staffing Model'!G30+'Staffing Model'!G31</f>
        <v>44.358185897435895</v>
      </c>
      <c r="I24" s="11" t="s">
        <v>211</v>
      </c>
    </row>
    <row r="25" spans="1:9" ht="15" customHeight="1" x14ac:dyDescent="0.2">
      <c r="A25" s="66" t="s">
        <v>212</v>
      </c>
      <c r="B25" s="67">
        <f t="shared" ref="B25:H25" si="0">B13+B14+B15+B16+B17+B18+B19+B20+B21+B22+B23+B24</f>
        <v>149.54930126540128</v>
      </c>
      <c r="C25" s="67">
        <f t="shared" si="0"/>
        <v>157.8292144910645</v>
      </c>
      <c r="D25" s="67">
        <f t="shared" si="0"/>
        <v>163.47150665445662</v>
      </c>
      <c r="E25" s="67">
        <f t="shared" si="0"/>
        <v>169.28144680319679</v>
      </c>
      <c r="F25" s="67">
        <f t="shared" si="0"/>
        <v>175.2231834110334</v>
      </c>
      <c r="G25" s="67">
        <f t="shared" si="0"/>
        <v>178.82036182151185</v>
      </c>
      <c r="H25" s="67">
        <f t="shared" si="0"/>
        <v>181.42812355977358</v>
      </c>
      <c r="I25" s="68"/>
    </row>
    <row r="26" spans="1:9" ht="15" customHeight="1" x14ac:dyDescent="0.2">
      <c r="A26" s="25" t="s">
        <v>213</v>
      </c>
      <c r="B26" s="32">
        <f>Inputs!C113</f>
        <v>159.5</v>
      </c>
      <c r="C26" s="32">
        <f>Inputs!C113</f>
        <v>159.5</v>
      </c>
      <c r="D26" s="32">
        <f>Inputs!C113</f>
        <v>159.5</v>
      </c>
      <c r="E26" s="32">
        <f>Inputs!C113</f>
        <v>159.5</v>
      </c>
      <c r="F26" s="32">
        <f>Inputs!C113</f>
        <v>159.5</v>
      </c>
      <c r="G26" s="32">
        <f>Inputs!C113</f>
        <v>159.5</v>
      </c>
      <c r="H26" s="32">
        <f>Inputs!C113</f>
        <v>159.5</v>
      </c>
      <c r="I26" s="11" t="s">
        <v>214</v>
      </c>
    </row>
    <row r="27" spans="1:9" ht="22" customHeight="1" x14ac:dyDescent="0.2">
      <c r="A27" s="25" t="s">
        <v>215</v>
      </c>
      <c r="B27" s="69">
        <f t="shared" ref="B27:H27" si="1">B26-B25</f>
        <v>9.950698734598717</v>
      </c>
      <c r="C27" s="69">
        <f t="shared" si="1"/>
        <v>1.670785508935495</v>
      </c>
      <c r="D27" s="69">
        <f t="shared" si="1"/>
        <v>-3.9715066544566184</v>
      </c>
      <c r="E27" s="69">
        <f t="shared" si="1"/>
        <v>-9.7814468031967863</v>
      </c>
      <c r="F27" s="69">
        <f t="shared" si="1"/>
        <v>-15.723183411033403</v>
      </c>
      <c r="G27" s="69">
        <f t="shared" si="1"/>
        <v>-19.320361821511852</v>
      </c>
      <c r="H27" s="69">
        <f t="shared" si="1"/>
        <v>-21.928123559773582</v>
      </c>
      <c r="I27" s="11" t="s">
        <v>216</v>
      </c>
    </row>
    <row r="28" spans="1:9" ht="15" customHeight="1" x14ac:dyDescent="0.2">
      <c r="A28" s="25" t="s">
        <v>217</v>
      </c>
      <c r="B28" s="32">
        <f t="shared" ref="B28:H28" si="2">IFERROR(B25/B11,0)</f>
        <v>0.70876446097346579</v>
      </c>
      <c r="C28" s="32">
        <f t="shared" si="2"/>
        <v>0.70459470754939513</v>
      </c>
      <c r="D28" s="32">
        <f t="shared" si="2"/>
        <v>0.68685506997670853</v>
      </c>
      <c r="E28" s="32">
        <f t="shared" si="2"/>
        <v>0.67175177302855871</v>
      </c>
      <c r="F28" s="32">
        <f t="shared" si="2"/>
        <v>0.65873377222193008</v>
      </c>
      <c r="G28" s="32">
        <f t="shared" si="2"/>
        <v>0.65262905774274393</v>
      </c>
      <c r="H28" s="32">
        <f t="shared" si="2"/>
        <v>0.64795758414204851</v>
      </c>
      <c r="I28" s="11"/>
    </row>
    <row r="29" spans="1:9" ht="20" customHeight="1" x14ac:dyDescent="0.2">
      <c r="A29" s="131" t="s">
        <v>218</v>
      </c>
      <c r="B29" s="132"/>
      <c r="C29" s="132"/>
      <c r="D29" s="132"/>
      <c r="E29" s="132"/>
      <c r="F29" s="132"/>
      <c r="G29" s="132"/>
      <c r="H29" s="132"/>
      <c r="I29" s="132"/>
    </row>
    <row r="30" spans="1:9" ht="15" customHeight="1" x14ac:dyDescent="0.2">
      <c r="A30" s="25" t="s">
        <v>219</v>
      </c>
      <c r="B30" s="49">
        <f>ROUND(Inputs!$C$8*B$5,0)*Inputs!$C$31*12+ROUND(Inputs!$D$8*B$5,0)*Inputs!$D$31*12+ROUND(Inputs!$E$8*B$5,0)*Inputs!$E$31*12+ROUND(Inputs!$F$8*B$5,0)*Inputs!$F$31*365</f>
        <v>16947930</v>
      </c>
      <c r="C30" s="49">
        <f>ROUND(Inputs!$C$8*C$5,0)*Inputs!$C$31*12+ROUND(Inputs!$D$8*C$5,0)*Inputs!$D$31*12+ROUND(Inputs!$E$8*C$5,0)*Inputs!$E$31*12+ROUND(Inputs!$F$8*C$5,0)*Inputs!$F$31*365</f>
        <v>18007740</v>
      </c>
      <c r="D30" s="49">
        <f>ROUND(Inputs!$C$8*D$5,0)*Inputs!$C$31*12+ROUND(Inputs!$D$8*D$5,0)*Inputs!$D$31*12+ROUND(Inputs!$E$8*D$5,0)*Inputs!$E$31*12+ROUND(Inputs!$F$8*D$5,0)*Inputs!$F$31*365</f>
        <v>19112480</v>
      </c>
      <c r="E30" s="49">
        <f>ROUND(Inputs!$C$8*E$5,0)*Inputs!$C$31*12+ROUND(Inputs!$D$8*E$5,0)*Inputs!$D$31*12+ROUND(Inputs!$E$8*E$5,0)*Inputs!$E$31*12+ROUND(Inputs!$F$8*E$5,0)*Inputs!$F$31*365</f>
        <v>20257490</v>
      </c>
      <c r="F30" s="49">
        <f>ROUND(Inputs!$C$8*F$5,0)*Inputs!$C$31*12+ROUND(Inputs!$D$8*F$5,0)*Inputs!$D$31*12+ROUND(Inputs!$E$8*F$5,0)*Inputs!$E$31*12+ROUND(Inputs!$F$8*F$5,0)*Inputs!$F$31*365</f>
        <v>21362230</v>
      </c>
      <c r="G30" s="49">
        <f>ROUND(Inputs!$C$8*G$5,0)*Inputs!$C$31*12+ROUND(Inputs!$D$8*G$5,0)*Inputs!$D$31*12+ROUND(Inputs!$E$8*G$5,0)*Inputs!$E$31*12+ROUND(Inputs!$F$8*G$5,0)*Inputs!$F$31*365</f>
        <v>22022370</v>
      </c>
      <c r="H30" s="49">
        <f>ROUND(Inputs!$C$8*H$5,0)*Inputs!$C$31*12+ROUND(Inputs!$D$8*H$5,0)*Inputs!$D$31*12+ROUND(Inputs!$E$8*H$5,0)*Inputs!$E$31*12+ROUND(Inputs!$F$8*H$5,0)*Inputs!$F$31*365</f>
        <v>22507240</v>
      </c>
      <c r="I30" s="11"/>
    </row>
    <row r="31" spans="1:9" ht="15" customHeight="1" x14ac:dyDescent="0.2">
      <c r="A31" s="25" t="s">
        <v>220</v>
      </c>
      <c r="B31" s="49">
        <f>ROUND(Inputs!$C$8*B$5,0)*Inputs!$C$32*12+ROUND(Inputs!$D$8*B$5,0)*Inputs!$D$32*12+ROUND(Inputs!$E$8*B$5,0)*Inputs!$E$32*12+ROUND(Inputs!$F$8*B$5,0)*Inputs!$F$32*365</f>
        <v>2461920</v>
      </c>
      <c r="C31" s="49">
        <f>ROUND(Inputs!$C$8*C$5,0)*Inputs!$C$32*12+ROUND(Inputs!$D$8*C$5,0)*Inputs!$D$32*12+ROUND(Inputs!$E$8*C$5,0)*Inputs!$E$32*12+ROUND(Inputs!$F$8*C$5,0)*Inputs!$F$32*365</f>
        <v>2626080</v>
      </c>
      <c r="D31" s="49">
        <f>ROUND(Inputs!$C$8*D$5,0)*Inputs!$C$32*12+ROUND(Inputs!$D$8*D$5,0)*Inputs!$D$32*12+ROUND(Inputs!$E$8*D$5,0)*Inputs!$E$32*12+ROUND(Inputs!$F$8*D$5,0)*Inputs!$F$32*365</f>
        <v>2776320</v>
      </c>
      <c r="E31" s="49">
        <f>ROUND(Inputs!$C$8*E$5,0)*Inputs!$C$32*12+ROUND(Inputs!$D$8*E$5,0)*Inputs!$D$32*12+ROUND(Inputs!$E$8*E$5,0)*Inputs!$E$32*12+ROUND(Inputs!$F$8*E$5,0)*Inputs!$F$32*365</f>
        <v>2949840</v>
      </c>
      <c r="F31" s="49">
        <f>ROUND(Inputs!$C$8*F$5,0)*Inputs!$C$32*12+ROUND(Inputs!$D$8*F$5,0)*Inputs!$D$32*12+ROUND(Inputs!$E$8*F$5,0)*Inputs!$E$32*12+ROUND(Inputs!$F$8*F$5,0)*Inputs!$F$32*365</f>
        <v>3100080</v>
      </c>
      <c r="G31" s="49">
        <f>ROUND(Inputs!$C$8*G$5,0)*Inputs!$C$32*12+ROUND(Inputs!$D$8*G$5,0)*Inputs!$D$32*12+ROUND(Inputs!$E$8*G$5,0)*Inputs!$E$32*12+ROUND(Inputs!$F$8*G$5,0)*Inputs!$F$32*365</f>
        <v>3205200</v>
      </c>
      <c r="H31" s="49">
        <f>ROUND(Inputs!$C$8*H$5,0)*Inputs!$C$32*12+ROUND(Inputs!$D$8*H$5,0)*Inputs!$D$32*12+ROUND(Inputs!$E$8*H$5,0)*Inputs!$E$32*12+ROUND(Inputs!$F$8*H$5,0)*Inputs!$F$32*365</f>
        <v>3273600</v>
      </c>
      <c r="I31" s="11"/>
    </row>
    <row r="32" spans="1:9" ht="15" customHeight="1" x14ac:dyDescent="0.2">
      <c r="A32" s="25" t="s">
        <v>221</v>
      </c>
      <c r="B32" s="49">
        <f>Inputs!$C$33</f>
        <v>3100000</v>
      </c>
      <c r="C32" s="49">
        <f>Inputs!$C$33</f>
        <v>3100000</v>
      </c>
      <c r="D32" s="49">
        <f>Inputs!$C$33</f>
        <v>3100000</v>
      </c>
      <c r="E32" s="49">
        <f>Inputs!$C$33</f>
        <v>3100000</v>
      </c>
      <c r="F32" s="49">
        <f>Inputs!$C$33</f>
        <v>3100000</v>
      </c>
      <c r="G32" s="49">
        <f>Inputs!$C$33</f>
        <v>3100000</v>
      </c>
      <c r="H32" s="49">
        <f>Inputs!$C$33</f>
        <v>3100000</v>
      </c>
      <c r="I32" s="11"/>
    </row>
    <row r="33" spans="1:9" ht="22" customHeight="1" x14ac:dyDescent="0.2">
      <c r="A33" s="25" t="s">
        <v>222</v>
      </c>
      <c r="B33" s="49">
        <f>B25*IFERROR('Staffing Model'!L34/'Staffing Model'!G34,0)</f>
        <v>8705093.3041556273</v>
      </c>
      <c r="C33" s="49">
        <f>C25*IFERROR('Staffing Model'!L34/'Staffing Model'!G34,0)</f>
        <v>9187057.5565448552</v>
      </c>
      <c r="D33" s="49">
        <f>D25*IFERROR('Staffing Model'!L34/'Staffing Model'!G34,0)</f>
        <v>9515488.9120646529</v>
      </c>
      <c r="E33" s="49">
        <f>E25*IFERROR('Staffing Model'!L34/'Staffing Model'!G34,0)</f>
        <v>9853678.8645311445</v>
      </c>
      <c r="F33" s="49">
        <f>F25*IFERROR('Staffing Model'!L34/'Staffing Model'!G34,0)</f>
        <v>10199540.537720393</v>
      </c>
      <c r="G33" s="49">
        <f>G25*IFERROR('Staffing Model'!L34/'Staffing Model'!G34,0)</f>
        <v>10408928.167284355</v>
      </c>
      <c r="H33" s="49">
        <f>H25*IFERROR('Staffing Model'!L34/'Staffing Model'!G34,0)</f>
        <v>10560722.987149738</v>
      </c>
      <c r="I33" s="11" t="s">
        <v>223</v>
      </c>
    </row>
    <row r="34" spans="1:9" ht="15" customHeight="1" x14ac:dyDescent="0.2">
      <c r="A34" s="63" t="s">
        <v>224</v>
      </c>
      <c r="B34" s="70">
        <f t="shared" ref="B34:H34" si="3">B30-B31-B32-B33</f>
        <v>2680916.6958443727</v>
      </c>
      <c r="C34" s="70">
        <f t="shared" si="3"/>
        <v>3094602.4434551448</v>
      </c>
      <c r="D34" s="70">
        <f t="shared" si="3"/>
        <v>3720671.0879353471</v>
      </c>
      <c r="E34" s="70">
        <f t="shared" si="3"/>
        <v>4353971.1354688555</v>
      </c>
      <c r="F34" s="70">
        <f t="shared" si="3"/>
        <v>4962609.4622796066</v>
      </c>
      <c r="G34" s="70">
        <f t="shared" si="3"/>
        <v>5308241.8327156454</v>
      </c>
      <c r="H34" s="70">
        <f t="shared" si="3"/>
        <v>5572917.0128502622</v>
      </c>
      <c r="I34" s="65"/>
    </row>
    <row r="35" spans="1:9" ht="15" customHeight="1" x14ac:dyDescent="0.2">
      <c r="A35" s="63" t="s">
        <v>35</v>
      </c>
      <c r="B35" s="71">
        <f t="shared" ref="B35:H35" si="4">IFERROR(B34/B30,0)</f>
        <v>0.15818549497457052</v>
      </c>
      <c r="C35" s="71">
        <f t="shared" si="4"/>
        <v>0.17184846313058411</v>
      </c>
      <c r="D35" s="71">
        <f t="shared" si="4"/>
        <v>0.19467233388525965</v>
      </c>
      <c r="E35" s="71">
        <f t="shared" si="4"/>
        <v>0.21493142217860434</v>
      </c>
      <c r="F35" s="71">
        <f t="shared" si="4"/>
        <v>0.23230765057204264</v>
      </c>
      <c r="G35" s="71">
        <f t="shared" si="4"/>
        <v>0.24103862721022512</v>
      </c>
      <c r="H35" s="71">
        <f t="shared" si="4"/>
        <v>0.2476055266150031</v>
      </c>
      <c r="I35" s="65"/>
    </row>
    <row r="36" spans="1:9" ht="15" customHeight="1" x14ac:dyDescent="0.2">
      <c r="A36" s="25" t="s">
        <v>225</v>
      </c>
      <c r="B36" s="72">
        <f t="shared" ref="B36:H36" si="5">IFERROR(B33/B30,0)</f>
        <v>0.51363755362192476</v>
      </c>
      <c r="C36" s="72">
        <f t="shared" si="5"/>
        <v>0.5101727122084645</v>
      </c>
      <c r="D36" s="72">
        <f t="shared" si="5"/>
        <v>0.49786782835428228</v>
      </c>
      <c r="E36" s="72">
        <f t="shared" si="5"/>
        <v>0.48642150950246771</v>
      </c>
      <c r="F36" s="72">
        <f t="shared" si="5"/>
        <v>0.47745673264075866</v>
      </c>
      <c r="G36" s="72">
        <f t="shared" si="5"/>
        <v>0.47265249686043576</v>
      </c>
      <c r="H36" s="72">
        <f t="shared" si="5"/>
        <v>0.46921448330180587</v>
      </c>
      <c r="I36" s="11"/>
    </row>
    <row r="38" spans="1:9" ht="24" customHeight="1" x14ac:dyDescent="0.2">
      <c r="A38" s="139" t="s">
        <v>226</v>
      </c>
      <c r="B38" s="130"/>
      <c r="C38" s="130"/>
      <c r="D38" s="130"/>
      <c r="E38" s="130"/>
      <c r="F38" s="130"/>
      <c r="G38" s="130"/>
      <c r="H38" s="130"/>
      <c r="I38" s="130"/>
    </row>
    <row r="39" spans="1:9" ht="24" customHeight="1" x14ac:dyDescent="0.2">
      <c r="A39" s="139" t="s">
        <v>227</v>
      </c>
      <c r="B39" s="130"/>
      <c r="C39" s="130"/>
      <c r="D39" s="130"/>
      <c r="E39" s="130"/>
      <c r="F39" s="130"/>
      <c r="G39" s="130"/>
      <c r="H39" s="130"/>
      <c r="I39" s="130"/>
    </row>
  </sheetData>
  <mergeCells count="8">
    <mergeCell ref="A39:I39"/>
    <mergeCell ref="A12:I12"/>
    <mergeCell ref="A38:I38"/>
    <mergeCell ref="A29:I29"/>
    <mergeCell ref="A2:I2"/>
    <mergeCell ref="A1:I1"/>
    <mergeCell ref="A3:I3"/>
    <mergeCell ref="A6:I6"/>
  </mergeCells>
  <printOptions horizontalCentered="1"/>
  <pageMargins left="0.75" right="0.75" top="1" bottom="1" header="0.5" footer="0.5"/>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535B"/>
    <pageSetUpPr fitToPage="1"/>
  </sheetPr>
  <dimension ref="A1:M36"/>
  <sheetViews>
    <sheetView showGridLines="0" workbookViewId="0">
      <pane ySplit="5" topLeftCell="A6" activePane="bottomLeft" state="frozen"/>
      <selection pane="bottomLeft" sqref="A1:K1"/>
    </sheetView>
  </sheetViews>
  <sheetFormatPr baseColWidth="10" defaultColWidth="8.83203125" defaultRowHeight="15" x14ac:dyDescent="0.2"/>
  <cols>
    <col min="1" max="1" width="34" customWidth="1"/>
    <col min="2" max="5" width="9" customWidth="1"/>
    <col min="6" max="6" width="10" customWidth="1"/>
    <col min="7" max="9" width="11" customWidth="1"/>
    <col min="10" max="10" width="13" customWidth="1"/>
    <col min="11" max="11" width="30" customWidth="1"/>
    <col min="12" max="13" width="13" customWidth="1"/>
  </cols>
  <sheetData>
    <row r="1" spans="1:13" ht="24" customHeight="1" x14ac:dyDescent="0.25">
      <c r="A1" s="140" t="s">
        <v>228</v>
      </c>
      <c r="B1" s="130"/>
      <c r="C1" s="130"/>
      <c r="D1" s="130"/>
      <c r="E1" s="130"/>
      <c r="F1" s="130"/>
      <c r="G1" s="130"/>
      <c r="H1" s="130"/>
      <c r="I1" s="130"/>
      <c r="J1" s="130"/>
      <c r="K1" s="130"/>
    </row>
    <row r="2" spans="1:13" ht="3" customHeight="1" x14ac:dyDescent="0.2">
      <c r="A2" s="137"/>
      <c r="B2" s="130"/>
      <c r="C2" s="130"/>
      <c r="D2" s="130"/>
      <c r="E2" s="130"/>
      <c r="F2" s="130"/>
      <c r="G2" s="130"/>
      <c r="H2" s="130"/>
      <c r="I2" s="130"/>
      <c r="J2" s="130"/>
      <c r="K2" s="130"/>
    </row>
    <row r="3" spans="1:13" ht="49" customHeight="1" x14ac:dyDescent="0.2">
      <c r="A3" s="136" t="s">
        <v>229</v>
      </c>
      <c r="B3" s="130"/>
      <c r="C3" s="130"/>
      <c r="D3" s="130"/>
      <c r="E3" s="130"/>
      <c r="F3" s="130"/>
      <c r="G3" s="130"/>
      <c r="H3" s="130"/>
      <c r="I3" s="130"/>
      <c r="J3" s="130"/>
      <c r="K3" s="130"/>
    </row>
    <row r="5" spans="1:13" ht="26" customHeight="1" x14ac:dyDescent="0.2">
      <c r="A5" s="29" t="s">
        <v>153</v>
      </c>
      <c r="B5" s="29" t="s">
        <v>78</v>
      </c>
      <c r="C5" s="29" t="s">
        <v>79</v>
      </c>
      <c r="D5" s="29" t="s">
        <v>80</v>
      </c>
      <c r="E5" s="29" t="s">
        <v>81</v>
      </c>
      <c r="F5" s="29" t="s">
        <v>230</v>
      </c>
      <c r="G5" s="29" t="s">
        <v>231</v>
      </c>
      <c r="H5" s="29" t="s">
        <v>232</v>
      </c>
      <c r="I5" s="29" t="s">
        <v>233</v>
      </c>
      <c r="J5" s="29" t="s">
        <v>234</v>
      </c>
      <c r="K5" s="29" t="s">
        <v>235</v>
      </c>
      <c r="L5" s="29" t="s">
        <v>236</v>
      </c>
      <c r="M5" s="29" t="s">
        <v>237</v>
      </c>
    </row>
    <row r="6" spans="1:13" ht="22" customHeight="1" x14ac:dyDescent="0.2">
      <c r="A6" s="9" t="s">
        <v>190</v>
      </c>
      <c r="B6" s="30">
        <v>0</v>
      </c>
      <c r="C6" s="30">
        <v>0</v>
      </c>
      <c r="D6" s="30">
        <v>0</v>
      </c>
      <c r="E6" s="30">
        <f>IF(Inputs!F8&gt;0,IF(AND(Inputs!$C$22="Yes",OR(Inputs!C14&gt;0,Inputs!D14&gt;0,Inputs!E14&gt;0),Inputs!F8&lt;60,Inputs!$C$25="Single"),0,1),0)</f>
        <v>0</v>
      </c>
      <c r="F6" s="30">
        <f>IF(OR(Inputs!C14&gt;0,Inputs!D14&gt;0,Inputs!E14&gt;0),1,0)</f>
        <v>1</v>
      </c>
      <c r="G6" s="31">
        <f t="shared" ref="G6:G23" si="0">SUM(B6:F6)</f>
        <v>1</v>
      </c>
      <c r="H6" s="32">
        <f>Inputs!C90</f>
        <v>1</v>
      </c>
      <c r="I6" s="33">
        <f t="shared" ref="I6:I23" si="1">H6-G6</f>
        <v>0</v>
      </c>
      <c r="J6" s="34">
        <f>IF(I6&lt;0,-I6*Inputs!D57,0)</f>
        <v>0</v>
      </c>
      <c r="K6" s="11" t="s">
        <v>238</v>
      </c>
      <c r="L6" s="45">
        <f>G6*Inputs!D57</f>
        <v>157331.19999999998</v>
      </c>
      <c r="M6" s="45">
        <f>H6*Inputs!D57</f>
        <v>157331.19999999998</v>
      </c>
    </row>
    <row r="7" spans="1:13" ht="15" customHeight="1" x14ac:dyDescent="0.2">
      <c r="A7" s="9" t="s">
        <v>158</v>
      </c>
      <c r="B7" s="30">
        <v>0</v>
      </c>
      <c r="C7" s="30">
        <v>0</v>
      </c>
      <c r="D7" s="30">
        <v>0</v>
      </c>
      <c r="E7" s="30">
        <v>0</v>
      </c>
      <c r="F7" s="30">
        <f>IF(Inputs!E19&gt;200,1,0)</f>
        <v>1</v>
      </c>
      <c r="G7" s="31">
        <f t="shared" si="0"/>
        <v>1</v>
      </c>
      <c r="H7" s="32">
        <f>Inputs!C91</f>
        <v>1</v>
      </c>
      <c r="I7" s="33">
        <f t="shared" si="1"/>
        <v>0</v>
      </c>
      <c r="J7" s="34">
        <f>IF(I7&lt;0,-I7*Inputs!D58,0)</f>
        <v>0</v>
      </c>
      <c r="K7" s="11" t="s">
        <v>239</v>
      </c>
      <c r="L7" s="45">
        <f>G7*Inputs!D58</f>
        <v>111654.39999999999</v>
      </c>
      <c r="M7" s="45">
        <f>H7*Inputs!D58</f>
        <v>111654.39999999999</v>
      </c>
    </row>
    <row r="8" spans="1:13" ht="15" customHeight="1" x14ac:dyDescent="0.2">
      <c r="A8" s="9" t="s">
        <v>191</v>
      </c>
      <c r="B8" s="30">
        <f>IF(Inputs!C14=0,0,IF(Inputs!C14&lt;125,1,Inputs!C14*0.005))</f>
        <v>0.65500000000000003</v>
      </c>
      <c r="C8" s="30">
        <f>IF(Inputs!D14&gt;75,1,Inputs!D14*0.005)</f>
        <v>0.26500000000000001</v>
      </c>
      <c r="D8" s="30">
        <f>IF(Inputs!E14&gt;75,1,Inputs!E14*0.005)</f>
        <v>0.13</v>
      </c>
      <c r="E8" s="30">
        <f>IF(Inputs!F14&gt;0,1,0)</f>
        <v>1</v>
      </c>
      <c r="F8" s="30">
        <v>0</v>
      </c>
      <c r="G8" s="31">
        <f t="shared" si="0"/>
        <v>2.0499999999999998</v>
      </c>
      <c r="H8" s="32">
        <f>Inputs!C92</f>
        <v>3</v>
      </c>
      <c r="I8" s="33">
        <f t="shared" si="1"/>
        <v>0.95000000000000018</v>
      </c>
      <c r="J8" s="34">
        <f>IF(I8&lt;0,-I8*Inputs!D59,0)</f>
        <v>0</v>
      </c>
      <c r="K8" s="11" t="s">
        <v>240</v>
      </c>
      <c r="L8" s="45">
        <f>G8*Inputs!D59</f>
        <v>140456.15999999997</v>
      </c>
      <c r="M8" s="45">
        <f>H8*Inputs!D59</f>
        <v>205545.59999999998</v>
      </c>
    </row>
    <row r="9" spans="1:13" ht="15" customHeight="1" x14ac:dyDescent="0.2">
      <c r="A9" s="9" t="s">
        <v>160</v>
      </c>
      <c r="B9" s="30">
        <f>IF(Inputs!C14&gt;0,4.2,0)</f>
        <v>4.2</v>
      </c>
      <c r="C9" s="30">
        <f>IF(Inputs!D14&lt;45,Inputs!D14*0.005,1)</f>
        <v>1</v>
      </c>
      <c r="D9" s="30">
        <f>Inputs!E14*0.005</f>
        <v>0.13</v>
      </c>
      <c r="E9" s="30">
        <f>IF(Inputs!F14&gt;40,2.1,0)</f>
        <v>2.1</v>
      </c>
      <c r="F9" s="30">
        <v>0</v>
      </c>
      <c r="G9" s="31">
        <f t="shared" si="0"/>
        <v>7.43</v>
      </c>
      <c r="H9" s="32">
        <f>Inputs!C93</f>
        <v>7</v>
      </c>
      <c r="I9" s="33">
        <f t="shared" si="1"/>
        <v>-0.42999999999999972</v>
      </c>
      <c r="J9" s="34">
        <f>IF(I9&lt;0,-I9*Inputs!D60,0)</f>
        <v>18549.855999999985</v>
      </c>
      <c r="K9" s="11" t="s">
        <v>241</v>
      </c>
      <c r="L9" s="45">
        <f>G9*Inputs!D60</f>
        <v>320524.25599999999</v>
      </c>
      <c r="M9" s="45">
        <f>H9*Inputs!D60</f>
        <v>301974.39999999997</v>
      </c>
    </row>
    <row r="10" spans="1:13" ht="22" customHeight="1" x14ac:dyDescent="0.2">
      <c r="A10" s="9" t="s">
        <v>192</v>
      </c>
      <c r="B10" s="30">
        <f>IF(Inputs!C8=0,0,IF(Inputs!C8&lt;100,1,Inputs!C8/100))</f>
        <v>1.42</v>
      </c>
      <c r="C10" s="30">
        <f>IF(Inputs!D8=0,0,IF(Inputs!D8&lt;40,1,Inputs!D8/40))</f>
        <v>1.45</v>
      </c>
      <c r="D10" s="30">
        <f>IF(Inputs!E8=0,0,IF(Inputs!E8&lt;30,1,Inputs!E8/30))</f>
        <v>1</v>
      </c>
      <c r="E10" s="30">
        <f>IF(Inputs!F16=0,0,IF(Inputs!F16&lt;30,1,Inputs!F16/30))+IF(Inputs!F17=0,0,IF(Inputs!F17&lt;30,1,Inputs!F17/30))</f>
        <v>2.1</v>
      </c>
      <c r="F10" s="30">
        <v>0</v>
      </c>
      <c r="G10" s="31">
        <f t="shared" si="0"/>
        <v>5.9700000000000006</v>
      </c>
      <c r="H10" s="32">
        <f>Inputs!C94</f>
        <v>5</v>
      </c>
      <c r="I10" s="33">
        <f t="shared" si="1"/>
        <v>-0.97000000000000064</v>
      </c>
      <c r="J10" s="34">
        <f>IF(I10&lt;0,-I10*Inputs!D61,0)</f>
        <v>83690.048000000053</v>
      </c>
      <c r="K10" s="11" t="s">
        <v>242</v>
      </c>
      <c r="L10" s="45">
        <f>G10*Inputs!D61</f>
        <v>515082.04800000001</v>
      </c>
      <c r="M10" s="45">
        <f>H10*Inputs!D61</f>
        <v>431392</v>
      </c>
    </row>
    <row r="11" spans="1:13" ht="15" customHeight="1" x14ac:dyDescent="0.2">
      <c r="A11" s="9" t="s">
        <v>162</v>
      </c>
      <c r="B11" s="30">
        <v>0</v>
      </c>
      <c r="C11" s="30">
        <v>0</v>
      </c>
      <c r="D11" s="30">
        <v>0</v>
      </c>
      <c r="E11" s="30">
        <v>0</v>
      </c>
      <c r="F11" s="30">
        <v>0</v>
      </c>
      <c r="G11" s="31">
        <f t="shared" si="0"/>
        <v>0</v>
      </c>
      <c r="H11" s="32">
        <f>Inputs!C95</f>
        <v>1</v>
      </c>
      <c r="I11" s="33">
        <f t="shared" si="1"/>
        <v>1</v>
      </c>
      <c r="J11" s="34">
        <f>IF(I11&lt;0,-I11*Inputs!D62,0)</f>
        <v>0</v>
      </c>
      <c r="K11" s="11" t="s">
        <v>243</v>
      </c>
      <c r="L11" s="45">
        <f>G11*Inputs!D62</f>
        <v>0</v>
      </c>
      <c r="M11" s="45">
        <f>H11*Inputs!D62</f>
        <v>86278.399999999994</v>
      </c>
    </row>
    <row r="12" spans="1:13" ht="15" customHeight="1" x14ac:dyDescent="0.2">
      <c r="A12" s="9" t="s">
        <v>163</v>
      </c>
      <c r="B12" s="30">
        <f>IFERROR(Inputs!C14*Inputs!C48*365/Inputs!C49/52/Inputs!$C$85*52,0)</f>
        <v>10.449082167832168</v>
      </c>
      <c r="C12" s="30">
        <f>IFERROR(Inputs!D14*Inputs!D48*365/Inputs!D49/52/Inputs!$C$85*52,0)</f>
        <v>11.160576923076924</v>
      </c>
      <c r="D12" s="30">
        <f>IFERROR(Inputs!E14*Inputs!E48*365/Inputs!E49/52/Inputs!$C$85*52,0)</f>
        <v>4.5625</v>
      </c>
      <c r="E12" s="30">
        <f>IFERROR(Inputs!F14*Inputs!F48*365/Inputs!F49/52/Inputs!$C$85*52,0)</f>
        <v>7.0693681318681314</v>
      </c>
      <c r="F12" s="30">
        <v>0</v>
      </c>
      <c r="G12" s="31">
        <f t="shared" si="0"/>
        <v>33.241527222777222</v>
      </c>
      <c r="H12" s="32">
        <f>Inputs!C96</f>
        <v>30</v>
      </c>
      <c r="I12" s="33">
        <f t="shared" si="1"/>
        <v>-3.2415272227772221</v>
      </c>
      <c r="J12" s="34">
        <f>IF(I12&lt;0,-I12*Inputs!D63,0)</f>
        <v>141482.03106493503</v>
      </c>
      <c r="K12" s="11" t="s">
        <v>244</v>
      </c>
      <c r="L12" s="45">
        <f>G12*Inputs!D63</f>
        <v>1450883.6310649351</v>
      </c>
      <c r="M12" s="45">
        <f>H12*Inputs!D63</f>
        <v>1309401.6000000001</v>
      </c>
    </row>
    <row r="13" spans="1:13" ht="22" customHeight="1" x14ac:dyDescent="0.2">
      <c r="A13" s="9" t="s">
        <v>164</v>
      </c>
      <c r="B13" s="30">
        <v>0</v>
      </c>
      <c r="C13" s="30">
        <v>0</v>
      </c>
      <c r="D13" s="30">
        <v>0</v>
      </c>
      <c r="E13" s="30">
        <v>0</v>
      </c>
      <c r="F13" s="30">
        <f>IFERROR(SUM(Inputs!C9,Inputs!D9,Inputs!E9,Inputs!F9)/Inputs!C53,0)</f>
        <v>5.5119999999999996</v>
      </c>
      <c r="G13" s="31">
        <f t="shared" si="0"/>
        <v>5.5119999999999996</v>
      </c>
      <c r="H13" s="32">
        <f>Inputs!C97</f>
        <v>5</v>
      </c>
      <c r="I13" s="33">
        <f t="shared" si="1"/>
        <v>-0.51199999999999957</v>
      </c>
      <c r="J13" s="34">
        <f>IF(I13&lt;0,-I13*Inputs!D64,0)</f>
        <v>34430.156799999968</v>
      </c>
      <c r="K13" s="11" t="s">
        <v>245</v>
      </c>
      <c r="L13" s="45">
        <f>G13*Inputs!D64</f>
        <v>370662.15679999994</v>
      </c>
      <c r="M13" s="45">
        <f>H13*Inputs!D64</f>
        <v>336232</v>
      </c>
    </row>
    <row r="14" spans="1:13" ht="22" customHeight="1" x14ac:dyDescent="0.2">
      <c r="A14" s="9" t="s">
        <v>193</v>
      </c>
      <c r="B14" s="30">
        <v>0</v>
      </c>
      <c r="C14" s="30">
        <f>IF(OR(Inputs!D14&gt;0,Inputs!E14&gt;0),1,0)</f>
        <v>1</v>
      </c>
      <c r="D14" s="30">
        <v>0</v>
      </c>
      <c r="E14" s="30">
        <f>IF(Inputs!F14&gt;0,1,0)</f>
        <v>1</v>
      </c>
      <c r="F14" s="30">
        <v>0</v>
      </c>
      <c r="G14" s="31">
        <f t="shared" si="0"/>
        <v>2</v>
      </c>
      <c r="H14" s="32">
        <f>Inputs!C98</f>
        <v>2</v>
      </c>
      <c r="I14" s="33">
        <f t="shared" si="1"/>
        <v>0</v>
      </c>
      <c r="J14" s="34">
        <f>IF(I14&lt;0,-I14*Inputs!D65,0)</f>
        <v>0</v>
      </c>
      <c r="K14" s="11" t="s">
        <v>246</v>
      </c>
      <c r="L14" s="45">
        <f>G14*Inputs!D65</f>
        <v>213158.39999999999</v>
      </c>
      <c r="M14" s="45">
        <f>H14*Inputs!D65</f>
        <v>213158.39999999999</v>
      </c>
    </row>
    <row r="15" spans="1:13" ht="22" customHeight="1" x14ac:dyDescent="0.2">
      <c r="A15" s="9" t="s">
        <v>166</v>
      </c>
      <c r="B15" s="30">
        <v>0</v>
      </c>
      <c r="C15" s="30">
        <v>0</v>
      </c>
      <c r="D15" s="30">
        <v>0</v>
      </c>
      <c r="E15" s="30">
        <v>0</v>
      </c>
      <c r="F15" s="30">
        <f>IF(Inputs!$C$23="System",MAX(0.25,(SUM(G6:G14)+SUM(G16:G23)+G33)/70*0.25),IF((SUM(G6:G14)+SUM(G16:G23)+G33)&gt;40,MAX(0.5,(SUM(G6:G14)+SUM(G16:G23)+G33)/70),(SUM(G6:G14)+SUM(G16:G23)+G33)/70))</f>
        <v>2.4417256636220923</v>
      </c>
      <c r="G15" s="31">
        <f t="shared" si="0"/>
        <v>2.4417256636220923</v>
      </c>
      <c r="H15" s="32">
        <f>Inputs!C99</f>
        <v>2</v>
      </c>
      <c r="I15" s="33">
        <f t="shared" si="1"/>
        <v>-0.44172566362209231</v>
      </c>
      <c r="J15" s="34">
        <f>IF(I15&lt;0,-I15*Inputs!D66,0)</f>
        <v>33627.691320222642</v>
      </c>
      <c r="K15" s="11" t="s">
        <v>247</v>
      </c>
      <c r="L15" s="45">
        <f>G15*Inputs!D66</f>
        <v>185883.69132022266</v>
      </c>
      <c r="M15" s="45">
        <f>H15*Inputs!D66</f>
        <v>152256</v>
      </c>
    </row>
    <row r="16" spans="1:13" ht="22" customHeight="1" x14ac:dyDescent="0.2">
      <c r="A16" s="9" t="s">
        <v>167</v>
      </c>
      <c r="B16" s="30">
        <f>Inputs!C14/100</f>
        <v>1.31</v>
      </c>
      <c r="C16" s="30">
        <f>IF(Inputs!D14=0,0,IF(Inputs!D14&lt;60,1.4,Inputs!D14*0.05))</f>
        <v>1.4</v>
      </c>
      <c r="D16" s="30">
        <f>IF(Inputs!E14=0,0,IF(Inputs!E14&lt;30,1.4,Inputs!E14*0.035))</f>
        <v>1.4</v>
      </c>
      <c r="E16" s="30">
        <f>IF(Inputs!F14=0,0,IF(Inputs!F14&lt;30,1.4,Inputs!F14*0.035))</f>
        <v>1.6450000000000002</v>
      </c>
      <c r="F16" s="30">
        <v>0</v>
      </c>
      <c r="G16" s="31">
        <f t="shared" si="0"/>
        <v>5.7549999999999999</v>
      </c>
      <c r="H16" s="32">
        <f>Inputs!C100</f>
        <v>5.4</v>
      </c>
      <c r="I16" s="33">
        <f t="shared" si="1"/>
        <v>-0.35499999999999954</v>
      </c>
      <c r="J16" s="34">
        <f>IF(I16&lt;0,-I16*Inputs!D67,0)</f>
        <v>17116.111999999979</v>
      </c>
      <c r="K16" s="11" t="s">
        <v>248</v>
      </c>
      <c r="L16" s="45">
        <f>G16*Inputs!D67</f>
        <v>277473.87200000003</v>
      </c>
      <c r="M16" s="45">
        <f>H16*Inputs!D67</f>
        <v>260357.76000000004</v>
      </c>
    </row>
    <row r="17" spans="1:13" ht="22" customHeight="1" x14ac:dyDescent="0.2">
      <c r="A17" s="9" t="s">
        <v>168</v>
      </c>
      <c r="B17" s="30">
        <v>0</v>
      </c>
      <c r="C17" s="30">
        <f>IF(Inputs!D14=0,0,Inputs!D14/120)</f>
        <v>0.44166666666666665</v>
      </c>
      <c r="D17" s="30">
        <f>IF(Inputs!E14=0,0,Inputs!E14/80)</f>
        <v>0.32500000000000001</v>
      </c>
      <c r="E17" s="30">
        <f>IFERROR(Inputs!F16/25+Inputs!F17/50,0)</f>
        <v>1.2200000000000002</v>
      </c>
      <c r="F17" s="30">
        <v>0</v>
      </c>
      <c r="G17" s="31">
        <f t="shared" si="0"/>
        <v>1.9866666666666668</v>
      </c>
      <c r="H17" s="32">
        <f>Inputs!C101</f>
        <v>2</v>
      </c>
      <c r="I17" s="33">
        <f t="shared" si="1"/>
        <v>1.3333333333333197E-2</v>
      </c>
      <c r="J17" s="34">
        <f>IF(I17&lt;0,-I17*Inputs!D68,0)</f>
        <v>0</v>
      </c>
      <c r="K17" s="11" t="s">
        <v>249</v>
      </c>
      <c r="L17" s="45">
        <f>G17*Inputs!D68</f>
        <v>120992.76800000001</v>
      </c>
      <c r="M17" s="45">
        <f>H17*Inputs!D68</f>
        <v>121804.8</v>
      </c>
    </row>
    <row r="18" spans="1:13" ht="22" customHeight="1" x14ac:dyDescent="0.2">
      <c r="A18" s="9" t="s">
        <v>169</v>
      </c>
      <c r="B18" s="30">
        <f>IFERROR(Inputs!C9/Inputs!C50,0)</f>
        <v>6.72</v>
      </c>
      <c r="C18" s="30">
        <f>IFERROR(Inputs!D9/Inputs!D50,0)</f>
        <v>2.3199999999999998</v>
      </c>
      <c r="D18" s="30">
        <f>IFERROR(Inputs!E9/Inputs!E50,0)</f>
        <v>2.4500000000000002</v>
      </c>
      <c r="E18" s="30">
        <f>IFERROR(Inputs!F9/Inputs!F50,0)</f>
        <v>5.2</v>
      </c>
      <c r="F18" s="30">
        <v>0</v>
      </c>
      <c r="G18" s="31">
        <f t="shared" si="0"/>
        <v>16.689999999999998</v>
      </c>
      <c r="H18" s="32">
        <f>Inputs!C102</f>
        <v>15</v>
      </c>
      <c r="I18" s="33">
        <f t="shared" si="1"/>
        <v>-1.6899999999999977</v>
      </c>
      <c r="J18" s="34">
        <f>IF(I18&lt;0,-I18*Inputs!D69,0)</f>
        <v>70332.121599999911</v>
      </c>
      <c r="K18" s="11" t="s">
        <v>250</v>
      </c>
      <c r="L18" s="45">
        <f>G18*Inputs!D69</f>
        <v>694581.72159999993</v>
      </c>
      <c r="M18" s="45">
        <f>H18*Inputs!D69</f>
        <v>624249.59999999998</v>
      </c>
    </row>
    <row r="19" spans="1:13" ht="22" customHeight="1" x14ac:dyDescent="0.2">
      <c r="A19" s="9" t="s">
        <v>170</v>
      </c>
      <c r="B19" s="30">
        <f>IFERROR(Inputs!C14*Inputs!C51/Inputs!C52/40,0)</f>
        <v>0.41920000000000002</v>
      </c>
      <c r="C19" s="30">
        <f>IFERROR(Inputs!D14*Inputs!D51/Inputs!C52/40,0)</f>
        <v>0.50085000000000002</v>
      </c>
      <c r="D19" s="30">
        <f>IFERROR(Inputs!E14*Inputs!E51/Inputs!C52/40,0)</f>
        <v>0.24569999999999997</v>
      </c>
      <c r="E19" s="30">
        <f>IFERROR(Inputs!F14*Inputs!F51/Inputs!C52/40,0)</f>
        <v>1.5509999999999999</v>
      </c>
      <c r="F19" s="30">
        <v>0</v>
      </c>
      <c r="G19" s="31">
        <f t="shared" si="0"/>
        <v>2.7167500000000002</v>
      </c>
      <c r="H19" s="32">
        <f>Inputs!C103</f>
        <v>3</v>
      </c>
      <c r="I19" s="33">
        <f t="shared" si="1"/>
        <v>0.28324999999999978</v>
      </c>
      <c r="J19" s="34">
        <f>IF(I19&lt;0,-I19*Inputs!D70,0)</f>
        <v>0</v>
      </c>
      <c r="K19" s="11" t="s">
        <v>251</v>
      </c>
      <c r="L19" s="45">
        <f>G19*Inputs!D70</f>
        <v>110304.3968</v>
      </c>
      <c r="M19" s="45">
        <f>H19*Inputs!D70</f>
        <v>121804.79999999999</v>
      </c>
    </row>
    <row r="20" spans="1:13" ht="15" customHeight="1" x14ac:dyDescent="0.2">
      <c r="A20" s="9" t="s">
        <v>171</v>
      </c>
      <c r="B20" s="30">
        <v>0</v>
      </c>
      <c r="C20" s="30">
        <v>0</v>
      </c>
      <c r="D20" s="30">
        <v>0</v>
      </c>
      <c r="E20" s="30">
        <v>0</v>
      </c>
      <c r="F20" s="30">
        <f>IF(Inputs!C14=0,0,Inputs!C14*0.006)</f>
        <v>0.78600000000000003</v>
      </c>
      <c r="G20" s="31">
        <f t="shared" si="0"/>
        <v>0.78600000000000003</v>
      </c>
      <c r="H20" s="32">
        <f>Inputs!C104</f>
        <v>0.8</v>
      </c>
      <c r="I20" s="33">
        <f t="shared" si="1"/>
        <v>1.4000000000000012E-2</v>
      </c>
      <c r="J20" s="34">
        <f>IF(I20&lt;0,-I20*Inputs!D71,0)</f>
        <v>0</v>
      </c>
      <c r="K20" s="11" t="s">
        <v>252</v>
      </c>
      <c r="L20" s="45">
        <f>G20*Inputs!D71</f>
        <v>35901.964800000002</v>
      </c>
      <c r="M20" s="45">
        <f>H20*Inputs!D71</f>
        <v>36541.439999999995</v>
      </c>
    </row>
    <row r="21" spans="1:13" ht="15" customHeight="1" x14ac:dyDescent="0.2">
      <c r="A21" s="9" t="s">
        <v>172</v>
      </c>
      <c r="B21" s="30">
        <v>0</v>
      </c>
      <c r="C21" s="30">
        <v>0</v>
      </c>
      <c r="D21" s="30">
        <v>0</v>
      </c>
      <c r="E21" s="30">
        <v>0</v>
      </c>
      <c r="F21" s="30">
        <f>IF(Inputs!$C$22="Yes",Inputs!C82,IF(AND(Inputs!C8&gt;0,Inputs!$C$26="Yes"),Inputs!C82,0))</f>
        <v>5.12</v>
      </c>
      <c r="G21" s="31">
        <f t="shared" si="0"/>
        <v>5.12</v>
      </c>
      <c r="H21" s="32">
        <f>Inputs!C105</f>
        <v>4.5999999999999996</v>
      </c>
      <c r="I21" s="33">
        <f t="shared" si="1"/>
        <v>-0.52000000000000046</v>
      </c>
      <c r="J21" s="34">
        <f>IF(I21&lt;0,-I21*Inputs!D72,0)</f>
        <v>25731.264000000021</v>
      </c>
      <c r="K21" s="11" t="s">
        <v>253</v>
      </c>
      <c r="L21" s="45">
        <f>G21*Inputs!D72</f>
        <v>253353.984</v>
      </c>
      <c r="M21" s="45">
        <f>H21*Inputs!D72</f>
        <v>227622.71999999997</v>
      </c>
    </row>
    <row r="22" spans="1:13" ht="15" customHeight="1" x14ac:dyDescent="0.2">
      <c r="A22" s="9" t="s">
        <v>173</v>
      </c>
      <c r="B22" s="30">
        <v>0</v>
      </c>
      <c r="C22" s="30">
        <v>0</v>
      </c>
      <c r="D22" s="30">
        <v>0</v>
      </c>
      <c r="E22" s="30">
        <v>0</v>
      </c>
      <c r="F22" s="30">
        <f>IF(AND(Inputs!$C$22="Yes",Inputs!$C$24="Nonprofit"),1,0)</f>
        <v>1</v>
      </c>
      <c r="G22" s="31">
        <f t="shared" si="0"/>
        <v>1</v>
      </c>
      <c r="H22" s="32">
        <f>Inputs!C106</f>
        <v>1</v>
      </c>
      <c r="I22" s="33">
        <f t="shared" si="1"/>
        <v>0</v>
      </c>
      <c r="J22" s="34">
        <f>IF(I22&lt;0,-I22*Inputs!D73,0)</f>
        <v>0</v>
      </c>
      <c r="K22" s="11" t="s">
        <v>254</v>
      </c>
      <c r="L22" s="45">
        <f>G22*Inputs!D73</f>
        <v>91353.599999999991</v>
      </c>
      <c r="M22" s="45">
        <f>H22*Inputs!D73</f>
        <v>91353.599999999991</v>
      </c>
    </row>
    <row r="23" spans="1:13" ht="15" customHeight="1" x14ac:dyDescent="0.2">
      <c r="A23" s="9" t="s">
        <v>194</v>
      </c>
      <c r="B23" s="30">
        <v>0</v>
      </c>
      <c r="C23" s="30">
        <v>0</v>
      </c>
      <c r="D23" s="30">
        <v>0</v>
      </c>
      <c r="E23" s="30">
        <v>0</v>
      </c>
      <c r="F23" s="30">
        <f>IFERROR(Inputs!$C$27*Inputs!C83*365/Inputs!C84/Inputs!$C$85,0)</f>
        <v>2.8661858974358978</v>
      </c>
      <c r="G23" s="31">
        <f t="shared" si="0"/>
        <v>2.8661858974358978</v>
      </c>
      <c r="H23" s="32">
        <f>Inputs!C107</f>
        <v>2.5</v>
      </c>
      <c r="I23" s="33">
        <f t="shared" si="1"/>
        <v>-0.3661858974358978</v>
      </c>
      <c r="J23" s="34">
        <f>IF(I23&lt;0,-I23*Inputs!D63,0)</f>
        <v>15982.81333333335</v>
      </c>
      <c r="K23" s="11" t="s">
        <v>255</v>
      </c>
      <c r="L23" s="45">
        <f>G23*Inputs!D63</f>
        <v>125099.61333333336</v>
      </c>
      <c r="M23" s="45">
        <f>H23*Inputs!D63</f>
        <v>109116.8</v>
      </c>
    </row>
    <row r="24" spans="1:13" x14ac:dyDescent="0.2">
      <c r="A24" s="35" t="s">
        <v>256</v>
      </c>
      <c r="B24" s="36"/>
      <c r="C24" s="36"/>
      <c r="D24" s="36"/>
      <c r="E24" s="36"/>
      <c r="F24" s="36"/>
      <c r="G24" s="37">
        <f>SUM(G6:G23)</f>
        <v>97.565855450501886</v>
      </c>
      <c r="H24" s="37">
        <f>SUM(H6:H23)</f>
        <v>91.3</v>
      </c>
      <c r="I24" s="38">
        <f>SUM(I6:I23)</f>
        <v>-6.2658554505018769</v>
      </c>
      <c r="J24" s="39">
        <f>SUM(J6:J23)</f>
        <v>440942.09411849087</v>
      </c>
      <c r="K24" s="36"/>
      <c r="L24" s="46">
        <f>SUM(L6:L23)</f>
        <v>5174697.863718491</v>
      </c>
      <c r="M24" s="46">
        <f>SUM(M6:M23)</f>
        <v>4898075.5199999986</v>
      </c>
    </row>
    <row r="26" spans="1:13" ht="20" customHeight="1" x14ac:dyDescent="0.2">
      <c r="A26" s="131" t="s">
        <v>257</v>
      </c>
      <c r="B26" s="132"/>
      <c r="C26" s="132"/>
      <c r="D26" s="132"/>
      <c r="E26" s="132"/>
      <c r="F26" s="132"/>
      <c r="G26" s="132"/>
      <c r="H26" s="132"/>
      <c r="I26" s="132"/>
      <c r="J26" s="132"/>
      <c r="K26" s="132"/>
    </row>
    <row r="27" spans="1:13" ht="26" customHeight="1" x14ac:dyDescent="0.2">
      <c r="A27" s="29" t="s">
        <v>153</v>
      </c>
      <c r="B27" s="29" t="s">
        <v>78</v>
      </c>
      <c r="C27" s="29" t="s">
        <v>79</v>
      </c>
      <c r="D27" s="29" t="s">
        <v>80</v>
      </c>
      <c r="E27" s="29" t="s">
        <v>81</v>
      </c>
      <c r="F27" s="29" t="s">
        <v>230</v>
      </c>
      <c r="G27" s="29" t="s">
        <v>231</v>
      </c>
      <c r="H27" s="29" t="s">
        <v>232</v>
      </c>
      <c r="I27" s="29" t="s">
        <v>233</v>
      </c>
      <c r="J27" s="29" t="s">
        <v>234</v>
      </c>
      <c r="K27" s="29" t="s">
        <v>235</v>
      </c>
    </row>
    <row r="28" spans="1:13" ht="22" customHeight="1" x14ac:dyDescent="0.2">
      <c r="A28" s="9" t="s">
        <v>174</v>
      </c>
      <c r="B28" s="30">
        <v>0</v>
      </c>
      <c r="C28" s="30">
        <f>IF(Inputs!D14=0,0,((Inputs!D14/Inputs!D38)+(Inputs!D14/Inputs!D39)+MAX(Inputs!D44,Inputs!D14/Inputs!D40))*8*7/40)</f>
        <v>14.84</v>
      </c>
      <c r="D28" s="30">
        <f>IF(Inputs!E14=0,0,((Inputs!E14/Inputs!E38)+(Inputs!E14/Inputs!E39)+MAX(Inputs!E44,Inputs!E14/Inputs!E40))*8*7/40)</f>
        <v>12.133333333333333</v>
      </c>
      <c r="E28" s="30">
        <f>IF(Inputs!F14=0,0,((Inputs!F14/Inputs!F38)+(Inputs!F14/Inputs!F39)+MAX(Inputs!F44,Inputs!F14/Inputs!F40))*8*7/40)</f>
        <v>21.93333333333333</v>
      </c>
      <c r="F28" s="30">
        <v>0</v>
      </c>
      <c r="G28" s="31">
        <f>SUM(B28:F28)</f>
        <v>48.906666666666666</v>
      </c>
      <c r="H28" s="32">
        <f>Inputs!C108</f>
        <v>43</v>
      </c>
      <c r="I28" s="33">
        <f>H28-G28</f>
        <v>-5.9066666666666663</v>
      </c>
      <c r="J28" s="34">
        <f>IF(I28&lt;0,-I28*Inputs!D74,0)</f>
        <v>320759.40693333332</v>
      </c>
      <c r="K28" s="11" t="s">
        <v>258</v>
      </c>
      <c r="L28" s="45">
        <f>G28*Inputs!D74</f>
        <v>2655858.9269333333</v>
      </c>
      <c r="M28" s="45">
        <f>H28*Inputs!D74</f>
        <v>2335099.52</v>
      </c>
    </row>
    <row r="29" spans="1:13" ht="22" customHeight="1" x14ac:dyDescent="0.2">
      <c r="A29" s="9" t="s">
        <v>175</v>
      </c>
      <c r="B29" s="30">
        <v>0</v>
      </c>
      <c r="C29" s="30">
        <f>IF(Inputs!D14=0,0,(MAX(1,Inputs!D14/Inputs!D41)+MAX(1,Inputs!D14/Inputs!D42)+MAX(1,Inputs!D14/Inputs!D43))*8*7/40)</f>
        <v>7.42</v>
      </c>
      <c r="D29" s="30">
        <f>IF(Inputs!E14=0,0,(MAX(1,Inputs!E14/Inputs!E41)+MAX(1,Inputs!E14/Inputs!E42)+MAX(1,Inputs!E14/Inputs!E43))*8*7/40)</f>
        <v>4.2</v>
      </c>
      <c r="E29" s="30">
        <f>IF(Inputs!F14=0,0,(MAX(1,Inputs!F14/Inputs!F41)+MAX(1,Inputs!F14/Inputs!F42)+MAX(1,Inputs!F14/Inputs!F43))*8*7/40)</f>
        <v>9.870000000000001</v>
      </c>
      <c r="F29" s="30">
        <v>0</v>
      </c>
      <c r="G29" s="31">
        <f>SUM(B29:F29)</f>
        <v>21.490000000000002</v>
      </c>
      <c r="H29" s="32">
        <f>Inputs!C109</f>
        <v>19.600000000000001</v>
      </c>
      <c r="I29" s="33">
        <f>H29-G29</f>
        <v>-1.8900000000000006</v>
      </c>
      <c r="J29" s="34">
        <f>IF(I29&lt;0,-I29*Inputs!D75,0)</f>
        <v>157310.89920000004</v>
      </c>
      <c r="K29" s="11" t="s">
        <v>259</v>
      </c>
      <c r="L29" s="45">
        <f>G29*Inputs!D75</f>
        <v>1788683.1872</v>
      </c>
      <c r="M29" s="45">
        <f>H29*Inputs!D75</f>
        <v>1631372.2880000002</v>
      </c>
    </row>
    <row r="30" spans="1:13" ht="15" customHeight="1" x14ac:dyDescent="0.2">
      <c r="A30" s="9" t="s">
        <v>195</v>
      </c>
      <c r="B30" s="30">
        <v>0</v>
      </c>
      <c r="C30" s="30">
        <v>0</v>
      </c>
      <c r="D30" s="30">
        <v>0</v>
      </c>
      <c r="E30" s="30">
        <v>0</v>
      </c>
      <c r="F30" s="30">
        <v>0</v>
      </c>
      <c r="G30" s="31">
        <f>SUM(B30:F30)</f>
        <v>0</v>
      </c>
      <c r="H30" s="32">
        <f>Inputs!C110</f>
        <v>0</v>
      </c>
      <c r="I30" s="33">
        <f>H30-G30</f>
        <v>0</v>
      </c>
      <c r="J30" s="34">
        <f>IF(I30&lt;0,-I30*Inputs!D75,0)</f>
        <v>0</v>
      </c>
      <c r="K30" s="11" t="s">
        <v>243</v>
      </c>
      <c r="L30" s="45">
        <f>G30*Inputs!D75</f>
        <v>0</v>
      </c>
      <c r="M30" s="45">
        <f>H30*Inputs!D75</f>
        <v>0</v>
      </c>
    </row>
    <row r="31" spans="1:13" ht="15" customHeight="1" x14ac:dyDescent="0.2">
      <c r="A31" s="9" t="s">
        <v>176</v>
      </c>
      <c r="B31" s="30">
        <v>0</v>
      </c>
      <c r="C31" s="30">
        <v>0</v>
      </c>
      <c r="D31" s="30">
        <v>0</v>
      </c>
      <c r="E31" s="30">
        <f>IF(Inputs!F14&gt;0,4.2,0)</f>
        <v>4.2</v>
      </c>
      <c r="F31" s="30">
        <v>0</v>
      </c>
      <c r="G31" s="31">
        <f>SUM(B31:F31)</f>
        <v>4.2</v>
      </c>
      <c r="H31" s="32">
        <f>Inputs!C111</f>
        <v>4.2</v>
      </c>
      <c r="I31" s="33">
        <f>H31-G31</f>
        <v>0</v>
      </c>
      <c r="J31" s="34">
        <f>IF(I31&lt;0,-I31*Inputs!D76,0)</f>
        <v>0</v>
      </c>
      <c r="K31" s="11" t="s">
        <v>260</v>
      </c>
      <c r="L31" s="45">
        <f>G31*Inputs!D76</f>
        <v>362369.27999999997</v>
      </c>
      <c r="M31" s="45">
        <f>H31*Inputs!D76</f>
        <v>362369.27999999997</v>
      </c>
    </row>
    <row r="32" spans="1:13" ht="22" customHeight="1" x14ac:dyDescent="0.2">
      <c r="A32" s="9" t="s">
        <v>177</v>
      </c>
      <c r="B32" s="30">
        <v>0</v>
      </c>
      <c r="C32" s="30">
        <v>0</v>
      </c>
      <c r="D32" s="30">
        <v>0</v>
      </c>
      <c r="E32" s="30">
        <f>IF(Inputs!F14=0,0,Inputs!F17/45+Inputs!F16/30)</f>
        <v>1.2</v>
      </c>
      <c r="F32" s="30">
        <v>0</v>
      </c>
      <c r="G32" s="31">
        <f>SUM(B32:F32)</f>
        <v>1.2</v>
      </c>
      <c r="H32" s="32">
        <f>Inputs!C112</f>
        <v>1.4</v>
      </c>
      <c r="I32" s="33">
        <f>H32-G32</f>
        <v>0.19999999999999996</v>
      </c>
      <c r="J32" s="34">
        <f>IF(I32&lt;0,-I32*Inputs!D77,0)</f>
        <v>0</v>
      </c>
      <c r="K32" s="11" t="s">
        <v>261</v>
      </c>
      <c r="L32" s="45">
        <f>G32*Inputs!D77</f>
        <v>109624.31999999999</v>
      </c>
      <c r="M32" s="45">
        <f>H32*Inputs!D77</f>
        <v>127895.03999999998</v>
      </c>
    </row>
    <row r="33" spans="1:13" x14ac:dyDescent="0.2">
      <c r="A33" s="35" t="s">
        <v>262</v>
      </c>
      <c r="B33" s="36"/>
      <c r="C33" s="36"/>
      <c r="D33" s="36"/>
      <c r="E33" s="36"/>
      <c r="F33" s="36"/>
      <c r="G33" s="37">
        <f>SUM(G28:G32)</f>
        <v>75.796666666666681</v>
      </c>
      <c r="H33" s="37">
        <f>SUM(H28:H32)</f>
        <v>68.2</v>
      </c>
      <c r="I33" s="38">
        <f>SUM(I28:I32)</f>
        <v>-7.5966666666666667</v>
      </c>
      <c r="J33" s="39">
        <f>SUM(J28:J32)</f>
        <v>478070.30613333336</v>
      </c>
      <c r="K33" s="36"/>
      <c r="L33" s="46">
        <f>SUM(L28:L32)</f>
        <v>4916535.7141333343</v>
      </c>
      <c r="M33" s="46">
        <f>SUM(M28:M32)</f>
        <v>4456736.1280000005</v>
      </c>
    </row>
    <row r="34" spans="1:13" x14ac:dyDescent="0.2">
      <c r="A34" s="40" t="s">
        <v>263</v>
      </c>
      <c r="B34" s="41"/>
      <c r="C34" s="41"/>
      <c r="D34" s="41"/>
      <c r="E34" s="41"/>
      <c r="F34" s="41"/>
      <c r="G34" s="42">
        <f>G24+G33</f>
        <v>173.36252211716857</v>
      </c>
      <c r="H34" s="42">
        <f>H24+H33</f>
        <v>159.5</v>
      </c>
      <c r="I34" s="43">
        <f>I24+I33</f>
        <v>-13.862522117168544</v>
      </c>
      <c r="J34" s="44">
        <f>J24+J33</f>
        <v>919012.40025182418</v>
      </c>
      <c r="K34" s="41"/>
      <c r="L34" s="47">
        <f>L24+L33</f>
        <v>10091233.577851824</v>
      </c>
      <c r="M34" s="47">
        <f>M24+M33</f>
        <v>9354811.6479999982</v>
      </c>
    </row>
    <row r="36" spans="1:13" x14ac:dyDescent="0.2">
      <c r="A36" s="48" t="s">
        <v>264</v>
      </c>
    </row>
  </sheetData>
  <mergeCells count="4">
    <mergeCell ref="A2:K2"/>
    <mergeCell ref="A26:K26"/>
    <mergeCell ref="A1:K1"/>
    <mergeCell ref="A3:K3"/>
  </mergeCells>
  <printOptions horizontalCentered="1"/>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535B"/>
    <pageSetUpPr fitToPage="1"/>
  </sheetPr>
  <dimension ref="A1:G25"/>
  <sheetViews>
    <sheetView showGridLines="0" workbookViewId="0">
      <selection sqref="A1:G1"/>
    </sheetView>
  </sheetViews>
  <sheetFormatPr baseColWidth="10" defaultColWidth="8.83203125" defaultRowHeight="15" x14ac:dyDescent="0.2"/>
  <cols>
    <col min="1" max="1" width="36" customWidth="1"/>
    <col min="2" max="6" width="17" customWidth="1"/>
    <col min="7" max="7" width="26" customWidth="1"/>
  </cols>
  <sheetData>
    <row r="1" spans="1:7" ht="24" customHeight="1" x14ac:dyDescent="0.25">
      <c r="A1" s="140" t="s">
        <v>265</v>
      </c>
      <c r="B1" s="130"/>
      <c r="C1" s="130"/>
      <c r="D1" s="130"/>
      <c r="E1" s="130"/>
      <c r="F1" s="130"/>
      <c r="G1" s="130"/>
    </row>
    <row r="2" spans="1:7" ht="3" customHeight="1" x14ac:dyDescent="0.2">
      <c r="A2" s="137"/>
      <c r="B2" s="130"/>
      <c r="C2" s="130"/>
      <c r="D2" s="130"/>
      <c r="E2" s="130"/>
      <c r="F2" s="130"/>
      <c r="G2" s="130"/>
    </row>
    <row r="3" spans="1:7" ht="49" customHeight="1" x14ac:dyDescent="0.2">
      <c r="A3" s="136" t="s">
        <v>266</v>
      </c>
      <c r="B3" s="130"/>
      <c r="C3" s="130"/>
      <c r="D3" s="130"/>
      <c r="E3" s="130"/>
      <c r="F3" s="130"/>
      <c r="G3" s="130"/>
    </row>
    <row r="5" spans="1:7" ht="20" customHeight="1" x14ac:dyDescent="0.2">
      <c r="A5" s="131" t="s">
        <v>219</v>
      </c>
      <c r="B5" s="132"/>
      <c r="C5" s="132"/>
      <c r="D5" s="132"/>
      <c r="E5" s="132"/>
      <c r="F5" s="132"/>
      <c r="G5" s="132"/>
    </row>
    <row r="6" spans="1:7" ht="26" customHeight="1" x14ac:dyDescent="0.2">
      <c r="A6" s="29" t="s">
        <v>267</v>
      </c>
      <c r="B6" s="29" t="s">
        <v>78</v>
      </c>
      <c r="C6" s="29" t="s">
        <v>79</v>
      </c>
      <c r="D6" s="29" t="s">
        <v>80</v>
      </c>
      <c r="E6" s="29" t="s">
        <v>81</v>
      </c>
      <c r="F6" s="29" t="s">
        <v>268</v>
      </c>
      <c r="G6" s="29" t="s">
        <v>269</v>
      </c>
    </row>
    <row r="7" spans="1:7" ht="22" customHeight="1" x14ac:dyDescent="0.2">
      <c r="A7" s="25" t="s">
        <v>270</v>
      </c>
      <c r="B7" s="49">
        <f>Inputs!C14*Inputs!C31*12</f>
        <v>6523800</v>
      </c>
      <c r="C7" s="49">
        <f>Inputs!D14*Inputs!D31*12</f>
        <v>4515600</v>
      </c>
      <c r="D7" s="49">
        <f>Inputs!E14*Inputs!E31*12</f>
        <v>2730000</v>
      </c>
      <c r="E7" s="49">
        <f>Inputs!F14*Inputs!F31*365</f>
        <v>6827690</v>
      </c>
      <c r="F7" s="50">
        <f>SUM(B7:E7)</f>
        <v>20597090</v>
      </c>
      <c r="G7" s="11" t="s">
        <v>271</v>
      </c>
    </row>
    <row r="9" spans="1:7" ht="20" customHeight="1" x14ac:dyDescent="0.2">
      <c r="A9" s="131" t="s">
        <v>272</v>
      </c>
      <c r="B9" s="132"/>
      <c r="C9" s="132"/>
      <c r="D9" s="132"/>
      <c r="E9" s="132"/>
      <c r="F9" s="132"/>
      <c r="G9" s="132"/>
    </row>
    <row r="10" spans="1:7" ht="26" customHeight="1" x14ac:dyDescent="0.2">
      <c r="A10" s="29" t="s">
        <v>267</v>
      </c>
      <c r="B10" s="29" t="s">
        <v>78</v>
      </c>
      <c r="C10" s="29" t="s">
        <v>79</v>
      </c>
      <c r="D10" s="29" t="s">
        <v>80</v>
      </c>
      <c r="E10" s="29" t="s">
        <v>81</v>
      </c>
      <c r="F10" s="29" t="s">
        <v>268</v>
      </c>
      <c r="G10" s="29" t="s">
        <v>269</v>
      </c>
    </row>
    <row r="11" spans="1:7" ht="22" customHeight="1" x14ac:dyDescent="0.2">
      <c r="A11" s="25" t="s">
        <v>220</v>
      </c>
      <c r="B11" s="49">
        <f>Inputs!C14*Inputs!C32*12</f>
        <v>534480</v>
      </c>
      <c r="C11" s="49">
        <f>Inputs!D14*Inputs!D32*12</f>
        <v>496080</v>
      </c>
      <c r="D11" s="49">
        <f>Inputs!E14*Inputs!E32*12</f>
        <v>305760</v>
      </c>
      <c r="E11" s="49">
        <f>Inputs!F14*Inputs!F32*365</f>
        <v>1646880</v>
      </c>
      <c r="F11" s="50">
        <f>SUM(B11:E11)</f>
        <v>2983200</v>
      </c>
      <c r="G11" s="11" t="s">
        <v>273</v>
      </c>
    </row>
    <row r="12" spans="1:7" x14ac:dyDescent="0.2">
      <c r="A12" s="25" t="s">
        <v>221</v>
      </c>
      <c r="B12" s="21"/>
      <c r="C12" s="21"/>
      <c r="D12" s="21"/>
      <c r="E12" s="21"/>
      <c r="F12" s="50">
        <f>Inputs!C33</f>
        <v>3100000</v>
      </c>
      <c r="G12" s="11" t="s">
        <v>274</v>
      </c>
    </row>
    <row r="13" spans="1:7" ht="24" x14ac:dyDescent="0.2">
      <c r="A13" s="25" t="s">
        <v>275</v>
      </c>
      <c r="B13" s="21"/>
      <c r="C13" s="21"/>
      <c r="D13" s="21"/>
      <c r="E13" s="21"/>
      <c r="F13" s="50">
        <f>'Staffing Model'!L34</f>
        <v>10091233.577851824</v>
      </c>
      <c r="G13" s="11" t="s">
        <v>276</v>
      </c>
    </row>
    <row r="14" spans="1:7" ht="24" x14ac:dyDescent="0.2">
      <c r="A14" s="51" t="s">
        <v>277</v>
      </c>
      <c r="B14" s="21"/>
      <c r="C14" s="21"/>
      <c r="D14" s="21"/>
      <c r="E14" s="21"/>
      <c r="F14" s="52">
        <f>'Staffing Model'!M34</f>
        <v>9354811.6479999982</v>
      </c>
      <c r="G14" s="11" t="s">
        <v>278</v>
      </c>
    </row>
    <row r="16" spans="1:7" ht="20" customHeight="1" x14ac:dyDescent="0.2">
      <c r="A16" s="131" t="s">
        <v>64</v>
      </c>
      <c r="B16" s="132"/>
      <c r="C16" s="132"/>
      <c r="D16" s="132"/>
      <c r="E16" s="132"/>
      <c r="F16" s="132"/>
      <c r="G16" s="132"/>
    </row>
    <row r="17" spans="1:7" ht="26" customHeight="1" x14ac:dyDescent="0.2">
      <c r="A17" s="29" t="s">
        <v>267</v>
      </c>
      <c r="B17" s="29"/>
      <c r="C17" s="29"/>
      <c r="D17" s="29"/>
      <c r="E17" s="29" t="s">
        <v>279</v>
      </c>
      <c r="F17" s="29" t="s">
        <v>280</v>
      </c>
      <c r="G17" s="29"/>
    </row>
    <row r="18" spans="1:7" ht="17" customHeight="1" x14ac:dyDescent="0.2">
      <c r="A18" s="25" t="s">
        <v>281</v>
      </c>
      <c r="B18" s="21"/>
      <c r="C18" s="21"/>
      <c r="D18" s="21"/>
      <c r="E18" s="50">
        <f>F11+F12+F13</f>
        <v>16174433.577851824</v>
      </c>
      <c r="F18" s="52">
        <f>F11+F12+F14</f>
        <v>15438011.647999998</v>
      </c>
      <c r="G18" s="21"/>
    </row>
    <row r="19" spans="1:7" ht="17" customHeight="1" x14ac:dyDescent="0.2">
      <c r="A19" s="53" t="s">
        <v>224</v>
      </c>
      <c r="B19" s="28"/>
      <c r="C19" s="28"/>
      <c r="D19" s="28"/>
      <c r="E19" s="54">
        <f>F7-E18</f>
        <v>4422656.4221481755</v>
      </c>
      <c r="F19" s="55">
        <f>F7-F18</f>
        <v>5159078.3520000018</v>
      </c>
      <c r="G19" s="28"/>
    </row>
    <row r="20" spans="1:7" ht="17" customHeight="1" x14ac:dyDescent="0.2">
      <c r="A20" s="53" t="s">
        <v>35</v>
      </c>
      <c r="B20" s="28"/>
      <c r="C20" s="28"/>
      <c r="D20" s="28"/>
      <c r="E20" s="56">
        <f>IFERROR(E19/F7,0)</f>
        <v>0.2147223914712309</v>
      </c>
      <c r="F20" s="57">
        <f>IFERROR(F19/F7,0)</f>
        <v>0.25047607948501471</v>
      </c>
      <c r="G20" s="28"/>
    </row>
    <row r="21" spans="1:7" ht="17" customHeight="1" x14ac:dyDescent="0.2">
      <c r="A21" s="25" t="s">
        <v>225</v>
      </c>
      <c r="B21" s="21"/>
      <c r="C21" s="21"/>
      <c r="D21" s="21"/>
      <c r="E21" s="58">
        <f>IFERROR(F13/F7,0)</f>
        <v>0.48993491691553637</v>
      </c>
      <c r="F21" s="59">
        <f>IFERROR(F14/F7,0)</f>
        <v>0.45418122890175255</v>
      </c>
      <c r="G21" s="21"/>
    </row>
    <row r="22" spans="1:7" ht="17" customHeight="1" x14ac:dyDescent="0.2">
      <c r="A22" s="25" t="s">
        <v>282</v>
      </c>
      <c r="B22" s="21"/>
      <c r="C22" s="21"/>
      <c r="D22" s="21"/>
      <c r="E22" s="50">
        <f>IFERROR(F7/Inputs!E19/12,0)</f>
        <v>6678.6932555123212</v>
      </c>
      <c r="F22" s="52">
        <f>IFERROR(F7/Inputs!E19/12,0)</f>
        <v>6678.6932555123212</v>
      </c>
      <c r="G22" s="21"/>
    </row>
    <row r="23" spans="1:7" ht="17" customHeight="1" x14ac:dyDescent="0.2">
      <c r="A23" s="25" t="s">
        <v>283</v>
      </c>
      <c r="B23" s="21"/>
      <c r="C23" s="21"/>
      <c r="D23" s="21"/>
      <c r="E23" s="50">
        <f>IFERROR(E18/Inputs!E19/12,0)</f>
        <v>5244.6282677859353</v>
      </c>
      <c r="F23" s="52">
        <f>IFERROR(F18/Inputs!E19/12,0)</f>
        <v>5005.8403527885857</v>
      </c>
      <c r="G23" s="21"/>
    </row>
    <row r="25" spans="1:7" ht="24" customHeight="1" x14ac:dyDescent="0.2">
      <c r="A25" s="139" t="s">
        <v>284</v>
      </c>
      <c r="B25" s="130"/>
      <c r="C25" s="130"/>
      <c r="D25" s="130"/>
      <c r="E25" s="130"/>
      <c r="F25" s="130"/>
      <c r="G25" s="130"/>
    </row>
  </sheetData>
  <mergeCells count="7">
    <mergeCell ref="A25:G25"/>
    <mergeCell ref="A5:G5"/>
    <mergeCell ref="A1:G1"/>
    <mergeCell ref="A9:G9"/>
    <mergeCell ref="A3:G3"/>
    <mergeCell ref="A2:G2"/>
    <mergeCell ref="A16:G16"/>
  </mergeCells>
  <printOptions horizontalCentered="1"/>
  <pageMargins left="0.75" right="0.75" top="1" bottom="1" header="0.5" footer="0.5"/>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535B"/>
    <pageSetUpPr fitToPage="1"/>
  </sheetPr>
  <dimension ref="A1:J140"/>
  <sheetViews>
    <sheetView showGridLines="0" workbookViewId="0">
      <pane ySplit="5" topLeftCell="A6" activePane="bottomLeft" state="frozen"/>
      <selection pane="bottomLeft" sqref="A1:I1"/>
    </sheetView>
  </sheetViews>
  <sheetFormatPr baseColWidth="10" defaultColWidth="8.83203125" defaultRowHeight="15" x14ac:dyDescent="0.2"/>
  <cols>
    <col min="1" max="1" width="8" customWidth="1"/>
    <col min="2" max="2" width="34" customWidth="1"/>
    <col min="3" max="3" width="16" customWidth="1"/>
    <col min="4" max="4" width="28" customWidth="1"/>
    <col min="5" max="5" width="11" customWidth="1"/>
    <col min="6" max="6" width="13" customWidth="1"/>
    <col min="7" max="7" width="30" customWidth="1"/>
    <col min="8" max="8" width="22" customWidth="1"/>
    <col min="9" max="9" width="15" customWidth="1"/>
    <col min="10" max="10" width="18" customWidth="1"/>
  </cols>
  <sheetData>
    <row r="1" spans="1:10" ht="24" customHeight="1" x14ac:dyDescent="0.25">
      <c r="A1" s="140" t="s">
        <v>285</v>
      </c>
      <c r="B1" s="130"/>
      <c r="C1" s="130"/>
      <c r="D1" s="130"/>
      <c r="E1" s="130"/>
      <c r="F1" s="130"/>
      <c r="G1" s="130"/>
      <c r="H1" s="130"/>
      <c r="I1" s="130"/>
    </row>
    <row r="2" spans="1:10" ht="3" customHeight="1" x14ac:dyDescent="0.2">
      <c r="A2" s="137"/>
      <c r="B2" s="130"/>
      <c r="C2" s="130"/>
      <c r="D2" s="130"/>
      <c r="E2" s="130"/>
      <c r="F2" s="130"/>
      <c r="G2" s="130"/>
      <c r="H2" s="130"/>
      <c r="I2" s="130"/>
    </row>
    <row r="3" spans="1:10" ht="49" customHeight="1" x14ac:dyDescent="0.2">
      <c r="A3" s="136" t="s">
        <v>286</v>
      </c>
      <c r="B3" s="130"/>
      <c r="C3" s="130"/>
      <c r="D3" s="130"/>
      <c r="E3" s="130"/>
      <c r="F3" s="130"/>
      <c r="G3" s="130"/>
      <c r="H3" s="130"/>
      <c r="I3" s="130"/>
    </row>
    <row r="5" spans="1:10" ht="26" customHeight="1" x14ac:dyDescent="0.2">
      <c r="A5" s="29" t="s">
        <v>287</v>
      </c>
      <c r="B5" s="29" t="s">
        <v>288</v>
      </c>
      <c r="C5" s="29" t="s">
        <v>289</v>
      </c>
      <c r="D5" s="29" t="s">
        <v>290</v>
      </c>
      <c r="E5" s="29" t="s">
        <v>269</v>
      </c>
      <c r="F5" s="29" t="s">
        <v>291</v>
      </c>
      <c r="G5" s="29" t="s">
        <v>292</v>
      </c>
      <c r="H5" s="29" t="s">
        <v>293</v>
      </c>
      <c r="I5" s="29" t="s">
        <v>294</v>
      </c>
      <c r="J5" s="29" t="s">
        <v>295</v>
      </c>
    </row>
    <row r="6" spans="1:10" ht="20" customHeight="1" x14ac:dyDescent="0.2">
      <c r="A6" s="131" t="s">
        <v>296</v>
      </c>
      <c r="B6" s="132"/>
      <c r="C6" s="132"/>
      <c r="D6" s="132"/>
      <c r="E6" s="132"/>
      <c r="F6" s="132"/>
      <c r="G6" s="132"/>
      <c r="H6" s="132"/>
      <c r="I6" s="132"/>
    </row>
    <row r="7" spans="1:10" ht="20" customHeight="1" x14ac:dyDescent="0.2">
      <c r="A7" s="73" t="s">
        <v>297</v>
      </c>
      <c r="B7" s="74" t="s">
        <v>298</v>
      </c>
      <c r="C7" s="74" t="s">
        <v>299</v>
      </c>
      <c r="D7" s="74" t="str">
        <f>"IL "&amp;TEXT(Inputs!C13,"0.0%")&amp;" | AL "&amp;TEXT(Inputs!D13,"0.0%")&amp;" | MC "&amp;TEXT(Inputs!E13,"0.0%")&amp;" | SNF "&amp;TEXT(Inputs!F13,"0.0%")</f>
        <v>IL 92.3% | AL 91.4% | MC 92.9% | SNF 90.4%</v>
      </c>
      <c r="E7" s="75" t="s">
        <v>300</v>
      </c>
      <c r="F7" s="76" t="str">
        <f>IF(AND(Inputs!C13&gt;=0.878,Inputs!D13&gt;=0.899,Inputs!E13&gt;=0.86,Inputs!F13&gt;=0.792),"On benchmark",IF(AND(Inputs!C13&gt;=0.85,Inputs!D13&gt;=0.87,Inputs!E13&gt;=0.83),"Watch","Below"))</f>
        <v>On benchmark</v>
      </c>
      <c r="G7" s="77" t="s">
        <v>301</v>
      </c>
      <c r="H7" s="77" t="s">
        <v>302</v>
      </c>
      <c r="I7" s="77" t="s">
        <v>303</v>
      </c>
      <c r="J7" s="78" t="s">
        <v>304</v>
      </c>
    </row>
    <row r="8" spans="1:10" ht="40" customHeight="1" x14ac:dyDescent="0.2">
      <c r="A8" s="73" t="s">
        <v>305</v>
      </c>
      <c r="B8" s="74" t="s">
        <v>306</v>
      </c>
      <c r="C8" s="74" t="s">
        <v>299</v>
      </c>
      <c r="D8" s="74" t="s">
        <v>307</v>
      </c>
      <c r="E8" s="79" t="s">
        <v>308</v>
      </c>
      <c r="F8" s="80" t="s">
        <v>67</v>
      </c>
      <c r="G8" s="77" t="s">
        <v>309</v>
      </c>
      <c r="H8" s="77" t="s">
        <v>310</v>
      </c>
      <c r="I8" s="77" t="s">
        <v>303</v>
      </c>
      <c r="J8" s="78" t="s">
        <v>304</v>
      </c>
    </row>
    <row r="9" spans="1:10" ht="20" customHeight="1" x14ac:dyDescent="0.2">
      <c r="A9" s="73" t="s">
        <v>311</v>
      </c>
      <c r="B9" s="74" t="s">
        <v>312</v>
      </c>
      <c r="C9" s="74" t="s">
        <v>313</v>
      </c>
      <c r="D9" s="74" t="s">
        <v>314</v>
      </c>
      <c r="E9" s="79" t="s">
        <v>308</v>
      </c>
      <c r="F9" s="80" t="s">
        <v>67</v>
      </c>
      <c r="G9" s="77" t="s">
        <v>315</v>
      </c>
      <c r="H9" s="77" t="s">
        <v>316</v>
      </c>
      <c r="I9" s="77" t="s">
        <v>303</v>
      </c>
      <c r="J9" s="78" t="s">
        <v>304</v>
      </c>
    </row>
    <row r="10" spans="1:10" ht="30" customHeight="1" x14ac:dyDescent="0.2">
      <c r="A10" s="73" t="s">
        <v>317</v>
      </c>
      <c r="B10" s="74" t="s">
        <v>318</v>
      </c>
      <c r="C10" s="74" t="s">
        <v>299</v>
      </c>
      <c r="D10" s="74" t="s">
        <v>319</v>
      </c>
      <c r="E10" s="79" t="s">
        <v>308</v>
      </c>
      <c r="F10" s="80" t="s">
        <v>67</v>
      </c>
      <c r="G10" s="77" t="s">
        <v>320</v>
      </c>
      <c r="H10" s="77" t="s">
        <v>321</v>
      </c>
      <c r="I10" s="77" t="s">
        <v>322</v>
      </c>
      <c r="J10" s="78" t="s">
        <v>304</v>
      </c>
    </row>
    <row r="11" spans="1:10" ht="30" customHeight="1" x14ac:dyDescent="0.2">
      <c r="A11" s="73" t="s">
        <v>323</v>
      </c>
      <c r="B11" s="74" t="s">
        <v>324</v>
      </c>
      <c r="C11" s="74" t="s">
        <v>299</v>
      </c>
      <c r="D11" s="74" t="s">
        <v>325</v>
      </c>
      <c r="E11" s="79" t="s">
        <v>308</v>
      </c>
      <c r="F11" s="81" t="s">
        <v>68</v>
      </c>
      <c r="G11" s="77" t="s">
        <v>326</v>
      </c>
      <c r="H11" s="77" t="s">
        <v>327</v>
      </c>
      <c r="I11" s="77" t="s">
        <v>328</v>
      </c>
      <c r="J11" s="78" t="s">
        <v>304</v>
      </c>
    </row>
    <row r="12" spans="1:10" ht="20" customHeight="1" x14ac:dyDescent="0.2">
      <c r="A12" s="73" t="s">
        <v>329</v>
      </c>
      <c r="B12" s="74" t="s">
        <v>330</v>
      </c>
      <c r="C12" s="74" t="s">
        <v>299</v>
      </c>
      <c r="D12" s="74" t="s">
        <v>331</v>
      </c>
      <c r="E12" s="79" t="s">
        <v>308</v>
      </c>
      <c r="F12" s="81" t="s">
        <v>68</v>
      </c>
      <c r="G12" s="77" t="s">
        <v>332</v>
      </c>
      <c r="H12" s="77" t="s">
        <v>327</v>
      </c>
      <c r="I12" s="77" t="s">
        <v>328</v>
      </c>
      <c r="J12" s="78" t="s">
        <v>304</v>
      </c>
    </row>
    <row r="13" spans="1:10" ht="30" customHeight="1" x14ac:dyDescent="0.2">
      <c r="A13" s="73" t="s">
        <v>333</v>
      </c>
      <c r="B13" s="74" t="s">
        <v>334</v>
      </c>
      <c r="C13" s="74" t="s">
        <v>299</v>
      </c>
      <c r="D13" s="74" t="s">
        <v>335</v>
      </c>
      <c r="E13" s="79" t="s">
        <v>308</v>
      </c>
      <c r="F13" s="81" t="s">
        <v>68</v>
      </c>
      <c r="G13" s="77" t="s">
        <v>336</v>
      </c>
      <c r="H13" s="77" t="s">
        <v>310</v>
      </c>
      <c r="I13" s="77" t="s">
        <v>337</v>
      </c>
      <c r="J13" s="78" t="s">
        <v>304</v>
      </c>
    </row>
    <row r="14" spans="1:10" ht="20" customHeight="1" x14ac:dyDescent="0.2">
      <c r="A14" s="73" t="s">
        <v>338</v>
      </c>
      <c r="B14" s="74" t="s">
        <v>339</v>
      </c>
      <c r="C14" s="74" t="s">
        <v>299</v>
      </c>
      <c r="D14" s="74" t="s">
        <v>340</v>
      </c>
      <c r="E14" s="79" t="s">
        <v>308</v>
      </c>
      <c r="F14" s="80" t="s">
        <v>67</v>
      </c>
      <c r="G14" s="77" t="s">
        <v>341</v>
      </c>
      <c r="H14" s="77" t="s">
        <v>342</v>
      </c>
      <c r="I14" s="77" t="s">
        <v>337</v>
      </c>
      <c r="J14" s="78" t="s">
        <v>304</v>
      </c>
    </row>
    <row r="16" spans="1:10" ht="20" customHeight="1" x14ac:dyDescent="0.2">
      <c r="A16" s="131" t="s">
        <v>343</v>
      </c>
      <c r="B16" s="132"/>
      <c r="C16" s="132"/>
      <c r="D16" s="132"/>
      <c r="E16" s="132"/>
      <c r="F16" s="132"/>
      <c r="G16" s="132"/>
      <c r="H16" s="132"/>
      <c r="I16" s="132"/>
    </row>
    <row r="17" spans="1:10" ht="30" customHeight="1" x14ac:dyDescent="0.2">
      <c r="A17" s="73" t="s">
        <v>344</v>
      </c>
      <c r="B17" s="74" t="s">
        <v>345</v>
      </c>
      <c r="C17" s="74" t="s">
        <v>313</v>
      </c>
      <c r="D17" s="74" t="s">
        <v>346</v>
      </c>
      <c r="E17" s="79" t="s">
        <v>308</v>
      </c>
      <c r="F17" s="81" t="s">
        <v>68</v>
      </c>
      <c r="G17" s="77" t="s">
        <v>347</v>
      </c>
      <c r="H17" s="77" t="s">
        <v>348</v>
      </c>
      <c r="I17" s="77" t="s">
        <v>349</v>
      </c>
      <c r="J17" s="78" t="s">
        <v>350</v>
      </c>
    </row>
    <row r="18" spans="1:10" ht="20" customHeight="1" x14ac:dyDescent="0.2">
      <c r="A18" s="73" t="s">
        <v>351</v>
      </c>
      <c r="B18" s="74" t="s">
        <v>352</v>
      </c>
      <c r="C18" s="74" t="s">
        <v>313</v>
      </c>
      <c r="D18" s="74" t="s">
        <v>353</v>
      </c>
      <c r="E18" s="79" t="s">
        <v>308</v>
      </c>
      <c r="F18" s="81" t="s">
        <v>68</v>
      </c>
      <c r="G18" s="77" t="s">
        <v>354</v>
      </c>
      <c r="H18" s="77" t="s">
        <v>348</v>
      </c>
      <c r="I18" s="77" t="s">
        <v>355</v>
      </c>
      <c r="J18" s="78" t="s">
        <v>350</v>
      </c>
    </row>
    <row r="19" spans="1:10" ht="20" customHeight="1" x14ac:dyDescent="0.2">
      <c r="A19" s="73" t="s">
        <v>356</v>
      </c>
      <c r="B19" s="74" t="s">
        <v>357</v>
      </c>
      <c r="C19" s="74" t="s">
        <v>313</v>
      </c>
      <c r="D19" s="74" t="s">
        <v>358</v>
      </c>
      <c r="E19" s="79" t="s">
        <v>308</v>
      </c>
      <c r="F19" s="82" t="s">
        <v>359</v>
      </c>
      <c r="G19" s="77" t="s">
        <v>360</v>
      </c>
      <c r="H19" s="77" t="s">
        <v>348</v>
      </c>
      <c r="I19" s="77" t="s">
        <v>355</v>
      </c>
      <c r="J19" s="78" t="s">
        <v>350</v>
      </c>
    </row>
    <row r="20" spans="1:10" ht="20" customHeight="1" x14ac:dyDescent="0.2">
      <c r="A20" s="73" t="s">
        <v>361</v>
      </c>
      <c r="B20" s="74" t="s">
        <v>362</v>
      </c>
      <c r="C20" s="74" t="s">
        <v>313</v>
      </c>
      <c r="D20" s="74" t="s">
        <v>363</v>
      </c>
      <c r="E20" s="79" t="s">
        <v>308</v>
      </c>
      <c r="F20" s="82" t="s">
        <v>359</v>
      </c>
      <c r="G20" s="77" t="s">
        <v>364</v>
      </c>
      <c r="H20" s="77" t="s">
        <v>348</v>
      </c>
      <c r="I20" s="77" t="s">
        <v>355</v>
      </c>
      <c r="J20" s="78" t="s">
        <v>350</v>
      </c>
    </row>
    <row r="21" spans="1:10" ht="20" customHeight="1" x14ac:dyDescent="0.2">
      <c r="A21" s="73" t="s">
        <v>365</v>
      </c>
      <c r="B21" s="74" t="s">
        <v>366</v>
      </c>
      <c r="C21" s="74" t="s">
        <v>313</v>
      </c>
      <c r="D21" s="74" t="s">
        <v>367</v>
      </c>
      <c r="E21" s="79" t="s">
        <v>308</v>
      </c>
      <c r="F21" s="81" t="s">
        <v>68</v>
      </c>
      <c r="G21" s="77" t="s">
        <v>368</v>
      </c>
      <c r="H21" s="77" t="s">
        <v>348</v>
      </c>
      <c r="I21" s="77" t="s">
        <v>355</v>
      </c>
      <c r="J21" s="78" t="s">
        <v>350</v>
      </c>
    </row>
    <row r="22" spans="1:10" ht="50" customHeight="1" x14ac:dyDescent="0.2">
      <c r="A22" s="73" t="s">
        <v>369</v>
      </c>
      <c r="B22" s="74" t="s">
        <v>370</v>
      </c>
      <c r="C22" s="74" t="s">
        <v>313</v>
      </c>
      <c r="D22" s="74" t="s">
        <v>371</v>
      </c>
      <c r="E22" s="79" t="s">
        <v>308</v>
      </c>
      <c r="F22" s="83" t="s">
        <v>70</v>
      </c>
      <c r="G22" s="77" t="s">
        <v>372</v>
      </c>
      <c r="H22" s="77" t="s">
        <v>348</v>
      </c>
      <c r="I22" s="77" t="s">
        <v>355</v>
      </c>
      <c r="J22" s="78" t="s">
        <v>350</v>
      </c>
    </row>
    <row r="23" spans="1:10" ht="60" customHeight="1" x14ac:dyDescent="0.2">
      <c r="A23" s="73" t="s">
        <v>373</v>
      </c>
      <c r="B23" s="74" t="s">
        <v>374</v>
      </c>
      <c r="C23" s="74" t="s">
        <v>313</v>
      </c>
      <c r="D23" s="74" t="s">
        <v>375</v>
      </c>
      <c r="E23" s="79" t="s">
        <v>308</v>
      </c>
      <c r="F23" s="81" t="s">
        <v>68</v>
      </c>
      <c r="G23" s="77" t="s">
        <v>376</v>
      </c>
      <c r="H23" s="77" t="s">
        <v>348</v>
      </c>
      <c r="I23" s="77" t="s">
        <v>355</v>
      </c>
      <c r="J23" s="78" t="s">
        <v>350</v>
      </c>
    </row>
    <row r="24" spans="1:10" ht="20" customHeight="1" x14ac:dyDescent="0.2">
      <c r="A24" s="73" t="s">
        <v>377</v>
      </c>
      <c r="B24" s="74" t="s">
        <v>378</v>
      </c>
      <c r="C24" s="74" t="s">
        <v>313</v>
      </c>
      <c r="D24" s="74" t="s">
        <v>379</v>
      </c>
      <c r="E24" s="79" t="s">
        <v>308</v>
      </c>
      <c r="F24" s="82" t="s">
        <v>359</v>
      </c>
      <c r="G24" s="77" t="s">
        <v>380</v>
      </c>
      <c r="H24" s="77" t="s">
        <v>381</v>
      </c>
      <c r="I24" s="77" t="s">
        <v>382</v>
      </c>
      <c r="J24" s="78" t="s">
        <v>350</v>
      </c>
    </row>
    <row r="25" spans="1:10" ht="30" customHeight="1" x14ac:dyDescent="0.2">
      <c r="A25" s="73" t="s">
        <v>383</v>
      </c>
      <c r="B25" s="74" t="s">
        <v>384</v>
      </c>
      <c r="C25" s="74" t="s">
        <v>299</v>
      </c>
      <c r="D25" s="74" t="s">
        <v>385</v>
      </c>
      <c r="E25" s="79" t="s">
        <v>308</v>
      </c>
      <c r="F25" s="81" t="s">
        <v>68</v>
      </c>
      <c r="G25" s="77" t="s">
        <v>386</v>
      </c>
      <c r="H25" s="77" t="s">
        <v>327</v>
      </c>
      <c r="I25" s="77" t="s">
        <v>387</v>
      </c>
      <c r="J25" s="78" t="s">
        <v>350</v>
      </c>
    </row>
    <row r="26" spans="1:10" ht="15" customHeight="1" x14ac:dyDescent="0.2">
      <c r="A26" s="73" t="s">
        <v>388</v>
      </c>
      <c r="B26" s="74" t="s">
        <v>389</v>
      </c>
      <c r="C26" s="74" t="s">
        <v>299</v>
      </c>
      <c r="D26" s="74" t="s">
        <v>390</v>
      </c>
      <c r="E26" s="79" t="s">
        <v>308</v>
      </c>
      <c r="F26" s="80" t="s">
        <v>67</v>
      </c>
      <c r="G26" s="77" t="s">
        <v>391</v>
      </c>
      <c r="H26" s="77" t="s">
        <v>392</v>
      </c>
      <c r="I26" s="77" t="s">
        <v>393</v>
      </c>
      <c r="J26" s="78" t="s">
        <v>350</v>
      </c>
    </row>
    <row r="27" spans="1:10" ht="30" customHeight="1" x14ac:dyDescent="0.2">
      <c r="A27" s="73" t="s">
        <v>394</v>
      </c>
      <c r="B27" s="74" t="s">
        <v>395</v>
      </c>
      <c r="C27" s="74" t="s">
        <v>299</v>
      </c>
      <c r="D27" s="74" t="s">
        <v>396</v>
      </c>
      <c r="E27" s="79" t="s">
        <v>308</v>
      </c>
      <c r="F27" s="81" t="s">
        <v>68</v>
      </c>
      <c r="G27" s="77" t="s">
        <v>397</v>
      </c>
      <c r="H27" s="77" t="s">
        <v>398</v>
      </c>
      <c r="I27" s="77" t="s">
        <v>393</v>
      </c>
      <c r="J27" s="78" t="s">
        <v>350</v>
      </c>
    </row>
    <row r="29" spans="1:10" ht="20" customHeight="1" x14ac:dyDescent="0.2">
      <c r="A29" s="131" t="s">
        <v>399</v>
      </c>
      <c r="B29" s="132"/>
      <c r="C29" s="132"/>
      <c r="D29" s="132"/>
      <c r="E29" s="132"/>
      <c r="F29" s="132"/>
      <c r="G29" s="132"/>
      <c r="H29" s="132"/>
      <c r="I29" s="132"/>
    </row>
    <row r="30" spans="1:10" ht="20" customHeight="1" x14ac:dyDescent="0.2">
      <c r="A30" s="73" t="s">
        <v>400</v>
      </c>
      <c r="B30" s="74" t="s">
        <v>401</v>
      </c>
      <c r="C30" s="74" t="s">
        <v>402</v>
      </c>
      <c r="D30" s="74" t="s">
        <v>403</v>
      </c>
      <c r="E30" s="79" t="s">
        <v>308</v>
      </c>
      <c r="F30" s="80" t="s">
        <v>67</v>
      </c>
      <c r="G30" s="77" t="s">
        <v>404</v>
      </c>
      <c r="H30" s="77" t="s">
        <v>327</v>
      </c>
      <c r="I30" s="77" t="s">
        <v>405</v>
      </c>
      <c r="J30" s="78" t="s">
        <v>406</v>
      </c>
    </row>
    <row r="31" spans="1:10" ht="15" customHeight="1" x14ac:dyDescent="0.2">
      <c r="A31" s="73" t="s">
        <v>407</v>
      </c>
      <c r="B31" s="74" t="s">
        <v>408</v>
      </c>
      <c r="C31" s="74" t="s">
        <v>409</v>
      </c>
      <c r="D31" s="74" t="s">
        <v>410</v>
      </c>
      <c r="E31" s="79" t="s">
        <v>308</v>
      </c>
      <c r="F31" s="80" t="s">
        <v>67</v>
      </c>
      <c r="G31" s="77" t="s">
        <v>411</v>
      </c>
      <c r="H31" s="77" t="s">
        <v>310</v>
      </c>
      <c r="I31" s="77" t="s">
        <v>412</v>
      </c>
      <c r="J31" s="78" t="s">
        <v>406</v>
      </c>
    </row>
    <row r="32" spans="1:10" ht="20" customHeight="1" x14ac:dyDescent="0.2">
      <c r="A32" s="73" t="s">
        <v>413</v>
      </c>
      <c r="B32" s="74" t="s">
        <v>414</v>
      </c>
      <c r="C32" s="74" t="s">
        <v>409</v>
      </c>
      <c r="D32" s="74" t="s">
        <v>415</v>
      </c>
      <c r="E32" s="79" t="s">
        <v>308</v>
      </c>
      <c r="F32" s="81" t="s">
        <v>68</v>
      </c>
      <c r="G32" s="77" t="s">
        <v>416</v>
      </c>
      <c r="H32" s="77" t="s">
        <v>417</v>
      </c>
      <c r="I32" s="77" t="s">
        <v>405</v>
      </c>
      <c r="J32" s="78" t="s">
        <v>406</v>
      </c>
    </row>
    <row r="33" spans="1:10" ht="30" customHeight="1" x14ac:dyDescent="0.2">
      <c r="A33" s="73" t="s">
        <v>418</v>
      </c>
      <c r="B33" s="74" t="s">
        <v>419</v>
      </c>
      <c r="C33" s="74" t="s">
        <v>409</v>
      </c>
      <c r="D33" s="74" t="s">
        <v>420</v>
      </c>
      <c r="E33" s="79" t="s">
        <v>308</v>
      </c>
      <c r="F33" s="81" t="s">
        <v>68</v>
      </c>
      <c r="G33" s="77" t="s">
        <v>421</v>
      </c>
      <c r="H33" s="77" t="s">
        <v>422</v>
      </c>
      <c r="I33" s="77" t="s">
        <v>405</v>
      </c>
      <c r="J33" s="78" t="s">
        <v>406</v>
      </c>
    </row>
    <row r="34" spans="1:10" ht="30" customHeight="1" x14ac:dyDescent="0.2">
      <c r="A34" s="73" t="s">
        <v>423</v>
      </c>
      <c r="B34" s="74" t="s">
        <v>424</v>
      </c>
      <c r="C34" s="74" t="s">
        <v>409</v>
      </c>
      <c r="D34" s="74" t="s">
        <v>425</v>
      </c>
      <c r="E34" s="79" t="s">
        <v>308</v>
      </c>
      <c r="F34" s="82" t="s">
        <v>359</v>
      </c>
      <c r="G34" s="77" t="s">
        <v>426</v>
      </c>
      <c r="H34" s="77" t="s">
        <v>427</v>
      </c>
      <c r="I34" s="77" t="s">
        <v>428</v>
      </c>
      <c r="J34" s="78" t="s">
        <v>406</v>
      </c>
    </row>
    <row r="35" spans="1:10" ht="20" customHeight="1" x14ac:dyDescent="0.2">
      <c r="A35" s="73" t="s">
        <v>429</v>
      </c>
      <c r="B35" s="74" t="s">
        <v>430</v>
      </c>
      <c r="C35" s="74" t="s">
        <v>409</v>
      </c>
      <c r="D35" s="74" t="s">
        <v>431</v>
      </c>
      <c r="E35" s="79" t="s">
        <v>308</v>
      </c>
      <c r="F35" s="80" t="s">
        <v>67</v>
      </c>
      <c r="G35" s="77" t="s">
        <v>432</v>
      </c>
      <c r="H35" s="77" t="s">
        <v>433</v>
      </c>
      <c r="I35" s="77" t="s">
        <v>405</v>
      </c>
      <c r="J35" s="78" t="s">
        <v>406</v>
      </c>
    </row>
    <row r="36" spans="1:10" ht="30" customHeight="1" x14ac:dyDescent="0.2">
      <c r="A36" s="73" t="s">
        <v>434</v>
      </c>
      <c r="B36" s="74" t="s">
        <v>435</v>
      </c>
      <c r="C36" s="74" t="s">
        <v>409</v>
      </c>
      <c r="D36" s="74" t="s">
        <v>436</v>
      </c>
      <c r="E36" s="79" t="s">
        <v>308</v>
      </c>
      <c r="F36" s="81" t="s">
        <v>68</v>
      </c>
      <c r="G36" s="77" t="s">
        <v>437</v>
      </c>
      <c r="H36" s="77" t="s">
        <v>438</v>
      </c>
      <c r="I36" s="77" t="s">
        <v>337</v>
      </c>
      <c r="J36" s="78" t="s">
        <v>406</v>
      </c>
    </row>
    <row r="37" spans="1:10" ht="20" customHeight="1" x14ac:dyDescent="0.2">
      <c r="A37" s="73" t="s">
        <v>439</v>
      </c>
      <c r="B37" s="74" t="s">
        <v>440</v>
      </c>
      <c r="C37" s="74" t="s">
        <v>409</v>
      </c>
      <c r="D37" s="74" t="s">
        <v>441</v>
      </c>
      <c r="E37" s="79" t="s">
        <v>308</v>
      </c>
      <c r="F37" s="80" t="s">
        <v>67</v>
      </c>
      <c r="G37" s="77" t="s">
        <v>442</v>
      </c>
      <c r="H37" s="77" t="s">
        <v>443</v>
      </c>
      <c r="I37" s="77" t="s">
        <v>405</v>
      </c>
      <c r="J37" s="78" t="s">
        <v>406</v>
      </c>
    </row>
    <row r="38" spans="1:10" ht="20" customHeight="1" x14ac:dyDescent="0.2">
      <c r="A38" s="73" t="s">
        <v>444</v>
      </c>
      <c r="B38" s="74" t="s">
        <v>445</v>
      </c>
      <c r="C38" s="74" t="s">
        <v>81</v>
      </c>
      <c r="D38" s="74" t="s">
        <v>446</v>
      </c>
      <c r="E38" s="79" t="s">
        <v>308</v>
      </c>
      <c r="F38" s="81" t="s">
        <v>68</v>
      </c>
      <c r="G38" s="77" t="s">
        <v>447</v>
      </c>
      <c r="H38" s="77" t="s">
        <v>448</v>
      </c>
      <c r="I38" s="77" t="s">
        <v>449</v>
      </c>
      <c r="J38" s="78" t="s">
        <v>406</v>
      </c>
    </row>
    <row r="39" spans="1:10" ht="20" customHeight="1" x14ac:dyDescent="0.2">
      <c r="A39" s="73" t="s">
        <v>450</v>
      </c>
      <c r="B39" s="74" t="s">
        <v>451</v>
      </c>
      <c r="C39" s="74" t="s">
        <v>81</v>
      </c>
      <c r="D39" s="74" t="s">
        <v>452</v>
      </c>
      <c r="E39" s="79" t="s">
        <v>308</v>
      </c>
      <c r="F39" s="82" t="s">
        <v>359</v>
      </c>
      <c r="G39" s="77" t="s">
        <v>453</v>
      </c>
      <c r="H39" s="77" t="s">
        <v>454</v>
      </c>
      <c r="I39" s="77" t="s">
        <v>449</v>
      </c>
      <c r="J39" s="78" t="s">
        <v>406</v>
      </c>
    </row>
    <row r="40" spans="1:10" ht="20" customHeight="1" x14ac:dyDescent="0.2">
      <c r="A40" s="73" t="s">
        <v>455</v>
      </c>
      <c r="B40" s="74" t="s">
        <v>456</v>
      </c>
      <c r="C40" s="74" t="s">
        <v>81</v>
      </c>
      <c r="D40" s="74" t="s">
        <v>457</v>
      </c>
      <c r="E40" s="79" t="s">
        <v>308</v>
      </c>
      <c r="F40" s="83" t="s">
        <v>70</v>
      </c>
      <c r="G40" s="77" t="s">
        <v>458</v>
      </c>
      <c r="H40" s="77" t="s">
        <v>459</v>
      </c>
      <c r="I40" s="77" t="s">
        <v>449</v>
      </c>
      <c r="J40" s="78" t="s">
        <v>406</v>
      </c>
    </row>
    <row r="41" spans="1:10" ht="20" customHeight="1" x14ac:dyDescent="0.2">
      <c r="A41" s="73" t="s">
        <v>460</v>
      </c>
      <c r="B41" s="74" t="s">
        <v>461</v>
      </c>
      <c r="C41" s="74" t="s">
        <v>81</v>
      </c>
      <c r="D41" s="74" t="s">
        <v>462</v>
      </c>
      <c r="E41" s="79" t="s">
        <v>308</v>
      </c>
      <c r="F41" s="81" t="s">
        <v>68</v>
      </c>
      <c r="G41" s="77" t="s">
        <v>463</v>
      </c>
      <c r="H41" s="77" t="s">
        <v>464</v>
      </c>
      <c r="I41" s="77" t="s">
        <v>405</v>
      </c>
      <c r="J41" s="78" t="s">
        <v>406</v>
      </c>
    </row>
    <row r="43" spans="1:10" ht="20" customHeight="1" x14ac:dyDescent="0.2">
      <c r="A43" s="131" t="s">
        <v>465</v>
      </c>
      <c r="B43" s="132"/>
      <c r="C43" s="132"/>
      <c r="D43" s="132"/>
      <c r="E43" s="132"/>
      <c r="F43" s="132"/>
      <c r="G43" s="132"/>
      <c r="H43" s="132"/>
      <c r="I43" s="132"/>
    </row>
    <row r="44" spans="1:10" ht="20" customHeight="1" x14ac:dyDescent="0.2">
      <c r="A44" s="73" t="s">
        <v>466</v>
      </c>
      <c r="B44" s="74" t="s">
        <v>467</v>
      </c>
      <c r="C44" s="74" t="s">
        <v>313</v>
      </c>
      <c r="D44" s="74" t="str">
        <f>TEXT(Financials!E20,"0.0%")&amp;" at recommended staffing"</f>
        <v>21.5% at recommended staffing</v>
      </c>
      <c r="E44" s="75" t="s">
        <v>300</v>
      </c>
      <c r="F44" s="76" t="str">
        <f>IF(Financials!E20&gt;=0.228,"On benchmark",IF(Financials!E20&gt;=0.205,"Watch","Below"))</f>
        <v>Watch</v>
      </c>
      <c r="G44" s="77" t="s">
        <v>468</v>
      </c>
      <c r="H44" s="77" t="s">
        <v>469</v>
      </c>
      <c r="I44" s="77" t="s">
        <v>470</v>
      </c>
      <c r="J44" s="78" t="s">
        <v>471</v>
      </c>
    </row>
    <row r="45" spans="1:10" ht="30" customHeight="1" x14ac:dyDescent="0.2">
      <c r="A45" s="73" t="s">
        <v>472</v>
      </c>
      <c r="B45" s="74" t="s">
        <v>473</v>
      </c>
      <c r="C45" s="74" t="s">
        <v>474</v>
      </c>
      <c r="D45" s="74" t="str">
        <f>TEXT(Financials!E20,"0.0%")&amp;" entity operating margin"</f>
        <v>21.5% entity operating margin</v>
      </c>
      <c r="E45" s="75" t="s">
        <v>300</v>
      </c>
      <c r="F45" s="76" t="str">
        <f>IF(Financials!E20&gt;=0.228,"On benchmark",IF(Financials!E20&gt;=0.205,"Watch","Below"))</f>
        <v>Watch</v>
      </c>
      <c r="G45" s="77" t="s">
        <v>475</v>
      </c>
      <c r="H45" s="77" t="s">
        <v>476</v>
      </c>
      <c r="I45" s="77" t="s">
        <v>477</v>
      </c>
      <c r="J45" s="78" t="s">
        <v>471</v>
      </c>
    </row>
    <row r="46" spans="1:10" ht="30" customHeight="1" x14ac:dyDescent="0.2">
      <c r="A46" s="73" t="s">
        <v>478</v>
      </c>
      <c r="B46" s="74" t="s">
        <v>479</v>
      </c>
      <c r="C46" s="74" t="s">
        <v>299</v>
      </c>
      <c r="D46" s="74" t="str">
        <f>TEXT(Financials!E22,"$#,##0")&amp;" per occupied unit per month"</f>
        <v>$6,679 per occupied unit per month</v>
      </c>
      <c r="E46" s="75" t="s">
        <v>300</v>
      </c>
      <c r="F46" s="83" t="s">
        <v>70</v>
      </c>
      <c r="G46" s="77" t="s">
        <v>480</v>
      </c>
      <c r="H46" s="77" t="s">
        <v>481</v>
      </c>
      <c r="I46" s="77" t="s">
        <v>482</v>
      </c>
      <c r="J46" s="78" t="s">
        <v>471</v>
      </c>
    </row>
    <row r="47" spans="1:10" ht="20" customHeight="1" x14ac:dyDescent="0.2">
      <c r="A47" s="73" t="s">
        <v>483</v>
      </c>
      <c r="B47" s="74" t="s">
        <v>484</v>
      </c>
      <c r="C47" s="74" t="s">
        <v>299</v>
      </c>
      <c r="D47" s="74" t="str">
        <f>TEXT(Financials!E23,"$#,##0")&amp;" per occupied unit per month"</f>
        <v>$5,245 per occupied unit per month</v>
      </c>
      <c r="E47" s="75" t="s">
        <v>300</v>
      </c>
      <c r="F47" s="83" t="s">
        <v>70</v>
      </c>
      <c r="G47" s="77" t="s">
        <v>485</v>
      </c>
      <c r="H47" s="77" t="s">
        <v>486</v>
      </c>
      <c r="I47" s="77" t="s">
        <v>487</v>
      </c>
      <c r="J47" s="78" t="s">
        <v>471</v>
      </c>
    </row>
    <row r="48" spans="1:10" ht="20" customHeight="1" x14ac:dyDescent="0.2">
      <c r="A48" s="73" t="s">
        <v>488</v>
      </c>
      <c r="B48" s="74" t="s">
        <v>489</v>
      </c>
      <c r="C48" s="74" t="s">
        <v>299</v>
      </c>
      <c r="D48" s="74" t="str">
        <f>TEXT(Financials!E21,"0.0%")&amp;" at recommended staffing"</f>
        <v>49.0% at recommended staffing</v>
      </c>
      <c r="E48" s="75" t="s">
        <v>300</v>
      </c>
      <c r="F48" s="76" t="str">
        <f>IF(Financials!E21&lt;=0.4,"On benchmark",IF(Financials!E21&lt;=0.44,"Watch","Below"))</f>
        <v>Below</v>
      </c>
      <c r="G48" s="77" t="s">
        <v>490</v>
      </c>
      <c r="H48" s="77" t="s">
        <v>491</v>
      </c>
      <c r="I48" s="77" t="s">
        <v>492</v>
      </c>
      <c r="J48" s="78" t="s">
        <v>471</v>
      </c>
    </row>
    <row r="49" spans="1:10" ht="50" customHeight="1" x14ac:dyDescent="0.2">
      <c r="A49" s="73" t="s">
        <v>493</v>
      </c>
      <c r="B49" s="74" t="s">
        <v>494</v>
      </c>
      <c r="C49" s="74" t="s">
        <v>299</v>
      </c>
      <c r="D49" s="74" t="s">
        <v>495</v>
      </c>
      <c r="E49" s="79" t="s">
        <v>308</v>
      </c>
      <c r="F49" s="83" t="s">
        <v>70</v>
      </c>
      <c r="G49" s="77" t="s">
        <v>496</v>
      </c>
      <c r="H49" s="77" t="s">
        <v>497</v>
      </c>
      <c r="I49" s="77" t="s">
        <v>498</v>
      </c>
      <c r="J49" s="78" t="s">
        <v>471</v>
      </c>
    </row>
    <row r="50" spans="1:10" ht="30" customHeight="1" x14ac:dyDescent="0.2">
      <c r="A50" s="73" t="s">
        <v>499</v>
      </c>
      <c r="B50" s="74" t="s">
        <v>500</v>
      </c>
      <c r="C50" s="74" t="s">
        <v>474</v>
      </c>
      <c r="D50" s="74" t="s">
        <v>501</v>
      </c>
      <c r="E50" s="79" t="s">
        <v>308</v>
      </c>
      <c r="F50" s="81" t="s">
        <v>68</v>
      </c>
      <c r="G50" s="77" t="s">
        <v>502</v>
      </c>
      <c r="H50" s="77" t="s">
        <v>503</v>
      </c>
      <c r="I50" s="77" t="s">
        <v>477</v>
      </c>
      <c r="J50" s="78" t="s">
        <v>471</v>
      </c>
    </row>
    <row r="51" spans="1:10" ht="30" customHeight="1" x14ac:dyDescent="0.2">
      <c r="A51" s="73" t="s">
        <v>504</v>
      </c>
      <c r="B51" s="74" t="s">
        <v>505</v>
      </c>
      <c r="C51" s="74" t="s">
        <v>474</v>
      </c>
      <c r="D51" s="74" t="s">
        <v>506</v>
      </c>
      <c r="E51" s="79" t="s">
        <v>308</v>
      </c>
      <c r="F51" s="81" t="s">
        <v>68</v>
      </c>
      <c r="G51" s="77" t="s">
        <v>507</v>
      </c>
      <c r="H51" s="77" t="s">
        <v>508</v>
      </c>
      <c r="I51" s="77" t="s">
        <v>509</v>
      </c>
      <c r="J51" s="78" t="s">
        <v>471</v>
      </c>
    </row>
    <row r="52" spans="1:10" ht="40" customHeight="1" x14ac:dyDescent="0.2">
      <c r="A52" s="73" t="s">
        <v>510</v>
      </c>
      <c r="B52" s="74" t="s">
        <v>511</v>
      </c>
      <c r="C52" s="74" t="s">
        <v>474</v>
      </c>
      <c r="D52" s="74" t="s">
        <v>512</v>
      </c>
      <c r="E52" s="79" t="s">
        <v>308</v>
      </c>
      <c r="F52" s="80" t="s">
        <v>67</v>
      </c>
      <c r="G52" s="77" t="s">
        <v>513</v>
      </c>
      <c r="H52" s="77" t="s">
        <v>508</v>
      </c>
      <c r="I52" s="77" t="s">
        <v>514</v>
      </c>
      <c r="J52" s="78" t="s">
        <v>471</v>
      </c>
    </row>
    <row r="53" spans="1:10" ht="20" customHeight="1" x14ac:dyDescent="0.2">
      <c r="A53" s="73" t="s">
        <v>515</v>
      </c>
      <c r="B53" s="74" t="s">
        <v>516</v>
      </c>
      <c r="C53" s="74" t="s">
        <v>474</v>
      </c>
      <c r="D53" s="74" t="s">
        <v>517</v>
      </c>
      <c r="E53" s="79" t="s">
        <v>308</v>
      </c>
      <c r="F53" s="81" t="s">
        <v>68</v>
      </c>
      <c r="G53" s="77" t="s">
        <v>518</v>
      </c>
      <c r="H53" s="77" t="s">
        <v>327</v>
      </c>
      <c r="I53" s="77" t="s">
        <v>519</v>
      </c>
      <c r="J53" s="78" t="s">
        <v>471</v>
      </c>
    </row>
    <row r="54" spans="1:10" ht="20" customHeight="1" x14ac:dyDescent="0.2">
      <c r="A54" s="73" t="s">
        <v>520</v>
      </c>
      <c r="B54" s="74" t="s">
        <v>521</v>
      </c>
      <c r="C54" s="74" t="s">
        <v>299</v>
      </c>
      <c r="D54" s="74" t="s">
        <v>522</v>
      </c>
      <c r="E54" s="79" t="s">
        <v>308</v>
      </c>
      <c r="F54" s="80" t="s">
        <v>67</v>
      </c>
      <c r="G54" s="77" t="s">
        <v>523</v>
      </c>
      <c r="H54" s="77" t="s">
        <v>524</v>
      </c>
      <c r="I54" s="77" t="s">
        <v>393</v>
      </c>
      <c r="J54" s="78" t="s">
        <v>471</v>
      </c>
    </row>
    <row r="55" spans="1:10" ht="20" customHeight="1" x14ac:dyDescent="0.2">
      <c r="A55" s="73" t="s">
        <v>525</v>
      </c>
      <c r="B55" s="74" t="s">
        <v>526</v>
      </c>
      <c r="C55" s="74" t="s">
        <v>299</v>
      </c>
      <c r="D55" s="74" t="s">
        <v>527</v>
      </c>
      <c r="E55" s="79" t="s">
        <v>308</v>
      </c>
      <c r="F55" s="80" t="s">
        <v>67</v>
      </c>
      <c r="G55" s="77" t="s">
        <v>528</v>
      </c>
      <c r="H55" s="77" t="s">
        <v>392</v>
      </c>
      <c r="I55" s="77" t="s">
        <v>393</v>
      </c>
      <c r="J55" s="78" t="s">
        <v>471</v>
      </c>
    </row>
    <row r="57" spans="1:10" ht="20" customHeight="1" x14ac:dyDescent="0.2">
      <c r="A57" s="131" t="s">
        <v>529</v>
      </c>
      <c r="B57" s="132"/>
      <c r="C57" s="132"/>
      <c r="D57" s="132"/>
      <c r="E57" s="132"/>
      <c r="F57" s="132"/>
      <c r="G57" s="132"/>
      <c r="H57" s="132"/>
      <c r="I57" s="132"/>
    </row>
    <row r="58" spans="1:10" ht="20" customHeight="1" x14ac:dyDescent="0.2">
      <c r="A58" s="73" t="s">
        <v>530</v>
      </c>
      <c r="B58" s="74" t="s">
        <v>531</v>
      </c>
      <c r="C58" s="74" t="s">
        <v>299</v>
      </c>
      <c r="D58" s="74" t="s">
        <v>532</v>
      </c>
      <c r="E58" s="79" t="s">
        <v>308</v>
      </c>
      <c r="F58" s="82" t="s">
        <v>359</v>
      </c>
      <c r="G58" s="77" t="s">
        <v>533</v>
      </c>
      <c r="H58" s="77" t="s">
        <v>327</v>
      </c>
      <c r="I58" s="77" t="s">
        <v>534</v>
      </c>
      <c r="J58" s="78" t="s">
        <v>535</v>
      </c>
    </row>
    <row r="59" spans="1:10" ht="30" customHeight="1" x14ac:dyDescent="0.2">
      <c r="A59" s="73" t="s">
        <v>536</v>
      </c>
      <c r="B59" s="74" t="s">
        <v>537</v>
      </c>
      <c r="C59" s="74" t="s">
        <v>299</v>
      </c>
      <c r="D59" s="74" t="s">
        <v>538</v>
      </c>
      <c r="E59" s="79" t="s">
        <v>308</v>
      </c>
      <c r="F59" s="82" t="s">
        <v>359</v>
      </c>
      <c r="G59" s="77" t="s">
        <v>539</v>
      </c>
      <c r="H59" s="77" t="s">
        <v>327</v>
      </c>
      <c r="I59" s="77" t="s">
        <v>534</v>
      </c>
      <c r="J59" s="78" t="s">
        <v>535</v>
      </c>
    </row>
    <row r="60" spans="1:10" ht="15" customHeight="1" x14ac:dyDescent="0.2">
      <c r="A60" s="73" t="s">
        <v>540</v>
      </c>
      <c r="B60" s="74" t="s">
        <v>541</v>
      </c>
      <c r="C60" s="74" t="s">
        <v>299</v>
      </c>
      <c r="D60" s="74" t="s">
        <v>542</v>
      </c>
      <c r="E60" s="79" t="s">
        <v>308</v>
      </c>
      <c r="F60" s="82" t="s">
        <v>359</v>
      </c>
      <c r="G60" s="77" t="s">
        <v>543</v>
      </c>
      <c r="H60" s="77" t="s">
        <v>310</v>
      </c>
      <c r="I60" s="77" t="s">
        <v>534</v>
      </c>
      <c r="J60" s="78" t="s">
        <v>535</v>
      </c>
    </row>
    <row r="61" spans="1:10" ht="15" customHeight="1" x14ac:dyDescent="0.2">
      <c r="A61" s="73" t="s">
        <v>544</v>
      </c>
      <c r="B61" s="74" t="s">
        <v>545</v>
      </c>
      <c r="C61" s="74" t="s">
        <v>299</v>
      </c>
      <c r="D61" s="74" t="s">
        <v>546</v>
      </c>
      <c r="E61" s="79" t="s">
        <v>308</v>
      </c>
      <c r="F61" s="82" t="s">
        <v>359</v>
      </c>
      <c r="G61" s="77" t="s">
        <v>547</v>
      </c>
      <c r="H61" s="77" t="s">
        <v>310</v>
      </c>
      <c r="I61" s="77" t="s">
        <v>548</v>
      </c>
      <c r="J61" s="78" t="s">
        <v>535</v>
      </c>
    </row>
    <row r="62" spans="1:10" ht="20" customHeight="1" x14ac:dyDescent="0.2">
      <c r="A62" s="73" t="s">
        <v>549</v>
      </c>
      <c r="B62" s="74" t="s">
        <v>550</v>
      </c>
      <c r="C62" s="74" t="s">
        <v>299</v>
      </c>
      <c r="D62" s="74" t="s">
        <v>551</v>
      </c>
      <c r="E62" s="79" t="s">
        <v>308</v>
      </c>
      <c r="F62" s="82" t="s">
        <v>359</v>
      </c>
      <c r="G62" s="77" t="s">
        <v>552</v>
      </c>
      <c r="H62" s="77" t="s">
        <v>553</v>
      </c>
      <c r="I62" s="77" t="s">
        <v>554</v>
      </c>
      <c r="J62" s="78" t="s">
        <v>535</v>
      </c>
    </row>
    <row r="63" spans="1:10" ht="15" customHeight="1" x14ac:dyDescent="0.2">
      <c r="A63" s="73" t="s">
        <v>555</v>
      </c>
      <c r="B63" s="74" t="s">
        <v>556</v>
      </c>
      <c r="C63" s="74" t="s">
        <v>299</v>
      </c>
      <c r="D63" s="74" t="s">
        <v>557</v>
      </c>
      <c r="E63" s="79" t="s">
        <v>308</v>
      </c>
      <c r="F63" s="82" t="s">
        <v>359</v>
      </c>
      <c r="G63" s="77" t="s">
        <v>558</v>
      </c>
      <c r="H63" s="77" t="s">
        <v>310</v>
      </c>
      <c r="I63" s="77" t="s">
        <v>559</v>
      </c>
      <c r="J63" s="78" t="s">
        <v>535</v>
      </c>
    </row>
    <row r="64" spans="1:10" ht="15" customHeight="1" x14ac:dyDescent="0.2">
      <c r="A64" s="73" t="s">
        <v>560</v>
      </c>
      <c r="B64" s="74" t="s">
        <v>561</v>
      </c>
      <c r="C64" s="74" t="s">
        <v>299</v>
      </c>
      <c r="D64" s="74" t="s">
        <v>562</v>
      </c>
      <c r="E64" s="79" t="s">
        <v>308</v>
      </c>
      <c r="F64" s="81" t="s">
        <v>68</v>
      </c>
      <c r="G64" s="77" t="s">
        <v>563</v>
      </c>
      <c r="H64" s="77" t="s">
        <v>310</v>
      </c>
      <c r="I64" s="77" t="s">
        <v>559</v>
      </c>
      <c r="J64" s="78" t="s">
        <v>535</v>
      </c>
    </row>
    <row r="65" spans="1:10" ht="20" customHeight="1" x14ac:dyDescent="0.2">
      <c r="A65" s="73" t="s">
        <v>564</v>
      </c>
      <c r="B65" s="74" t="s">
        <v>565</v>
      </c>
      <c r="C65" s="74" t="s">
        <v>299</v>
      </c>
      <c r="D65" s="74" t="s">
        <v>566</v>
      </c>
      <c r="E65" s="79" t="s">
        <v>308</v>
      </c>
      <c r="F65" s="81" t="s">
        <v>68</v>
      </c>
      <c r="G65" s="77" t="s">
        <v>567</v>
      </c>
      <c r="H65" s="77" t="s">
        <v>327</v>
      </c>
      <c r="I65" s="77" t="s">
        <v>328</v>
      </c>
      <c r="J65" s="78" t="s">
        <v>535</v>
      </c>
    </row>
    <row r="66" spans="1:10" ht="30" customHeight="1" x14ac:dyDescent="0.2">
      <c r="A66" s="73" t="s">
        <v>568</v>
      </c>
      <c r="B66" s="74" t="s">
        <v>569</v>
      </c>
      <c r="C66" s="74" t="s">
        <v>299</v>
      </c>
      <c r="D66" s="74" t="s">
        <v>570</v>
      </c>
      <c r="E66" s="79" t="s">
        <v>308</v>
      </c>
      <c r="F66" s="81" t="s">
        <v>68</v>
      </c>
      <c r="G66" s="77" t="s">
        <v>571</v>
      </c>
      <c r="H66" s="77" t="s">
        <v>572</v>
      </c>
      <c r="I66" s="77" t="s">
        <v>573</v>
      </c>
      <c r="J66" s="78" t="s">
        <v>535</v>
      </c>
    </row>
    <row r="67" spans="1:10" ht="20" customHeight="1" x14ac:dyDescent="0.2">
      <c r="A67" s="73" t="s">
        <v>574</v>
      </c>
      <c r="B67" s="74" t="s">
        <v>575</v>
      </c>
      <c r="C67" s="74" t="s">
        <v>299</v>
      </c>
      <c r="D67" s="74" t="s">
        <v>576</v>
      </c>
      <c r="E67" s="79" t="s">
        <v>308</v>
      </c>
      <c r="F67" s="81" t="s">
        <v>68</v>
      </c>
      <c r="G67" s="77" t="s">
        <v>577</v>
      </c>
      <c r="H67" s="77" t="s">
        <v>578</v>
      </c>
      <c r="I67" s="77" t="s">
        <v>579</v>
      </c>
      <c r="J67" s="78" t="s">
        <v>535</v>
      </c>
    </row>
    <row r="68" spans="1:10" ht="20" customHeight="1" x14ac:dyDescent="0.2">
      <c r="A68" s="73" t="s">
        <v>580</v>
      </c>
      <c r="B68" s="74" t="s">
        <v>581</v>
      </c>
      <c r="C68" s="74" t="s">
        <v>299</v>
      </c>
      <c r="D68" s="74" t="s">
        <v>582</v>
      </c>
      <c r="E68" s="79" t="s">
        <v>308</v>
      </c>
      <c r="F68" s="82" t="s">
        <v>359</v>
      </c>
      <c r="G68" s="77" t="s">
        <v>583</v>
      </c>
      <c r="H68" s="77" t="s">
        <v>584</v>
      </c>
      <c r="I68" s="77" t="s">
        <v>393</v>
      </c>
      <c r="J68" s="78" t="s">
        <v>535</v>
      </c>
    </row>
    <row r="70" spans="1:10" ht="20" customHeight="1" x14ac:dyDescent="0.2">
      <c r="A70" s="131" t="s">
        <v>585</v>
      </c>
      <c r="B70" s="132"/>
      <c r="C70" s="132"/>
      <c r="D70" s="132"/>
      <c r="E70" s="132"/>
      <c r="F70" s="132"/>
      <c r="G70" s="132"/>
      <c r="H70" s="132"/>
      <c r="I70" s="132"/>
    </row>
    <row r="71" spans="1:10" ht="20" customHeight="1" x14ac:dyDescent="0.2">
      <c r="A71" s="73" t="s">
        <v>586</v>
      </c>
      <c r="B71" s="74" t="s">
        <v>587</v>
      </c>
      <c r="C71" s="74" t="s">
        <v>299</v>
      </c>
      <c r="D71" s="74" t="s">
        <v>588</v>
      </c>
      <c r="E71" s="79" t="s">
        <v>308</v>
      </c>
      <c r="F71" s="80" t="s">
        <v>67</v>
      </c>
      <c r="G71" s="77" t="s">
        <v>589</v>
      </c>
      <c r="H71" s="77" t="s">
        <v>590</v>
      </c>
      <c r="I71" s="77" t="s">
        <v>591</v>
      </c>
      <c r="J71" s="78" t="s">
        <v>592</v>
      </c>
    </row>
    <row r="72" spans="1:10" ht="15" customHeight="1" x14ac:dyDescent="0.2">
      <c r="A72" s="73" t="s">
        <v>593</v>
      </c>
      <c r="B72" s="74" t="s">
        <v>594</v>
      </c>
      <c r="C72" s="74" t="s">
        <v>299</v>
      </c>
      <c r="D72" s="74" t="s">
        <v>595</v>
      </c>
      <c r="E72" s="79" t="s">
        <v>308</v>
      </c>
      <c r="F72" s="81" t="s">
        <v>68</v>
      </c>
      <c r="G72" s="77" t="s">
        <v>596</v>
      </c>
      <c r="H72" s="77" t="s">
        <v>597</v>
      </c>
      <c r="I72" s="77" t="s">
        <v>591</v>
      </c>
      <c r="J72" s="78" t="s">
        <v>592</v>
      </c>
    </row>
    <row r="73" spans="1:10" ht="20" customHeight="1" x14ac:dyDescent="0.2">
      <c r="A73" s="73" t="s">
        <v>598</v>
      </c>
      <c r="B73" s="74" t="s">
        <v>599</v>
      </c>
      <c r="C73" s="74" t="s">
        <v>299</v>
      </c>
      <c r="D73" s="74" t="s">
        <v>600</v>
      </c>
      <c r="E73" s="79" t="s">
        <v>308</v>
      </c>
      <c r="F73" s="80" t="s">
        <v>67</v>
      </c>
      <c r="G73" s="77" t="s">
        <v>601</v>
      </c>
      <c r="H73" s="77" t="s">
        <v>597</v>
      </c>
      <c r="I73" s="77" t="s">
        <v>591</v>
      </c>
      <c r="J73" s="78" t="s">
        <v>592</v>
      </c>
    </row>
    <row r="74" spans="1:10" ht="20" customHeight="1" x14ac:dyDescent="0.2">
      <c r="A74" s="73" t="s">
        <v>602</v>
      </c>
      <c r="B74" s="74" t="s">
        <v>603</v>
      </c>
      <c r="C74" s="74" t="s">
        <v>299</v>
      </c>
      <c r="D74" s="74" t="s">
        <v>604</v>
      </c>
      <c r="E74" s="79" t="s">
        <v>308</v>
      </c>
      <c r="F74" s="82" t="s">
        <v>359</v>
      </c>
      <c r="G74" s="77" t="s">
        <v>605</v>
      </c>
      <c r="H74" s="77" t="s">
        <v>597</v>
      </c>
      <c r="I74" s="77" t="s">
        <v>591</v>
      </c>
      <c r="J74" s="78" t="s">
        <v>592</v>
      </c>
    </row>
    <row r="75" spans="1:10" ht="15" customHeight="1" x14ac:dyDescent="0.2">
      <c r="A75" s="73" t="s">
        <v>606</v>
      </c>
      <c r="B75" s="74" t="s">
        <v>607</v>
      </c>
      <c r="C75" s="74" t="s">
        <v>299</v>
      </c>
      <c r="D75" s="74" t="s">
        <v>608</v>
      </c>
      <c r="E75" s="79" t="s">
        <v>308</v>
      </c>
      <c r="F75" s="81" t="s">
        <v>68</v>
      </c>
      <c r="G75" s="77" t="s">
        <v>609</v>
      </c>
      <c r="H75" s="77" t="s">
        <v>597</v>
      </c>
      <c r="I75" s="77" t="s">
        <v>591</v>
      </c>
      <c r="J75" s="78" t="s">
        <v>592</v>
      </c>
    </row>
    <row r="76" spans="1:10" ht="15" customHeight="1" x14ac:dyDescent="0.2">
      <c r="A76" s="73" t="s">
        <v>610</v>
      </c>
      <c r="B76" s="74" t="s">
        <v>611</v>
      </c>
      <c r="C76" s="74" t="s">
        <v>299</v>
      </c>
      <c r="D76" s="74" t="s">
        <v>612</v>
      </c>
      <c r="E76" s="79" t="s">
        <v>308</v>
      </c>
      <c r="F76" s="83" t="s">
        <v>70</v>
      </c>
      <c r="G76" s="77" t="s">
        <v>613</v>
      </c>
      <c r="H76" s="77" t="s">
        <v>597</v>
      </c>
      <c r="I76" s="77" t="s">
        <v>614</v>
      </c>
      <c r="J76" s="78" t="s">
        <v>592</v>
      </c>
    </row>
    <row r="77" spans="1:10" ht="20" customHeight="1" x14ac:dyDescent="0.2">
      <c r="A77" s="73" t="s">
        <v>615</v>
      </c>
      <c r="B77" s="74" t="s">
        <v>616</v>
      </c>
      <c r="C77" s="74" t="s">
        <v>299</v>
      </c>
      <c r="D77" s="74" t="s">
        <v>617</v>
      </c>
      <c r="E77" s="79" t="s">
        <v>308</v>
      </c>
      <c r="F77" s="82" t="s">
        <v>359</v>
      </c>
      <c r="G77" s="77" t="s">
        <v>618</v>
      </c>
      <c r="H77" s="77" t="s">
        <v>619</v>
      </c>
      <c r="I77" s="77" t="s">
        <v>591</v>
      </c>
      <c r="J77" s="78" t="s">
        <v>592</v>
      </c>
    </row>
    <row r="78" spans="1:10" ht="20" customHeight="1" x14ac:dyDescent="0.2">
      <c r="A78" s="73" t="s">
        <v>620</v>
      </c>
      <c r="B78" s="74" t="s">
        <v>621</v>
      </c>
      <c r="C78" s="74" t="s">
        <v>299</v>
      </c>
      <c r="D78" s="74" t="s">
        <v>622</v>
      </c>
      <c r="E78" s="79" t="s">
        <v>308</v>
      </c>
      <c r="F78" s="80" t="s">
        <v>67</v>
      </c>
      <c r="G78" s="77" t="s">
        <v>623</v>
      </c>
      <c r="H78" s="77" t="s">
        <v>624</v>
      </c>
      <c r="I78" s="77" t="s">
        <v>625</v>
      </c>
      <c r="J78" s="78" t="s">
        <v>592</v>
      </c>
    </row>
    <row r="79" spans="1:10" ht="30" customHeight="1" x14ac:dyDescent="0.2">
      <c r="A79" s="73" t="s">
        <v>626</v>
      </c>
      <c r="B79" s="74" t="s">
        <v>627</v>
      </c>
      <c r="C79" s="74" t="s">
        <v>474</v>
      </c>
      <c r="D79" s="74" t="s">
        <v>628</v>
      </c>
      <c r="E79" s="79" t="s">
        <v>308</v>
      </c>
      <c r="F79" s="81" t="s">
        <v>68</v>
      </c>
      <c r="G79" s="77" t="s">
        <v>629</v>
      </c>
      <c r="H79" s="77" t="s">
        <v>503</v>
      </c>
      <c r="I79" s="77" t="s">
        <v>509</v>
      </c>
      <c r="J79" s="78" t="s">
        <v>592</v>
      </c>
    </row>
    <row r="80" spans="1:10" ht="30" customHeight="1" x14ac:dyDescent="0.2">
      <c r="A80" s="73" t="s">
        <v>630</v>
      </c>
      <c r="B80" s="74" t="s">
        <v>631</v>
      </c>
      <c r="C80" s="74" t="s">
        <v>299</v>
      </c>
      <c r="D80" s="74" t="s">
        <v>632</v>
      </c>
      <c r="E80" s="79" t="s">
        <v>308</v>
      </c>
      <c r="F80" s="80" t="s">
        <v>67</v>
      </c>
      <c r="G80" s="77" t="s">
        <v>633</v>
      </c>
      <c r="H80" s="77" t="s">
        <v>634</v>
      </c>
      <c r="I80" s="77" t="s">
        <v>635</v>
      </c>
      <c r="J80" s="78" t="s">
        <v>592</v>
      </c>
    </row>
    <row r="82" spans="1:10" ht="20" customHeight="1" x14ac:dyDescent="0.2">
      <c r="A82" s="131" t="s">
        <v>636</v>
      </c>
      <c r="B82" s="132"/>
      <c r="C82" s="132"/>
      <c r="D82" s="132"/>
      <c r="E82" s="132"/>
      <c r="F82" s="132"/>
      <c r="G82" s="132"/>
      <c r="H82" s="132"/>
      <c r="I82" s="132"/>
    </row>
    <row r="83" spans="1:10" ht="15" customHeight="1" x14ac:dyDescent="0.2">
      <c r="A83" s="73" t="s">
        <v>637</v>
      </c>
      <c r="B83" s="74" t="s">
        <v>638</v>
      </c>
      <c r="C83" s="74" t="s">
        <v>299</v>
      </c>
      <c r="D83" s="74" t="s">
        <v>639</v>
      </c>
      <c r="E83" s="79" t="s">
        <v>308</v>
      </c>
      <c r="F83" s="81" t="s">
        <v>68</v>
      </c>
      <c r="G83" s="77" t="s">
        <v>640</v>
      </c>
      <c r="H83" s="77" t="s">
        <v>310</v>
      </c>
      <c r="I83" s="77" t="s">
        <v>641</v>
      </c>
      <c r="J83" s="78" t="s">
        <v>642</v>
      </c>
    </row>
    <row r="84" spans="1:10" ht="40" customHeight="1" x14ac:dyDescent="0.2">
      <c r="A84" s="73" t="s">
        <v>643</v>
      </c>
      <c r="B84" s="74" t="s">
        <v>644</v>
      </c>
      <c r="C84" s="74" t="s">
        <v>299</v>
      </c>
      <c r="D84" s="74" t="s">
        <v>645</v>
      </c>
      <c r="E84" s="79" t="s">
        <v>308</v>
      </c>
      <c r="F84" s="81" t="s">
        <v>68</v>
      </c>
      <c r="G84" s="77" t="s">
        <v>646</v>
      </c>
      <c r="H84" s="77" t="s">
        <v>310</v>
      </c>
      <c r="I84" s="77" t="s">
        <v>647</v>
      </c>
      <c r="J84" s="78" t="s">
        <v>642</v>
      </c>
    </row>
    <row r="85" spans="1:10" ht="20" customHeight="1" x14ac:dyDescent="0.2">
      <c r="A85" s="73" t="s">
        <v>648</v>
      </c>
      <c r="B85" s="74" t="s">
        <v>649</v>
      </c>
      <c r="C85" s="74" t="s">
        <v>299</v>
      </c>
      <c r="D85" s="74" t="s">
        <v>390</v>
      </c>
      <c r="E85" s="79" t="s">
        <v>308</v>
      </c>
      <c r="F85" s="80" t="s">
        <v>67</v>
      </c>
      <c r="G85" s="77" t="s">
        <v>650</v>
      </c>
      <c r="H85" s="77" t="s">
        <v>651</v>
      </c>
      <c r="I85" s="77" t="s">
        <v>328</v>
      </c>
      <c r="J85" s="78" t="s">
        <v>642</v>
      </c>
    </row>
    <row r="86" spans="1:10" ht="15" customHeight="1" x14ac:dyDescent="0.2">
      <c r="A86" s="73" t="s">
        <v>652</v>
      </c>
      <c r="B86" s="74" t="s">
        <v>653</v>
      </c>
      <c r="C86" s="74" t="s">
        <v>313</v>
      </c>
      <c r="D86" s="74" t="s">
        <v>654</v>
      </c>
      <c r="E86" s="79" t="s">
        <v>308</v>
      </c>
      <c r="F86" s="82" t="s">
        <v>359</v>
      </c>
      <c r="G86" s="77" t="s">
        <v>655</v>
      </c>
      <c r="H86" s="77" t="s">
        <v>327</v>
      </c>
      <c r="I86" s="77" t="s">
        <v>656</v>
      </c>
      <c r="J86" s="78" t="s">
        <v>642</v>
      </c>
    </row>
    <row r="87" spans="1:10" ht="30" customHeight="1" x14ac:dyDescent="0.2">
      <c r="A87" s="73" t="s">
        <v>657</v>
      </c>
      <c r="B87" s="74" t="s">
        <v>658</v>
      </c>
      <c r="C87" s="74" t="s">
        <v>299</v>
      </c>
      <c r="D87" s="74" t="s">
        <v>659</v>
      </c>
      <c r="E87" s="79" t="s">
        <v>308</v>
      </c>
      <c r="F87" s="83" t="s">
        <v>70</v>
      </c>
      <c r="G87" s="77" t="s">
        <v>660</v>
      </c>
      <c r="H87" s="77" t="s">
        <v>310</v>
      </c>
      <c r="I87" s="77" t="s">
        <v>647</v>
      </c>
      <c r="J87" s="78" t="s">
        <v>642</v>
      </c>
    </row>
    <row r="88" spans="1:10" ht="20" customHeight="1" x14ac:dyDescent="0.2">
      <c r="A88" s="73" t="s">
        <v>661</v>
      </c>
      <c r="B88" s="74" t="s">
        <v>662</v>
      </c>
      <c r="C88" s="74" t="s">
        <v>299</v>
      </c>
      <c r="D88" s="74" t="s">
        <v>663</v>
      </c>
      <c r="E88" s="79" t="s">
        <v>308</v>
      </c>
      <c r="F88" s="82" t="s">
        <v>359</v>
      </c>
      <c r="G88" s="77" t="s">
        <v>664</v>
      </c>
      <c r="H88" s="77" t="s">
        <v>310</v>
      </c>
      <c r="I88" s="77" t="s">
        <v>665</v>
      </c>
      <c r="J88" s="78" t="s">
        <v>642</v>
      </c>
    </row>
    <row r="90" spans="1:10" ht="20" customHeight="1" x14ac:dyDescent="0.2">
      <c r="A90" s="131" t="s">
        <v>666</v>
      </c>
      <c r="B90" s="132"/>
      <c r="C90" s="132"/>
      <c r="D90" s="132"/>
      <c r="E90" s="132"/>
      <c r="F90" s="132"/>
      <c r="G90" s="132"/>
      <c r="H90" s="132"/>
      <c r="I90" s="132"/>
    </row>
    <row r="91" spans="1:10" ht="30" customHeight="1" x14ac:dyDescent="0.2">
      <c r="A91" s="73" t="s">
        <v>667</v>
      </c>
      <c r="B91" s="74" t="s">
        <v>668</v>
      </c>
      <c r="C91" s="74" t="s">
        <v>299</v>
      </c>
      <c r="D91" s="74" t="str">
        <f>TEXT(IFERROR((Financials!F11*Inputs!C86)/(Inputs!E19*365),0),"$#,##0.00")&amp;" per resident day"</f>
        <v>$5.72 per resident day</v>
      </c>
      <c r="E91" s="75" t="s">
        <v>300</v>
      </c>
      <c r="F91" s="76" t="str">
        <f>IF(AND(IFERROR((Financials!F11*Inputs!C86)/(Inputs!E19*365),0)&gt;=4.5,IFERROR((Financials!F11*Inputs!C86)/(Inputs!E19*365),0)&lt;=6.5),"On benchmark","Watch")</f>
        <v>On benchmark</v>
      </c>
      <c r="G91" s="77" t="s">
        <v>669</v>
      </c>
      <c r="H91" s="77" t="s">
        <v>670</v>
      </c>
      <c r="I91" s="77" t="s">
        <v>671</v>
      </c>
      <c r="J91" s="78" t="s">
        <v>672</v>
      </c>
    </row>
    <row r="92" spans="1:10" ht="15" customHeight="1" x14ac:dyDescent="0.2">
      <c r="A92" s="73" t="s">
        <v>673</v>
      </c>
      <c r="B92" s="74" t="s">
        <v>674</v>
      </c>
      <c r="C92" s="74" t="s">
        <v>299</v>
      </c>
      <c r="D92" s="74" t="str">
        <f>TEXT(IFERROR(((Financials!F11*Inputs!C86)+'Staffing Model'!L12)/(Inputs!E19*365),0),"$#,##0.00")&amp;" per resident day"</f>
        <v>$21.19 per resident day</v>
      </c>
      <c r="E92" s="75" t="s">
        <v>300</v>
      </c>
      <c r="F92" s="83" t="s">
        <v>70</v>
      </c>
      <c r="G92" s="77" t="s">
        <v>675</v>
      </c>
      <c r="H92" s="77" t="s">
        <v>676</v>
      </c>
      <c r="I92" s="77" t="s">
        <v>677</v>
      </c>
      <c r="J92" s="78" t="s">
        <v>672</v>
      </c>
    </row>
    <row r="93" spans="1:10" ht="15" customHeight="1" x14ac:dyDescent="0.2">
      <c r="A93" s="73" t="s">
        <v>678</v>
      </c>
      <c r="B93" s="74" t="s">
        <v>679</v>
      </c>
      <c r="C93" s="74" t="s">
        <v>313</v>
      </c>
      <c r="D93" s="74" t="s">
        <v>680</v>
      </c>
      <c r="E93" s="79" t="s">
        <v>308</v>
      </c>
      <c r="F93" s="81" t="s">
        <v>68</v>
      </c>
      <c r="G93" s="77" t="s">
        <v>681</v>
      </c>
      <c r="H93" s="77" t="s">
        <v>310</v>
      </c>
      <c r="I93" s="77" t="s">
        <v>682</v>
      </c>
      <c r="J93" s="78" t="s">
        <v>672</v>
      </c>
    </row>
    <row r="94" spans="1:10" ht="15" customHeight="1" x14ac:dyDescent="0.2">
      <c r="A94" s="73" t="s">
        <v>683</v>
      </c>
      <c r="B94" s="74" t="s">
        <v>684</v>
      </c>
      <c r="C94" s="74" t="s">
        <v>299</v>
      </c>
      <c r="D94" s="74" t="s">
        <v>685</v>
      </c>
      <c r="E94" s="79" t="s">
        <v>308</v>
      </c>
      <c r="F94" s="82" t="s">
        <v>359</v>
      </c>
      <c r="G94" s="77" t="s">
        <v>686</v>
      </c>
      <c r="H94" s="77" t="s">
        <v>687</v>
      </c>
      <c r="I94" s="77" t="s">
        <v>328</v>
      </c>
      <c r="J94" s="78" t="s">
        <v>672</v>
      </c>
    </row>
    <row r="95" spans="1:10" ht="20" customHeight="1" x14ac:dyDescent="0.2">
      <c r="A95" s="73" t="s">
        <v>688</v>
      </c>
      <c r="B95" s="74" t="s">
        <v>689</v>
      </c>
      <c r="C95" s="74" t="s">
        <v>402</v>
      </c>
      <c r="D95" s="74" t="s">
        <v>690</v>
      </c>
      <c r="E95" s="79" t="s">
        <v>308</v>
      </c>
      <c r="F95" s="80" t="s">
        <v>67</v>
      </c>
      <c r="G95" s="77" t="s">
        <v>691</v>
      </c>
      <c r="H95" s="77" t="s">
        <v>692</v>
      </c>
      <c r="I95" s="77" t="s">
        <v>693</v>
      </c>
      <c r="J95" s="78" t="s">
        <v>672</v>
      </c>
    </row>
    <row r="96" spans="1:10" ht="15" customHeight="1" x14ac:dyDescent="0.2">
      <c r="A96" s="73" t="s">
        <v>694</v>
      </c>
      <c r="B96" s="74" t="s">
        <v>695</v>
      </c>
      <c r="C96" s="74" t="s">
        <v>402</v>
      </c>
      <c r="D96" s="74" t="s">
        <v>696</v>
      </c>
      <c r="E96" s="79" t="s">
        <v>308</v>
      </c>
      <c r="F96" s="80" t="s">
        <v>67</v>
      </c>
      <c r="G96" s="77" t="s">
        <v>697</v>
      </c>
      <c r="H96" s="77" t="s">
        <v>698</v>
      </c>
      <c r="I96" s="77" t="s">
        <v>699</v>
      </c>
      <c r="J96" s="78" t="s">
        <v>672</v>
      </c>
    </row>
    <row r="97" spans="1:10" ht="15" customHeight="1" x14ac:dyDescent="0.2">
      <c r="A97" s="73" t="s">
        <v>700</v>
      </c>
      <c r="B97" s="74" t="s">
        <v>701</v>
      </c>
      <c r="C97" s="74" t="s">
        <v>299</v>
      </c>
      <c r="D97" s="74" t="s">
        <v>702</v>
      </c>
      <c r="E97" s="79" t="s">
        <v>308</v>
      </c>
      <c r="F97" s="80" t="s">
        <v>67</v>
      </c>
      <c r="G97" s="77" t="s">
        <v>703</v>
      </c>
      <c r="H97" s="77" t="s">
        <v>704</v>
      </c>
      <c r="I97" s="77" t="s">
        <v>705</v>
      </c>
      <c r="J97" s="78" t="s">
        <v>672</v>
      </c>
    </row>
    <row r="98" spans="1:10" ht="20" customHeight="1" x14ac:dyDescent="0.2">
      <c r="A98" s="73" t="s">
        <v>706</v>
      </c>
      <c r="B98" s="74" t="s">
        <v>707</v>
      </c>
      <c r="C98" s="74" t="s">
        <v>81</v>
      </c>
      <c r="D98" s="74" t="s">
        <v>708</v>
      </c>
      <c r="E98" s="79" t="s">
        <v>308</v>
      </c>
      <c r="F98" s="81" t="s">
        <v>68</v>
      </c>
      <c r="G98" s="77" t="s">
        <v>709</v>
      </c>
      <c r="H98" s="77" t="s">
        <v>584</v>
      </c>
      <c r="I98" s="77" t="s">
        <v>393</v>
      </c>
      <c r="J98" s="78" t="s">
        <v>672</v>
      </c>
    </row>
    <row r="99" spans="1:10" ht="15" customHeight="1" x14ac:dyDescent="0.2">
      <c r="A99" s="73" t="s">
        <v>710</v>
      </c>
      <c r="B99" s="74" t="s">
        <v>711</v>
      </c>
      <c r="C99" s="74" t="s">
        <v>299</v>
      </c>
      <c r="D99" s="74" t="s">
        <v>712</v>
      </c>
      <c r="E99" s="79" t="s">
        <v>308</v>
      </c>
      <c r="F99" s="81" t="s">
        <v>68</v>
      </c>
      <c r="G99" s="77" t="s">
        <v>713</v>
      </c>
      <c r="H99" s="77" t="s">
        <v>524</v>
      </c>
      <c r="I99" s="77" t="s">
        <v>393</v>
      </c>
      <c r="J99" s="78" t="s">
        <v>672</v>
      </c>
    </row>
    <row r="101" spans="1:10" ht="20" customHeight="1" x14ac:dyDescent="0.2">
      <c r="A101" s="131" t="s">
        <v>714</v>
      </c>
      <c r="B101" s="132"/>
      <c r="C101" s="132"/>
      <c r="D101" s="132"/>
      <c r="E101" s="132"/>
      <c r="F101" s="132"/>
      <c r="G101" s="132"/>
      <c r="H101" s="132"/>
      <c r="I101" s="132"/>
    </row>
    <row r="102" spans="1:10" ht="60" customHeight="1" x14ac:dyDescent="0.2">
      <c r="A102" s="73" t="s">
        <v>715</v>
      </c>
      <c r="B102" s="74" t="s">
        <v>716</v>
      </c>
      <c r="C102" s="74" t="s">
        <v>81</v>
      </c>
      <c r="D102" s="74" t="s">
        <v>717</v>
      </c>
      <c r="E102" s="84" t="s">
        <v>718</v>
      </c>
      <c r="F102" s="85" t="s">
        <v>72</v>
      </c>
      <c r="G102" s="77" t="s">
        <v>719</v>
      </c>
      <c r="H102" s="77" t="s">
        <v>720</v>
      </c>
      <c r="I102" s="77" t="s">
        <v>721</v>
      </c>
      <c r="J102" s="78" t="s">
        <v>722</v>
      </c>
    </row>
    <row r="103" spans="1:10" ht="40" customHeight="1" x14ac:dyDescent="0.2">
      <c r="A103" s="73" t="s">
        <v>723</v>
      </c>
      <c r="B103" s="74" t="s">
        <v>724</v>
      </c>
      <c r="C103" s="74" t="s">
        <v>81</v>
      </c>
      <c r="D103" s="74" t="s">
        <v>725</v>
      </c>
      <c r="E103" s="84" t="s">
        <v>718</v>
      </c>
      <c r="F103" s="85" t="s">
        <v>72</v>
      </c>
      <c r="G103" s="77" t="s">
        <v>726</v>
      </c>
      <c r="H103" s="77" t="s">
        <v>727</v>
      </c>
      <c r="I103" s="77" t="s">
        <v>728</v>
      </c>
      <c r="J103" s="78" t="s">
        <v>722</v>
      </c>
    </row>
    <row r="104" spans="1:10" ht="30" customHeight="1" x14ac:dyDescent="0.2">
      <c r="A104" s="73" t="s">
        <v>729</v>
      </c>
      <c r="B104" s="74" t="s">
        <v>730</v>
      </c>
      <c r="C104" s="74" t="s">
        <v>81</v>
      </c>
      <c r="D104" s="74" t="s">
        <v>731</v>
      </c>
      <c r="E104" s="84" t="s">
        <v>718</v>
      </c>
      <c r="F104" s="85" t="s">
        <v>72</v>
      </c>
      <c r="G104" s="77" t="s">
        <v>732</v>
      </c>
      <c r="H104" s="77" t="s">
        <v>733</v>
      </c>
      <c r="I104" s="77" t="s">
        <v>734</v>
      </c>
      <c r="J104" s="78" t="s">
        <v>722</v>
      </c>
    </row>
    <row r="105" spans="1:10" ht="60" customHeight="1" x14ac:dyDescent="0.2">
      <c r="A105" s="73" t="s">
        <v>735</v>
      </c>
      <c r="B105" s="74" t="s">
        <v>736</v>
      </c>
      <c r="C105" s="74" t="s">
        <v>81</v>
      </c>
      <c r="D105" s="74" t="s">
        <v>737</v>
      </c>
      <c r="E105" s="84" t="s">
        <v>718</v>
      </c>
      <c r="F105" s="85" t="s">
        <v>72</v>
      </c>
      <c r="G105" s="77" t="s">
        <v>738</v>
      </c>
      <c r="H105" s="77" t="s">
        <v>739</v>
      </c>
      <c r="I105" s="77" t="s">
        <v>728</v>
      </c>
      <c r="J105" s="78" t="s">
        <v>722</v>
      </c>
    </row>
    <row r="106" spans="1:10" ht="50" customHeight="1" x14ac:dyDescent="0.2">
      <c r="A106" s="73" t="s">
        <v>740</v>
      </c>
      <c r="B106" s="74" t="s">
        <v>741</v>
      </c>
      <c r="C106" s="74" t="s">
        <v>81</v>
      </c>
      <c r="D106" s="74" t="s">
        <v>742</v>
      </c>
      <c r="E106" s="84" t="s">
        <v>718</v>
      </c>
      <c r="F106" s="85" t="s">
        <v>72</v>
      </c>
      <c r="G106" s="77" t="s">
        <v>743</v>
      </c>
      <c r="H106" s="77" t="s">
        <v>744</v>
      </c>
      <c r="I106" s="77" t="s">
        <v>728</v>
      </c>
      <c r="J106" s="78" t="s">
        <v>722</v>
      </c>
    </row>
    <row r="107" spans="1:10" ht="50" customHeight="1" x14ac:dyDescent="0.2">
      <c r="A107" s="73" t="s">
        <v>745</v>
      </c>
      <c r="B107" s="74" t="s">
        <v>746</v>
      </c>
      <c r="C107" s="74" t="s">
        <v>81</v>
      </c>
      <c r="D107" s="74" t="s">
        <v>747</v>
      </c>
      <c r="E107" s="84" t="s">
        <v>718</v>
      </c>
      <c r="F107" s="85" t="s">
        <v>72</v>
      </c>
      <c r="G107" s="77" t="s">
        <v>748</v>
      </c>
      <c r="H107" s="77" t="s">
        <v>749</v>
      </c>
      <c r="I107" s="77" t="s">
        <v>728</v>
      </c>
      <c r="J107" s="78" t="s">
        <v>722</v>
      </c>
    </row>
    <row r="108" spans="1:10" ht="50" customHeight="1" x14ac:dyDescent="0.2">
      <c r="A108" s="73" t="s">
        <v>750</v>
      </c>
      <c r="B108" s="74" t="s">
        <v>751</v>
      </c>
      <c r="C108" s="74" t="s">
        <v>81</v>
      </c>
      <c r="D108" s="74" t="s">
        <v>752</v>
      </c>
      <c r="E108" s="84" t="s">
        <v>718</v>
      </c>
      <c r="F108" s="85" t="s">
        <v>72</v>
      </c>
      <c r="G108" s="77" t="s">
        <v>753</v>
      </c>
      <c r="H108" s="77" t="s">
        <v>744</v>
      </c>
      <c r="I108" s="77" t="s">
        <v>728</v>
      </c>
      <c r="J108" s="78" t="s">
        <v>722</v>
      </c>
    </row>
    <row r="109" spans="1:10" ht="50" customHeight="1" x14ac:dyDescent="0.2">
      <c r="A109" s="73" t="s">
        <v>754</v>
      </c>
      <c r="B109" s="74" t="s">
        <v>755</v>
      </c>
      <c r="C109" s="74" t="s">
        <v>81</v>
      </c>
      <c r="D109" s="74" t="s">
        <v>756</v>
      </c>
      <c r="E109" s="84" t="s">
        <v>718</v>
      </c>
      <c r="F109" s="85" t="s">
        <v>72</v>
      </c>
      <c r="G109" s="77" t="s">
        <v>757</v>
      </c>
      <c r="H109" s="77" t="s">
        <v>744</v>
      </c>
      <c r="I109" s="77" t="s">
        <v>728</v>
      </c>
      <c r="J109" s="78" t="s">
        <v>722</v>
      </c>
    </row>
    <row r="110" spans="1:10" ht="20" customHeight="1" x14ac:dyDescent="0.2">
      <c r="A110" s="73" t="s">
        <v>758</v>
      </c>
      <c r="B110" s="74" t="s">
        <v>759</v>
      </c>
      <c r="C110" s="74" t="s">
        <v>81</v>
      </c>
      <c r="D110" s="74" t="s">
        <v>760</v>
      </c>
      <c r="E110" s="84" t="s">
        <v>718</v>
      </c>
      <c r="F110" s="85" t="s">
        <v>72</v>
      </c>
      <c r="G110" s="77" t="s">
        <v>761</v>
      </c>
      <c r="H110" s="77" t="s">
        <v>762</v>
      </c>
      <c r="I110" s="77" t="s">
        <v>728</v>
      </c>
      <c r="J110" s="78" t="s">
        <v>722</v>
      </c>
    </row>
    <row r="111" spans="1:10" ht="30" customHeight="1" x14ac:dyDescent="0.2">
      <c r="A111" s="73" t="s">
        <v>763</v>
      </c>
      <c r="B111" s="74" t="s">
        <v>764</v>
      </c>
      <c r="C111" s="74" t="s">
        <v>81</v>
      </c>
      <c r="D111" s="74" t="s">
        <v>765</v>
      </c>
      <c r="E111" s="84" t="s">
        <v>718</v>
      </c>
      <c r="F111" s="85" t="s">
        <v>72</v>
      </c>
      <c r="G111" s="77" t="s">
        <v>766</v>
      </c>
      <c r="H111" s="77" t="s">
        <v>744</v>
      </c>
      <c r="I111" s="77" t="s">
        <v>728</v>
      </c>
      <c r="J111" s="78" t="s">
        <v>722</v>
      </c>
    </row>
    <row r="112" spans="1:10" ht="30" customHeight="1" x14ac:dyDescent="0.2">
      <c r="A112" s="73" t="s">
        <v>767</v>
      </c>
      <c r="B112" s="74" t="s">
        <v>768</v>
      </c>
      <c r="C112" s="74" t="s">
        <v>81</v>
      </c>
      <c r="D112" s="74" t="s">
        <v>769</v>
      </c>
      <c r="E112" s="84" t="s">
        <v>718</v>
      </c>
      <c r="F112" s="85" t="s">
        <v>72</v>
      </c>
      <c r="G112" s="77" t="s">
        <v>770</v>
      </c>
      <c r="H112" s="77" t="s">
        <v>744</v>
      </c>
      <c r="I112" s="77" t="s">
        <v>728</v>
      </c>
      <c r="J112" s="78" t="s">
        <v>722</v>
      </c>
    </row>
    <row r="113" spans="1:10" ht="70" customHeight="1" x14ac:dyDescent="0.2">
      <c r="A113" s="73" t="s">
        <v>771</v>
      </c>
      <c r="B113" s="74" t="s">
        <v>772</v>
      </c>
      <c r="C113" s="74" t="s">
        <v>81</v>
      </c>
      <c r="D113" s="74" t="s">
        <v>773</v>
      </c>
      <c r="E113" s="84" t="s">
        <v>718</v>
      </c>
      <c r="F113" s="85" t="s">
        <v>72</v>
      </c>
      <c r="G113" s="77" t="s">
        <v>774</v>
      </c>
      <c r="H113" s="77" t="s">
        <v>744</v>
      </c>
      <c r="I113" s="77" t="s">
        <v>728</v>
      </c>
      <c r="J113" s="78" t="s">
        <v>722</v>
      </c>
    </row>
    <row r="114" spans="1:10" ht="40" customHeight="1" x14ac:dyDescent="0.2">
      <c r="A114" s="73" t="s">
        <v>775</v>
      </c>
      <c r="B114" s="74" t="s">
        <v>776</v>
      </c>
      <c r="C114" s="74" t="s">
        <v>81</v>
      </c>
      <c r="D114" s="74" t="s">
        <v>777</v>
      </c>
      <c r="E114" s="84" t="s">
        <v>718</v>
      </c>
      <c r="F114" s="85" t="s">
        <v>72</v>
      </c>
      <c r="G114" s="77" t="s">
        <v>778</v>
      </c>
      <c r="H114" s="77" t="s">
        <v>744</v>
      </c>
      <c r="I114" s="77" t="s">
        <v>728</v>
      </c>
      <c r="J114" s="78" t="s">
        <v>722</v>
      </c>
    </row>
    <row r="115" spans="1:10" ht="50" customHeight="1" x14ac:dyDescent="0.2">
      <c r="A115" s="73" t="s">
        <v>779</v>
      </c>
      <c r="B115" s="74" t="s">
        <v>780</v>
      </c>
      <c r="C115" s="74" t="s">
        <v>81</v>
      </c>
      <c r="D115" s="74" t="s">
        <v>781</v>
      </c>
      <c r="E115" s="84" t="s">
        <v>718</v>
      </c>
      <c r="F115" s="85" t="s">
        <v>72</v>
      </c>
      <c r="G115" s="77" t="s">
        <v>782</v>
      </c>
      <c r="H115" s="77" t="s">
        <v>783</v>
      </c>
      <c r="I115" s="77" t="s">
        <v>734</v>
      </c>
      <c r="J115" s="78" t="s">
        <v>722</v>
      </c>
    </row>
    <row r="116" spans="1:10" ht="50" customHeight="1" x14ac:dyDescent="0.2">
      <c r="A116" s="73" t="s">
        <v>784</v>
      </c>
      <c r="B116" s="74" t="s">
        <v>785</v>
      </c>
      <c r="C116" s="74" t="s">
        <v>81</v>
      </c>
      <c r="D116" s="74" t="s">
        <v>786</v>
      </c>
      <c r="E116" s="84" t="s">
        <v>718</v>
      </c>
      <c r="F116" s="85" t="s">
        <v>72</v>
      </c>
      <c r="G116" s="77" t="s">
        <v>787</v>
      </c>
      <c r="H116" s="77" t="s">
        <v>788</v>
      </c>
      <c r="I116" s="77" t="s">
        <v>734</v>
      </c>
      <c r="J116" s="78" t="s">
        <v>722</v>
      </c>
    </row>
    <row r="117" spans="1:10" ht="50" customHeight="1" x14ac:dyDescent="0.2">
      <c r="A117" s="73" t="s">
        <v>789</v>
      </c>
      <c r="B117" s="74" t="s">
        <v>790</v>
      </c>
      <c r="C117" s="74" t="s">
        <v>81</v>
      </c>
      <c r="D117" s="74" t="s">
        <v>791</v>
      </c>
      <c r="E117" s="84" t="s">
        <v>718</v>
      </c>
      <c r="F117" s="85" t="s">
        <v>72</v>
      </c>
      <c r="G117" s="77" t="s">
        <v>792</v>
      </c>
      <c r="H117" s="77" t="s">
        <v>788</v>
      </c>
      <c r="I117" s="77" t="s">
        <v>734</v>
      </c>
      <c r="J117" s="78" t="s">
        <v>722</v>
      </c>
    </row>
    <row r="118" spans="1:10" ht="60" customHeight="1" x14ac:dyDescent="0.2">
      <c r="A118" s="73" t="s">
        <v>793</v>
      </c>
      <c r="B118" s="74" t="s">
        <v>794</v>
      </c>
      <c r="C118" s="74" t="s">
        <v>81</v>
      </c>
      <c r="D118" s="74" t="s">
        <v>795</v>
      </c>
      <c r="E118" s="84" t="s">
        <v>718</v>
      </c>
      <c r="F118" s="85" t="s">
        <v>72</v>
      </c>
      <c r="G118" s="77" t="s">
        <v>796</v>
      </c>
      <c r="H118" s="77" t="s">
        <v>788</v>
      </c>
      <c r="I118" s="77" t="s">
        <v>734</v>
      </c>
      <c r="J118" s="78" t="s">
        <v>722</v>
      </c>
    </row>
    <row r="119" spans="1:10" ht="60" customHeight="1" x14ac:dyDescent="0.2">
      <c r="A119" s="73" t="s">
        <v>797</v>
      </c>
      <c r="B119" s="74" t="s">
        <v>798</v>
      </c>
      <c r="C119" s="74" t="s">
        <v>81</v>
      </c>
      <c r="D119" s="74" t="s">
        <v>799</v>
      </c>
      <c r="E119" s="84" t="s">
        <v>718</v>
      </c>
      <c r="F119" s="85" t="s">
        <v>72</v>
      </c>
      <c r="G119" s="77" t="s">
        <v>800</v>
      </c>
      <c r="H119" s="77" t="s">
        <v>788</v>
      </c>
      <c r="I119" s="77" t="s">
        <v>734</v>
      </c>
      <c r="J119" s="78" t="s">
        <v>722</v>
      </c>
    </row>
    <row r="120" spans="1:10" ht="20" customHeight="1" x14ac:dyDescent="0.2">
      <c r="A120" s="73" t="s">
        <v>801</v>
      </c>
      <c r="B120" s="74" t="s">
        <v>802</v>
      </c>
      <c r="C120" s="74" t="s">
        <v>81</v>
      </c>
      <c r="D120" s="74" t="s">
        <v>803</v>
      </c>
      <c r="E120" s="84" t="s">
        <v>718</v>
      </c>
      <c r="F120" s="85" t="s">
        <v>72</v>
      </c>
      <c r="G120" s="77" t="s">
        <v>804</v>
      </c>
      <c r="H120" s="77" t="s">
        <v>744</v>
      </c>
      <c r="I120" s="77" t="s">
        <v>734</v>
      </c>
      <c r="J120" s="78" t="s">
        <v>722</v>
      </c>
    </row>
    <row r="121" spans="1:10" ht="60" customHeight="1" x14ac:dyDescent="0.2">
      <c r="A121" s="73" t="s">
        <v>805</v>
      </c>
      <c r="B121" s="74" t="s">
        <v>806</v>
      </c>
      <c r="C121" s="74" t="s">
        <v>81</v>
      </c>
      <c r="D121" s="74" t="s">
        <v>807</v>
      </c>
      <c r="E121" s="84" t="s">
        <v>718</v>
      </c>
      <c r="F121" s="85" t="s">
        <v>72</v>
      </c>
      <c r="G121" s="77" t="s">
        <v>808</v>
      </c>
      <c r="H121" s="77" t="s">
        <v>809</v>
      </c>
      <c r="I121" s="77" t="s">
        <v>734</v>
      </c>
      <c r="J121" s="78" t="s">
        <v>722</v>
      </c>
    </row>
    <row r="122" spans="1:10" ht="20" customHeight="1" x14ac:dyDescent="0.2">
      <c r="A122" s="73" t="s">
        <v>810</v>
      </c>
      <c r="B122" s="74" t="s">
        <v>811</v>
      </c>
      <c r="C122" s="74" t="s">
        <v>81</v>
      </c>
      <c r="D122" s="74" t="s">
        <v>812</v>
      </c>
      <c r="E122" s="84" t="s">
        <v>718</v>
      </c>
      <c r="F122" s="85" t="s">
        <v>72</v>
      </c>
      <c r="G122" s="77" t="s">
        <v>813</v>
      </c>
      <c r="H122" s="77" t="s">
        <v>814</v>
      </c>
      <c r="I122" s="77" t="s">
        <v>728</v>
      </c>
      <c r="J122" s="78" t="s">
        <v>722</v>
      </c>
    </row>
    <row r="123" spans="1:10" ht="20" customHeight="1" x14ac:dyDescent="0.2">
      <c r="A123" s="73" t="s">
        <v>815</v>
      </c>
      <c r="B123" s="74" t="s">
        <v>816</v>
      </c>
      <c r="C123" s="74" t="s">
        <v>81</v>
      </c>
      <c r="D123" s="74" t="s">
        <v>817</v>
      </c>
      <c r="E123" s="84" t="s">
        <v>718</v>
      </c>
      <c r="F123" s="85" t="s">
        <v>72</v>
      </c>
      <c r="G123" s="77" t="s">
        <v>818</v>
      </c>
      <c r="H123" s="77" t="s">
        <v>819</v>
      </c>
      <c r="I123" s="77" t="s">
        <v>728</v>
      </c>
      <c r="J123" s="78" t="s">
        <v>722</v>
      </c>
    </row>
    <row r="124" spans="1:10" ht="20" customHeight="1" x14ac:dyDescent="0.2">
      <c r="A124" s="73" t="s">
        <v>820</v>
      </c>
      <c r="B124" s="74" t="s">
        <v>821</v>
      </c>
      <c r="C124" s="74" t="s">
        <v>81</v>
      </c>
      <c r="D124" s="74" t="s">
        <v>822</v>
      </c>
      <c r="E124" s="84" t="s">
        <v>718</v>
      </c>
      <c r="F124" s="85" t="s">
        <v>72</v>
      </c>
      <c r="G124" s="77" t="s">
        <v>823</v>
      </c>
      <c r="H124" s="77" t="s">
        <v>819</v>
      </c>
      <c r="I124" s="77" t="s">
        <v>728</v>
      </c>
      <c r="J124" s="78" t="s">
        <v>722</v>
      </c>
    </row>
    <row r="125" spans="1:10" ht="20" customHeight="1" x14ac:dyDescent="0.2">
      <c r="A125" s="73" t="s">
        <v>824</v>
      </c>
      <c r="B125" s="74" t="s">
        <v>825</v>
      </c>
      <c r="C125" s="74" t="s">
        <v>81</v>
      </c>
      <c r="D125" s="74" t="s">
        <v>431</v>
      </c>
      <c r="E125" s="84" t="s">
        <v>718</v>
      </c>
      <c r="F125" s="85" t="s">
        <v>72</v>
      </c>
      <c r="G125" s="77" t="s">
        <v>826</v>
      </c>
      <c r="H125" s="77" t="s">
        <v>819</v>
      </c>
      <c r="I125" s="77" t="s">
        <v>728</v>
      </c>
      <c r="J125" s="78" t="s">
        <v>722</v>
      </c>
    </row>
    <row r="126" spans="1:10" ht="15" customHeight="1" x14ac:dyDescent="0.2">
      <c r="A126" s="73" t="s">
        <v>827</v>
      </c>
      <c r="B126" s="74" t="s">
        <v>828</v>
      </c>
      <c r="C126" s="74" t="s">
        <v>81</v>
      </c>
      <c r="D126" s="74" t="s">
        <v>829</v>
      </c>
      <c r="E126" s="84" t="s">
        <v>718</v>
      </c>
      <c r="F126" s="85" t="s">
        <v>72</v>
      </c>
      <c r="G126" s="77" t="s">
        <v>826</v>
      </c>
      <c r="H126" s="77" t="s">
        <v>814</v>
      </c>
      <c r="I126" s="77" t="s">
        <v>728</v>
      </c>
      <c r="J126" s="78" t="s">
        <v>722</v>
      </c>
    </row>
    <row r="127" spans="1:10" ht="20" customHeight="1" x14ac:dyDescent="0.2">
      <c r="A127" s="73" t="s">
        <v>830</v>
      </c>
      <c r="B127" s="74" t="s">
        <v>831</v>
      </c>
      <c r="C127" s="74" t="s">
        <v>81</v>
      </c>
      <c r="D127" s="74" t="s">
        <v>832</v>
      </c>
      <c r="E127" s="84" t="s">
        <v>718</v>
      </c>
      <c r="F127" s="85" t="s">
        <v>72</v>
      </c>
      <c r="G127" s="77" t="s">
        <v>826</v>
      </c>
      <c r="H127" s="77" t="s">
        <v>814</v>
      </c>
      <c r="I127" s="77" t="s">
        <v>728</v>
      </c>
      <c r="J127" s="78" t="s">
        <v>722</v>
      </c>
    </row>
    <row r="128" spans="1:10" ht="30" customHeight="1" x14ac:dyDescent="0.2">
      <c r="A128" s="73" t="s">
        <v>833</v>
      </c>
      <c r="B128" s="74" t="s">
        <v>834</v>
      </c>
      <c r="C128" s="74" t="s">
        <v>81</v>
      </c>
      <c r="D128" s="74" t="s">
        <v>835</v>
      </c>
      <c r="E128" s="84" t="s">
        <v>718</v>
      </c>
      <c r="F128" s="85" t="s">
        <v>72</v>
      </c>
      <c r="G128" s="77" t="s">
        <v>836</v>
      </c>
      <c r="H128" s="77" t="s">
        <v>744</v>
      </c>
      <c r="I128" s="77" t="s">
        <v>728</v>
      </c>
      <c r="J128" s="78" t="s">
        <v>722</v>
      </c>
    </row>
    <row r="129" spans="1:10" ht="40" customHeight="1" x14ac:dyDescent="0.2">
      <c r="A129" s="73" t="s">
        <v>837</v>
      </c>
      <c r="B129" s="74" t="s">
        <v>838</v>
      </c>
      <c r="C129" s="74" t="s">
        <v>81</v>
      </c>
      <c r="D129" s="74" t="s">
        <v>839</v>
      </c>
      <c r="E129" s="84" t="s">
        <v>718</v>
      </c>
      <c r="F129" s="85" t="s">
        <v>72</v>
      </c>
      <c r="G129" s="77" t="s">
        <v>840</v>
      </c>
      <c r="H129" s="77" t="s">
        <v>841</v>
      </c>
      <c r="I129" s="77" t="s">
        <v>728</v>
      </c>
      <c r="J129" s="78" t="s">
        <v>722</v>
      </c>
    </row>
    <row r="130" spans="1:10" ht="20" customHeight="1" x14ac:dyDescent="0.2">
      <c r="A130" s="73" t="s">
        <v>842</v>
      </c>
      <c r="B130" s="74" t="s">
        <v>843</v>
      </c>
      <c r="C130" s="74" t="s">
        <v>81</v>
      </c>
      <c r="D130" s="74" t="s">
        <v>844</v>
      </c>
      <c r="E130" s="84" t="s">
        <v>718</v>
      </c>
      <c r="F130" s="85" t="s">
        <v>72</v>
      </c>
      <c r="G130" s="77" t="s">
        <v>845</v>
      </c>
      <c r="H130" s="77" t="s">
        <v>841</v>
      </c>
      <c r="I130" s="77" t="s">
        <v>728</v>
      </c>
      <c r="J130" s="78" t="s">
        <v>722</v>
      </c>
    </row>
    <row r="131" spans="1:10" ht="20" customHeight="1" x14ac:dyDescent="0.2">
      <c r="A131" s="73" t="s">
        <v>846</v>
      </c>
      <c r="B131" s="74" t="s">
        <v>847</v>
      </c>
      <c r="C131" s="74" t="s">
        <v>81</v>
      </c>
      <c r="D131" s="74" t="s">
        <v>848</v>
      </c>
      <c r="E131" s="84" t="s">
        <v>718</v>
      </c>
      <c r="F131" s="85" t="s">
        <v>72</v>
      </c>
      <c r="G131" s="77" t="s">
        <v>849</v>
      </c>
      <c r="H131" s="77" t="s">
        <v>819</v>
      </c>
      <c r="I131" s="77" t="s">
        <v>728</v>
      </c>
      <c r="J131" s="78" t="s">
        <v>722</v>
      </c>
    </row>
    <row r="132" spans="1:10" ht="50" customHeight="1" x14ac:dyDescent="0.2">
      <c r="A132" s="73" t="s">
        <v>850</v>
      </c>
      <c r="B132" s="74" t="s">
        <v>851</v>
      </c>
      <c r="C132" s="74" t="s">
        <v>81</v>
      </c>
      <c r="D132" s="74" t="s">
        <v>852</v>
      </c>
      <c r="E132" s="84" t="s">
        <v>718</v>
      </c>
      <c r="F132" s="85" t="s">
        <v>72</v>
      </c>
      <c r="G132" s="77" t="s">
        <v>853</v>
      </c>
      <c r="H132" s="77" t="s">
        <v>854</v>
      </c>
      <c r="I132" s="77" t="s">
        <v>728</v>
      </c>
      <c r="J132" s="78" t="s">
        <v>722</v>
      </c>
    </row>
    <row r="133" spans="1:10" ht="30" customHeight="1" x14ac:dyDescent="0.2">
      <c r="A133" s="73" t="s">
        <v>855</v>
      </c>
      <c r="B133" s="74" t="s">
        <v>856</v>
      </c>
      <c r="C133" s="74" t="s">
        <v>81</v>
      </c>
      <c r="D133" s="74" t="s">
        <v>857</v>
      </c>
      <c r="E133" s="84" t="s">
        <v>718</v>
      </c>
      <c r="F133" s="85" t="s">
        <v>72</v>
      </c>
      <c r="G133" s="77" t="s">
        <v>858</v>
      </c>
      <c r="H133" s="77" t="s">
        <v>814</v>
      </c>
      <c r="I133" s="77" t="s">
        <v>728</v>
      </c>
      <c r="J133" s="78" t="s">
        <v>722</v>
      </c>
    </row>
    <row r="134" spans="1:10" ht="20" customHeight="1" x14ac:dyDescent="0.2">
      <c r="A134" s="73" t="s">
        <v>859</v>
      </c>
      <c r="B134" s="74" t="s">
        <v>860</v>
      </c>
      <c r="C134" s="74" t="s">
        <v>81</v>
      </c>
      <c r="D134" s="74" t="s">
        <v>861</v>
      </c>
      <c r="E134" s="84" t="s">
        <v>718</v>
      </c>
      <c r="F134" s="85" t="s">
        <v>72</v>
      </c>
      <c r="G134" s="77" t="s">
        <v>845</v>
      </c>
      <c r="H134" s="77" t="s">
        <v>841</v>
      </c>
      <c r="I134" s="77" t="s">
        <v>728</v>
      </c>
      <c r="J134" s="78" t="s">
        <v>722</v>
      </c>
    </row>
    <row r="135" spans="1:10" ht="20" customHeight="1" x14ac:dyDescent="0.2">
      <c r="A135" s="73" t="s">
        <v>862</v>
      </c>
      <c r="B135" s="74" t="s">
        <v>863</v>
      </c>
      <c r="C135" s="74" t="s">
        <v>81</v>
      </c>
      <c r="D135" s="74" t="s">
        <v>864</v>
      </c>
      <c r="E135" s="84" t="s">
        <v>718</v>
      </c>
      <c r="F135" s="85" t="s">
        <v>72</v>
      </c>
      <c r="G135" s="77" t="s">
        <v>845</v>
      </c>
      <c r="H135" s="77" t="s">
        <v>841</v>
      </c>
      <c r="I135" s="77" t="s">
        <v>728</v>
      </c>
      <c r="J135" s="78" t="s">
        <v>722</v>
      </c>
    </row>
    <row r="136" spans="1:10" ht="30" customHeight="1" x14ac:dyDescent="0.2">
      <c r="A136" s="73" t="s">
        <v>865</v>
      </c>
      <c r="B136" s="74" t="s">
        <v>866</v>
      </c>
      <c r="C136" s="74" t="s">
        <v>81</v>
      </c>
      <c r="D136" s="74" t="s">
        <v>867</v>
      </c>
      <c r="E136" s="84" t="s">
        <v>718</v>
      </c>
      <c r="F136" s="85" t="s">
        <v>72</v>
      </c>
      <c r="G136" s="77" t="s">
        <v>868</v>
      </c>
      <c r="H136" s="77" t="s">
        <v>841</v>
      </c>
      <c r="I136" s="77" t="s">
        <v>728</v>
      </c>
      <c r="J136" s="78" t="s">
        <v>722</v>
      </c>
    </row>
    <row r="137" spans="1:10" ht="60" customHeight="1" x14ac:dyDescent="0.2">
      <c r="A137" s="73" t="s">
        <v>869</v>
      </c>
      <c r="B137" s="74" t="s">
        <v>870</v>
      </c>
      <c r="C137" s="74" t="s">
        <v>81</v>
      </c>
      <c r="D137" s="74" t="s">
        <v>871</v>
      </c>
      <c r="E137" s="84" t="s">
        <v>718</v>
      </c>
      <c r="F137" s="85" t="s">
        <v>72</v>
      </c>
      <c r="G137" s="77" t="s">
        <v>872</v>
      </c>
      <c r="H137" s="77" t="s">
        <v>873</v>
      </c>
      <c r="I137" s="77" t="s">
        <v>728</v>
      </c>
      <c r="J137" s="78" t="s">
        <v>722</v>
      </c>
    </row>
    <row r="139" spans="1:10" ht="36" customHeight="1" x14ac:dyDescent="0.2">
      <c r="A139" s="139" t="s">
        <v>874</v>
      </c>
      <c r="B139" s="130"/>
      <c r="C139" s="130"/>
      <c r="D139" s="130"/>
      <c r="E139" s="130"/>
      <c r="F139" s="130"/>
      <c r="G139" s="130"/>
      <c r="H139" s="130"/>
      <c r="I139" s="130"/>
    </row>
    <row r="140" spans="1:10" ht="24" customHeight="1" x14ac:dyDescent="0.2">
      <c r="A140" s="139" t="s">
        <v>875</v>
      </c>
      <c r="B140" s="130"/>
      <c r="C140" s="130"/>
      <c r="D140" s="130"/>
      <c r="E140" s="130"/>
      <c r="F140" s="130"/>
      <c r="G140" s="130"/>
      <c r="H140" s="130"/>
      <c r="I140" s="130"/>
    </row>
  </sheetData>
  <mergeCells count="14">
    <mergeCell ref="A140:I140"/>
    <mergeCell ref="A139:I139"/>
    <mergeCell ref="A101:I101"/>
    <mergeCell ref="A16:I16"/>
    <mergeCell ref="A90:I90"/>
    <mergeCell ref="A1:I1"/>
    <mergeCell ref="A70:I70"/>
    <mergeCell ref="A3:I3"/>
    <mergeCell ref="A6:I6"/>
    <mergeCell ref="A29:I29"/>
    <mergeCell ref="A82:I82"/>
    <mergeCell ref="A43:I43"/>
    <mergeCell ref="A57:I57"/>
    <mergeCell ref="A2:I2"/>
  </mergeCells>
  <printOptions horizontalCentered="1"/>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535B"/>
    <pageSetUpPr fitToPage="1"/>
  </sheetPr>
  <dimension ref="A1:G17"/>
  <sheetViews>
    <sheetView showGridLines="0" workbookViewId="0">
      <selection sqref="A1:G1"/>
    </sheetView>
  </sheetViews>
  <sheetFormatPr baseColWidth="10" defaultColWidth="8.83203125" defaultRowHeight="15" x14ac:dyDescent="0.2"/>
  <cols>
    <col min="1" max="1" width="30" customWidth="1"/>
    <col min="2" max="6" width="12" customWidth="1"/>
    <col min="7" max="7" width="14" customWidth="1"/>
  </cols>
  <sheetData>
    <row r="1" spans="1:7" ht="24" customHeight="1" x14ac:dyDescent="0.25">
      <c r="A1" s="140" t="s">
        <v>876</v>
      </c>
      <c r="B1" s="130"/>
      <c r="C1" s="130"/>
      <c r="D1" s="130"/>
      <c r="E1" s="130"/>
      <c r="F1" s="130"/>
      <c r="G1" s="130"/>
    </row>
    <row r="2" spans="1:7" ht="3" customHeight="1" x14ac:dyDescent="0.2">
      <c r="A2" s="137"/>
      <c r="B2" s="130"/>
      <c r="C2" s="130"/>
      <c r="D2" s="130"/>
      <c r="E2" s="130"/>
      <c r="F2" s="130"/>
      <c r="G2" s="130"/>
    </row>
    <row r="3" spans="1:7" ht="23" customHeight="1" x14ac:dyDescent="0.2">
      <c r="A3" s="136" t="s">
        <v>877</v>
      </c>
      <c r="B3" s="130"/>
      <c r="C3" s="130"/>
      <c r="D3" s="130"/>
      <c r="E3" s="130"/>
      <c r="F3" s="130"/>
      <c r="G3" s="130"/>
    </row>
    <row r="5" spans="1:7" ht="26" customHeight="1" x14ac:dyDescent="0.2">
      <c r="A5" s="29" t="s">
        <v>295</v>
      </c>
      <c r="B5" s="29" t="s">
        <v>878</v>
      </c>
      <c r="C5" s="29" t="s">
        <v>67</v>
      </c>
      <c r="D5" s="29" t="s">
        <v>68</v>
      </c>
      <c r="E5" s="29" t="s">
        <v>359</v>
      </c>
      <c r="F5" s="29" t="s">
        <v>70</v>
      </c>
      <c r="G5" s="29" t="s">
        <v>72</v>
      </c>
    </row>
    <row r="6" spans="1:7" ht="16" customHeight="1" x14ac:dyDescent="0.2">
      <c r="A6" s="9" t="s">
        <v>304</v>
      </c>
      <c r="B6" s="114">
        <f>COUNTIF('KPI Scorecard'!$J$7:$J$140,"Operations")</f>
        <v>8</v>
      </c>
      <c r="C6" s="115">
        <f>COUNTIFS('KPI Scorecard'!$J$7:$J$140,"Operations",'KPI Scorecard'!$F$7:$F$140,"On benchmark")</f>
        <v>5</v>
      </c>
      <c r="D6" s="116">
        <f>COUNTIFS('KPI Scorecard'!$J$7:$J$140,"Operations",'KPI Scorecard'!$F$7:$F$140,"Watch")</f>
        <v>3</v>
      </c>
      <c r="E6" s="117">
        <f>COUNTIFS('KPI Scorecard'!$J$7:$J$140,"Operations",'KPI Scorecard'!$F$7:$F$140,"Below")</f>
        <v>0</v>
      </c>
      <c r="F6" s="107">
        <f>COUNTIFS('KPI Scorecard'!$J$7:$J$140,"Operations",'KPI Scorecard'!$F$7:$F$140,"Informational")</f>
        <v>0</v>
      </c>
      <c r="G6" s="111">
        <f>COUNTIFS('KPI Scorecard'!$J$7:$J$140,"Operations",'KPI Scorecard'!$F$7:$F$140,"CMS-fetched")</f>
        <v>0</v>
      </c>
    </row>
    <row r="7" spans="1:7" ht="16" customHeight="1" x14ac:dyDescent="0.2">
      <c r="A7" s="9" t="s">
        <v>350</v>
      </c>
      <c r="B7" s="114">
        <f>COUNTIF('KPI Scorecard'!$J$7:$J$140,"Sales and Marketing")</f>
        <v>11</v>
      </c>
      <c r="C7" s="115">
        <f>COUNTIFS('KPI Scorecard'!$J$7:$J$140,"Sales and Marketing",'KPI Scorecard'!$F$7:$F$140,"On benchmark")</f>
        <v>1</v>
      </c>
      <c r="D7" s="116">
        <f>COUNTIFS('KPI Scorecard'!$J$7:$J$140,"Sales and Marketing",'KPI Scorecard'!$F$7:$F$140,"Watch")</f>
        <v>6</v>
      </c>
      <c r="E7" s="117">
        <f>COUNTIFS('KPI Scorecard'!$J$7:$J$140,"Sales and Marketing",'KPI Scorecard'!$F$7:$F$140,"Below")</f>
        <v>3</v>
      </c>
      <c r="F7" s="107">
        <f>COUNTIFS('KPI Scorecard'!$J$7:$J$140,"Sales and Marketing",'KPI Scorecard'!$F$7:$F$140,"Informational")</f>
        <v>1</v>
      </c>
      <c r="G7" s="111">
        <f>COUNTIFS('KPI Scorecard'!$J$7:$J$140,"Sales and Marketing",'KPI Scorecard'!$F$7:$F$140,"CMS-fetched")</f>
        <v>0</v>
      </c>
    </row>
    <row r="8" spans="1:7" ht="16" customHeight="1" x14ac:dyDescent="0.2">
      <c r="A8" s="9" t="s">
        <v>406</v>
      </c>
      <c r="B8" s="114">
        <f>COUNTIF('KPI Scorecard'!$J$7:$J$140,"Nursing")</f>
        <v>12</v>
      </c>
      <c r="C8" s="115">
        <f>COUNTIFS('KPI Scorecard'!$J$7:$J$140,"Nursing",'KPI Scorecard'!$F$7:$F$140,"On benchmark")</f>
        <v>4</v>
      </c>
      <c r="D8" s="116">
        <f>COUNTIFS('KPI Scorecard'!$J$7:$J$140,"Nursing",'KPI Scorecard'!$F$7:$F$140,"Watch")</f>
        <v>5</v>
      </c>
      <c r="E8" s="117">
        <f>COUNTIFS('KPI Scorecard'!$J$7:$J$140,"Nursing",'KPI Scorecard'!$F$7:$F$140,"Below")</f>
        <v>2</v>
      </c>
      <c r="F8" s="107">
        <f>COUNTIFS('KPI Scorecard'!$J$7:$J$140,"Nursing",'KPI Scorecard'!$F$7:$F$140,"Informational")</f>
        <v>1</v>
      </c>
      <c r="G8" s="111">
        <f>COUNTIFS('KPI Scorecard'!$J$7:$J$140,"Nursing",'KPI Scorecard'!$F$7:$F$140,"CMS-fetched")</f>
        <v>0</v>
      </c>
    </row>
    <row r="9" spans="1:7" ht="16" customHeight="1" x14ac:dyDescent="0.2">
      <c r="A9" s="9" t="s">
        <v>471</v>
      </c>
      <c r="B9" s="114">
        <f>COUNTIF('KPI Scorecard'!$J$7:$J$140,"Finance")</f>
        <v>12</v>
      </c>
      <c r="C9" s="115">
        <f>COUNTIFS('KPI Scorecard'!$J$7:$J$140,"Finance",'KPI Scorecard'!$F$7:$F$140,"On benchmark")</f>
        <v>3</v>
      </c>
      <c r="D9" s="116">
        <f>COUNTIFS('KPI Scorecard'!$J$7:$J$140,"Finance",'KPI Scorecard'!$F$7:$F$140,"Watch")</f>
        <v>5</v>
      </c>
      <c r="E9" s="117">
        <f>COUNTIFS('KPI Scorecard'!$J$7:$J$140,"Finance",'KPI Scorecard'!$F$7:$F$140,"Below")</f>
        <v>1</v>
      </c>
      <c r="F9" s="107">
        <f>COUNTIFS('KPI Scorecard'!$J$7:$J$140,"Finance",'KPI Scorecard'!$F$7:$F$140,"Informational")</f>
        <v>3</v>
      </c>
      <c r="G9" s="111">
        <f>COUNTIFS('KPI Scorecard'!$J$7:$J$140,"Finance",'KPI Scorecard'!$F$7:$F$140,"CMS-fetched")</f>
        <v>0</v>
      </c>
    </row>
    <row r="10" spans="1:7" ht="16" customHeight="1" x14ac:dyDescent="0.2">
      <c r="A10" s="9" t="s">
        <v>535</v>
      </c>
      <c r="B10" s="114">
        <f>COUNTIF('KPI Scorecard'!$J$7:$J$140,"Human Resources")</f>
        <v>11</v>
      </c>
      <c r="C10" s="115">
        <f>COUNTIFS('KPI Scorecard'!$J$7:$J$140,"Human Resources",'KPI Scorecard'!$F$7:$F$140,"On benchmark")</f>
        <v>0</v>
      </c>
      <c r="D10" s="116">
        <f>COUNTIFS('KPI Scorecard'!$J$7:$J$140,"Human Resources",'KPI Scorecard'!$F$7:$F$140,"Watch")</f>
        <v>4</v>
      </c>
      <c r="E10" s="117">
        <f>COUNTIFS('KPI Scorecard'!$J$7:$J$140,"Human Resources",'KPI Scorecard'!$F$7:$F$140,"Below")</f>
        <v>7</v>
      </c>
      <c r="F10" s="107">
        <f>COUNTIFS('KPI Scorecard'!$J$7:$J$140,"Human Resources",'KPI Scorecard'!$F$7:$F$140,"Informational")</f>
        <v>0</v>
      </c>
      <c r="G10" s="111">
        <f>COUNTIFS('KPI Scorecard'!$J$7:$J$140,"Human Resources",'KPI Scorecard'!$F$7:$F$140,"CMS-fetched")</f>
        <v>0</v>
      </c>
    </row>
    <row r="11" spans="1:7" ht="16" customHeight="1" x14ac:dyDescent="0.2">
      <c r="A11" s="9" t="s">
        <v>592</v>
      </c>
      <c r="B11" s="114">
        <f>COUNTIF('KPI Scorecard'!$J$7:$J$140,"Plant and Maintenance")</f>
        <v>10</v>
      </c>
      <c r="C11" s="115">
        <f>COUNTIFS('KPI Scorecard'!$J$7:$J$140,"Plant and Maintenance",'KPI Scorecard'!$F$7:$F$140,"On benchmark")</f>
        <v>4</v>
      </c>
      <c r="D11" s="116">
        <f>COUNTIFS('KPI Scorecard'!$J$7:$J$140,"Plant and Maintenance",'KPI Scorecard'!$F$7:$F$140,"Watch")</f>
        <v>3</v>
      </c>
      <c r="E11" s="117">
        <f>COUNTIFS('KPI Scorecard'!$J$7:$J$140,"Plant and Maintenance",'KPI Scorecard'!$F$7:$F$140,"Below")</f>
        <v>2</v>
      </c>
      <c r="F11" s="107">
        <f>COUNTIFS('KPI Scorecard'!$J$7:$J$140,"Plant and Maintenance",'KPI Scorecard'!$F$7:$F$140,"Informational")</f>
        <v>1</v>
      </c>
      <c r="G11" s="111">
        <f>COUNTIFS('KPI Scorecard'!$J$7:$J$140,"Plant and Maintenance",'KPI Scorecard'!$F$7:$F$140,"CMS-fetched")</f>
        <v>0</v>
      </c>
    </row>
    <row r="12" spans="1:7" ht="16" customHeight="1" x14ac:dyDescent="0.2">
      <c r="A12" s="9" t="s">
        <v>642</v>
      </c>
      <c r="B12" s="114">
        <f>COUNTIF('KPI Scorecard'!$J$7:$J$140,"Life Enrichment")</f>
        <v>6</v>
      </c>
      <c r="C12" s="115">
        <f>COUNTIFS('KPI Scorecard'!$J$7:$J$140,"Life Enrichment",'KPI Scorecard'!$F$7:$F$140,"On benchmark")</f>
        <v>1</v>
      </c>
      <c r="D12" s="116">
        <f>COUNTIFS('KPI Scorecard'!$J$7:$J$140,"Life Enrichment",'KPI Scorecard'!$F$7:$F$140,"Watch")</f>
        <v>2</v>
      </c>
      <c r="E12" s="117">
        <f>COUNTIFS('KPI Scorecard'!$J$7:$J$140,"Life Enrichment",'KPI Scorecard'!$F$7:$F$140,"Below")</f>
        <v>2</v>
      </c>
      <c r="F12" s="107">
        <f>COUNTIFS('KPI Scorecard'!$J$7:$J$140,"Life Enrichment",'KPI Scorecard'!$F$7:$F$140,"Informational")</f>
        <v>1</v>
      </c>
      <c r="G12" s="111">
        <f>COUNTIFS('KPI Scorecard'!$J$7:$J$140,"Life Enrichment",'KPI Scorecard'!$F$7:$F$140,"CMS-fetched")</f>
        <v>0</v>
      </c>
    </row>
    <row r="13" spans="1:7" ht="16" customHeight="1" x14ac:dyDescent="0.2">
      <c r="A13" s="9" t="s">
        <v>672</v>
      </c>
      <c r="B13" s="114">
        <f>COUNTIF('KPI Scorecard'!$J$7:$J$140,"Dining Services")</f>
        <v>9</v>
      </c>
      <c r="C13" s="115">
        <f>COUNTIFS('KPI Scorecard'!$J$7:$J$140,"Dining Services",'KPI Scorecard'!$F$7:$F$140,"On benchmark")</f>
        <v>4</v>
      </c>
      <c r="D13" s="116">
        <f>COUNTIFS('KPI Scorecard'!$J$7:$J$140,"Dining Services",'KPI Scorecard'!$F$7:$F$140,"Watch")</f>
        <v>3</v>
      </c>
      <c r="E13" s="117">
        <f>COUNTIFS('KPI Scorecard'!$J$7:$J$140,"Dining Services",'KPI Scorecard'!$F$7:$F$140,"Below")</f>
        <v>1</v>
      </c>
      <c r="F13" s="107">
        <f>COUNTIFS('KPI Scorecard'!$J$7:$J$140,"Dining Services",'KPI Scorecard'!$F$7:$F$140,"Informational")</f>
        <v>1</v>
      </c>
      <c r="G13" s="111">
        <f>COUNTIFS('KPI Scorecard'!$J$7:$J$140,"Dining Services",'KPI Scorecard'!$F$7:$F$140,"CMS-fetched")</f>
        <v>0</v>
      </c>
    </row>
    <row r="14" spans="1:7" ht="16" customHeight="1" x14ac:dyDescent="0.2">
      <c r="A14" s="9" t="s">
        <v>722</v>
      </c>
      <c r="B14" s="114">
        <f>COUNTIF('KPI Scorecard'!$J$7:$J$140,"Skilled Nursing")</f>
        <v>36</v>
      </c>
      <c r="C14" s="115">
        <f>COUNTIFS('KPI Scorecard'!$J$7:$J$140,"Skilled Nursing",'KPI Scorecard'!$F$7:$F$140,"On benchmark")</f>
        <v>0</v>
      </c>
      <c r="D14" s="116">
        <f>COUNTIFS('KPI Scorecard'!$J$7:$J$140,"Skilled Nursing",'KPI Scorecard'!$F$7:$F$140,"Watch")</f>
        <v>0</v>
      </c>
      <c r="E14" s="117">
        <f>COUNTIFS('KPI Scorecard'!$J$7:$J$140,"Skilled Nursing",'KPI Scorecard'!$F$7:$F$140,"Below")</f>
        <v>0</v>
      </c>
      <c r="F14" s="107">
        <f>COUNTIFS('KPI Scorecard'!$J$7:$J$140,"Skilled Nursing",'KPI Scorecard'!$F$7:$F$140,"Informational")</f>
        <v>0</v>
      </c>
      <c r="G14" s="111">
        <f>COUNTIFS('KPI Scorecard'!$J$7:$J$140,"Skilled Nursing",'KPI Scorecard'!$F$7:$F$140,"CMS-fetched")</f>
        <v>36</v>
      </c>
    </row>
    <row r="15" spans="1:7" x14ac:dyDescent="0.2">
      <c r="A15" s="118" t="s">
        <v>879</v>
      </c>
      <c r="B15" s="119">
        <f t="shared" ref="B15:G15" si="0">SUM(B6:B14)</f>
        <v>115</v>
      </c>
      <c r="C15" s="119">
        <f t="shared" si="0"/>
        <v>22</v>
      </c>
      <c r="D15" s="119">
        <f t="shared" si="0"/>
        <v>31</v>
      </c>
      <c r="E15" s="119">
        <f t="shared" si="0"/>
        <v>18</v>
      </c>
      <c r="F15" s="119">
        <f t="shared" si="0"/>
        <v>8</v>
      </c>
      <c r="G15" s="119">
        <f t="shared" si="0"/>
        <v>36</v>
      </c>
    </row>
    <row r="17" spans="1:7" ht="36" customHeight="1" x14ac:dyDescent="0.2">
      <c r="A17" s="139" t="s">
        <v>880</v>
      </c>
      <c r="B17" s="130"/>
      <c r="C17" s="130"/>
      <c r="D17" s="130"/>
      <c r="E17" s="130"/>
      <c r="F17" s="130"/>
      <c r="G17" s="130"/>
    </row>
  </sheetData>
  <mergeCells count="4">
    <mergeCell ref="A3:G3"/>
    <mergeCell ref="A2:G2"/>
    <mergeCell ref="A1:G1"/>
    <mergeCell ref="A17:G17"/>
  </mergeCells>
  <printOptions horizontalCentered="1"/>
  <pageMargins left="0.75" right="0.75" top="1" bottom="1" header="0.5" footer="0.5"/>
  <pageSetup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535B"/>
    <pageSetUpPr fitToPage="1"/>
  </sheetPr>
  <dimension ref="A1:F68"/>
  <sheetViews>
    <sheetView showGridLines="0" workbookViewId="0">
      <pane ySplit="4" topLeftCell="A5" activePane="bottomLeft" state="frozen"/>
      <selection pane="bottomLeft" sqref="A1:F1"/>
    </sheetView>
  </sheetViews>
  <sheetFormatPr baseColWidth="10" defaultColWidth="8.83203125" defaultRowHeight="15" x14ac:dyDescent="0.2"/>
  <cols>
    <col min="1" max="1" width="17" customWidth="1"/>
    <col min="2" max="2" width="20" customWidth="1"/>
    <col min="3" max="3" width="78" customWidth="1"/>
    <col min="4" max="6" width="10" customWidth="1"/>
  </cols>
  <sheetData>
    <row r="1" spans="1:6" ht="24" customHeight="1" x14ac:dyDescent="0.25">
      <c r="A1" s="140" t="s">
        <v>881</v>
      </c>
      <c r="B1" s="130"/>
      <c r="C1" s="130"/>
      <c r="D1" s="130"/>
      <c r="E1" s="130"/>
      <c r="F1" s="130"/>
    </row>
    <row r="2" spans="1:6" ht="3" customHeight="1" x14ac:dyDescent="0.2">
      <c r="A2" s="137"/>
      <c r="B2" s="130"/>
      <c r="C2" s="130"/>
      <c r="D2" s="130"/>
      <c r="E2" s="130"/>
      <c r="F2" s="130"/>
    </row>
    <row r="3" spans="1:6" ht="36" customHeight="1" x14ac:dyDescent="0.2">
      <c r="A3" s="136" t="s">
        <v>882</v>
      </c>
      <c r="B3" s="130"/>
      <c r="C3" s="130"/>
      <c r="D3" s="130"/>
      <c r="E3" s="130"/>
      <c r="F3" s="130"/>
    </row>
    <row r="5" spans="1:6" ht="20" customHeight="1" x14ac:dyDescent="0.2">
      <c r="A5" s="131" t="s">
        <v>883</v>
      </c>
      <c r="B5" s="132"/>
      <c r="C5" s="132"/>
      <c r="D5" s="132"/>
      <c r="E5" s="132"/>
      <c r="F5" s="132"/>
    </row>
    <row r="6" spans="1:6" ht="24" customHeight="1" x14ac:dyDescent="0.2">
      <c r="A6" s="120" t="s">
        <v>884</v>
      </c>
      <c r="B6" s="121" t="s">
        <v>885</v>
      </c>
      <c r="C6" s="122" t="s">
        <v>886</v>
      </c>
      <c r="D6" s="21"/>
      <c r="E6" s="21"/>
      <c r="F6" s="21"/>
    </row>
    <row r="7" spans="1:6" ht="13" customHeight="1" x14ac:dyDescent="0.2">
      <c r="A7" s="123"/>
      <c r="B7" s="124" t="s">
        <v>887</v>
      </c>
      <c r="C7" s="125" t="s">
        <v>888</v>
      </c>
      <c r="D7" s="21"/>
      <c r="E7" s="21"/>
      <c r="F7" s="21"/>
    </row>
    <row r="8" spans="1:6" ht="13" customHeight="1" x14ac:dyDescent="0.2">
      <c r="A8" s="123"/>
      <c r="B8" s="124" t="s">
        <v>889</v>
      </c>
      <c r="C8" s="125" t="s">
        <v>890</v>
      </c>
      <c r="D8" s="21"/>
      <c r="E8" s="21"/>
      <c r="F8" s="21"/>
    </row>
    <row r="9" spans="1:6" ht="22" customHeight="1" x14ac:dyDescent="0.2">
      <c r="A9" s="123"/>
      <c r="B9" s="124" t="s">
        <v>891</v>
      </c>
      <c r="C9" s="125" t="s">
        <v>892</v>
      </c>
      <c r="D9" s="21"/>
      <c r="E9" s="21"/>
      <c r="F9" s="21"/>
    </row>
    <row r="10" spans="1:6" ht="13" customHeight="1" x14ac:dyDescent="0.2">
      <c r="A10" s="123"/>
      <c r="B10" s="124" t="s">
        <v>893</v>
      </c>
      <c r="C10" s="125" t="s">
        <v>894</v>
      </c>
      <c r="D10" s="21"/>
      <c r="E10" s="21"/>
      <c r="F10" s="21"/>
    </row>
    <row r="12" spans="1:6" ht="20" customHeight="1" x14ac:dyDescent="0.2">
      <c r="A12" s="120" t="s">
        <v>884</v>
      </c>
      <c r="B12" s="121" t="s">
        <v>895</v>
      </c>
      <c r="C12" s="122" t="s">
        <v>896</v>
      </c>
      <c r="D12" s="21"/>
      <c r="E12" s="21"/>
      <c r="F12" s="21"/>
    </row>
    <row r="13" spans="1:6" ht="13" customHeight="1" x14ac:dyDescent="0.2">
      <c r="A13" s="123"/>
      <c r="B13" s="124" t="s">
        <v>887</v>
      </c>
      <c r="C13" s="125" t="s">
        <v>897</v>
      </c>
      <c r="D13" s="21"/>
      <c r="E13" s="21"/>
      <c r="F13" s="21"/>
    </row>
    <row r="14" spans="1:6" ht="13" customHeight="1" x14ac:dyDescent="0.2">
      <c r="A14" s="123"/>
      <c r="B14" s="124" t="s">
        <v>889</v>
      </c>
      <c r="C14" s="125" t="s">
        <v>898</v>
      </c>
      <c r="D14" s="21"/>
      <c r="E14" s="21"/>
      <c r="F14" s="21"/>
    </row>
    <row r="15" spans="1:6" ht="13" customHeight="1" x14ac:dyDescent="0.2">
      <c r="A15" s="123"/>
      <c r="B15" s="124" t="s">
        <v>891</v>
      </c>
      <c r="C15" s="125" t="s">
        <v>899</v>
      </c>
      <c r="D15" s="21"/>
      <c r="E15" s="21"/>
      <c r="F15" s="21"/>
    </row>
    <row r="16" spans="1:6" ht="13" customHeight="1" x14ac:dyDescent="0.2">
      <c r="A16" s="123"/>
      <c r="B16" s="124" t="s">
        <v>893</v>
      </c>
      <c r="C16" s="125" t="s">
        <v>900</v>
      </c>
      <c r="D16" s="21"/>
      <c r="E16" s="21"/>
      <c r="F16" s="21"/>
    </row>
    <row r="18" spans="1:6" ht="24" customHeight="1" x14ac:dyDescent="0.2">
      <c r="A18" s="120" t="s">
        <v>884</v>
      </c>
      <c r="B18" s="121" t="s">
        <v>901</v>
      </c>
      <c r="C18" s="122" t="s">
        <v>902</v>
      </c>
      <c r="D18" s="21"/>
      <c r="E18" s="21"/>
      <c r="F18" s="21"/>
    </row>
    <row r="19" spans="1:6" ht="13" customHeight="1" x14ac:dyDescent="0.2">
      <c r="A19" s="123"/>
      <c r="B19" s="124" t="s">
        <v>887</v>
      </c>
      <c r="C19" s="125" t="s">
        <v>903</v>
      </c>
      <c r="D19" s="21"/>
      <c r="E19" s="21"/>
      <c r="F19" s="21"/>
    </row>
    <row r="20" spans="1:6" ht="13" customHeight="1" x14ac:dyDescent="0.2">
      <c r="A20" s="123"/>
      <c r="B20" s="124" t="s">
        <v>889</v>
      </c>
      <c r="C20" s="125" t="s">
        <v>904</v>
      </c>
      <c r="D20" s="21"/>
      <c r="E20" s="21"/>
      <c r="F20" s="21"/>
    </row>
    <row r="21" spans="1:6" ht="13" customHeight="1" x14ac:dyDescent="0.2">
      <c r="A21" s="123"/>
      <c r="B21" s="124" t="s">
        <v>891</v>
      </c>
      <c r="C21" s="125" t="s">
        <v>905</v>
      </c>
      <c r="D21" s="21"/>
      <c r="E21" s="21"/>
      <c r="F21" s="21"/>
    </row>
    <row r="22" spans="1:6" ht="13" customHeight="1" x14ac:dyDescent="0.2">
      <c r="A22" s="123"/>
      <c r="B22" s="124" t="s">
        <v>893</v>
      </c>
      <c r="C22" s="125" t="s">
        <v>906</v>
      </c>
      <c r="D22" s="21"/>
      <c r="E22" s="21"/>
      <c r="F22" s="21"/>
    </row>
    <row r="24" spans="1:6" ht="20" customHeight="1" x14ac:dyDescent="0.2">
      <c r="A24" s="131" t="s">
        <v>907</v>
      </c>
      <c r="B24" s="132"/>
      <c r="C24" s="132"/>
      <c r="D24" s="132"/>
      <c r="E24" s="132"/>
      <c r="F24" s="132"/>
    </row>
    <row r="25" spans="1:6" ht="20" customHeight="1" x14ac:dyDescent="0.2">
      <c r="A25" s="120" t="s">
        <v>908</v>
      </c>
      <c r="B25" s="121" t="s">
        <v>909</v>
      </c>
      <c r="C25" s="122" t="s">
        <v>910</v>
      </c>
      <c r="D25" s="21"/>
      <c r="E25" s="21"/>
      <c r="F25" s="21"/>
    </row>
    <row r="26" spans="1:6" ht="22" customHeight="1" x14ac:dyDescent="0.2">
      <c r="A26" s="123"/>
      <c r="B26" s="124" t="s">
        <v>887</v>
      </c>
      <c r="C26" s="125" t="s">
        <v>911</v>
      </c>
      <c r="D26" s="21"/>
      <c r="E26" s="21"/>
      <c r="F26" s="21"/>
    </row>
    <row r="27" spans="1:6" ht="13" customHeight="1" x14ac:dyDescent="0.2">
      <c r="A27" s="123"/>
      <c r="B27" s="124" t="s">
        <v>889</v>
      </c>
      <c r="C27" s="125" t="s">
        <v>912</v>
      </c>
      <c r="D27" s="21"/>
      <c r="E27" s="21"/>
      <c r="F27" s="21"/>
    </row>
    <row r="28" spans="1:6" ht="22" customHeight="1" x14ac:dyDescent="0.2">
      <c r="A28" s="123"/>
      <c r="B28" s="124" t="s">
        <v>891</v>
      </c>
      <c r="C28" s="125" t="s">
        <v>913</v>
      </c>
      <c r="D28" s="21"/>
      <c r="E28" s="21"/>
      <c r="F28" s="21"/>
    </row>
    <row r="29" spans="1:6" ht="13" customHeight="1" x14ac:dyDescent="0.2">
      <c r="A29" s="123"/>
      <c r="B29" s="124" t="s">
        <v>893</v>
      </c>
      <c r="C29" s="125" t="s">
        <v>914</v>
      </c>
      <c r="D29" s="21"/>
      <c r="E29" s="21"/>
      <c r="F29" s="21"/>
    </row>
    <row r="31" spans="1:6" ht="20" customHeight="1" x14ac:dyDescent="0.2">
      <c r="A31" s="120" t="s">
        <v>908</v>
      </c>
      <c r="B31" s="121" t="s">
        <v>915</v>
      </c>
      <c r="C31" s="122" t="s">
        <v>916</v>
      </c>
      <c r="D31" s="21"/>
      <c r="E31" s="21"/>
      <c r="F31" s="21"/>
    </row>
    <row r="32" spans="1:6" ht="13" customHeight="1" x14ac:dyDescent="0.2">
      <c r="A32" s="123"/>
      <c r="B32" s="124" t="s">
        <v>887</v>
      </c>
      <c r="C32" s="125" t="s">
        <v>917</v>
      </c>
      <c r="D32" s="21"/>
      <c r="E32" s="21"/>
      <c r="F32" s="21"/>
    </row>
    <row r="33" spans="1:6" ht="13" customHeight="1" x14ac:dyDescent="0.2">
      <c r="A33" s="123"/>
      <c r="B33" s="124" t="s">
        <v>889</v>
      </c>
      <c r="C33" s="125" t="s">
        <v>918</v>
      </c>
      <c r="D33" s="21"/>
      <c r="E33" s="21"/>
      <c r="F33" s="21"/>
    </row>
    <row r="34" spans="1:6" ht="13" customHeight="1" x14ac:dyDescent="0.2">
      <c r="A34" s="123"/>
      <c r="B34" s="124" t="s">
        <v>891</v>
      </c>
      <c r="C34" s="125" t="s">
        <v>919</v>
      </c>
      <c r="D34" s="21"/>
      <c r="E34" s="21"/>
      <c r="F34" s="21"/>
    </row>
    <row r="35" spans="1:6" ht="13" customHeight="1" x14ac:dyDescent="0.2">
      <c r="A35" s="123"/>
      <c r="B35" s="124" t="s">
        <v>893</v>
      </c>
      <c r="C35" s="125" t="s">
        <v>920</v>
      </c>
      <c r="D35" s="21"/>
      <c r="E35" s="21"/>
      <c r="F35" s="21"/>
    </row>
    <row r="37" spans="1:6" ht="20" customHeight="1" x14ac:dyDescent="0.2">
      <c r="A37" s="120" t="s">
        <v>908</v>
      </c>
      <c r="B37" s="121" t="s">
        <v>921</v>
      </c>
      <c r="C37" s="122" t="s">
        <v>922</v>
      </c>
      <c r="D37" s="21"/>
      <c r="E37" s="21"/>
      <c r="F37" s="21"/>
    </row>
    <row r="38" spans="1:6" ht="13" customHeight="1" x14ac:dyDescent="0.2">
      <c r="A38" s="123"/>
      <c r="B38" s="124" t="s">
        <v>887</v>
      </c>
      <c r="C38" s="125" t="s">
        <v>923</v>
      </c>
      <c r="D38" s="21"/>
      <c r="E38" s="21"/>
      <c r="F38" s="21"/>
    </row>
    <row r="39" spans="1:6" ht="13" customHeight="1" x14ac:dyDescent="0.2">
      <c r="A39" s="123"/>
      <c r="B39" s="124" t="s">
        <v>889</v>
      </c>
      <c r="C39" s="125" t="s">
        <v>924</v>
      </c>
      <c r="D39" s="21"/>
      <c r="E39" s="21"/>
      <c r="F39" s="21"/>
    </row>
    <row r="40" spans="1:6" ht="13" customHeight="1" x14ac:dyDescent="0.2">
      <c r="A40" s="123"/>
      <c r="B40" s="124" t="s">
        <v>891</v>
      </c>
      <c r="C40" s="125" t="s">
        <v>925</v>
      </c>
      <c r="D40" s="21"/>
      <c r="E40" s="21"/>
      <c r="F40" s="21"/>
    </row>
    <row r="41" spans="1:6" ht="13" customHeight="1" x14ac:dyDescent="0.2">
      <c r="A41" s="123"/>
      <c r="B41" s="124" t="s">
        <v>893</v>
      </c>
      <c r="C41" s="125" t="s">
        <v>926</v>
      </c>
      <c r="D41" s="21"/>
      <c r="E41" s="21"/>
      <c r="F41" s="21"/>
    </row>
    <row r="43" spans="1:6" ht="20" customHeight="1" x14ac:dyDescent="0.2">
      <c r="A43" s="120" t="s">
        <v>908</v>
      </c>
      <c r="B43" s="121" t="s">
        <v>927</v>
      </c>
      <c r="C43" s="122" t="s">
        <v>928</v>
      </c>
      <c r="D43" s="21"/>
      <c r="E43" s="21"/>
      <c r="F43" s="21"/>
    </row>
    <row r="44" spans="1:6" ht="13" customHeight="1" x14ac:dyDescent="0.2">
      <c r="A44" s="123"/>
      <c r="B44" s="124" t="s">
        <v>887</v>
      </c>
      <c r="C44" s="125" t="s">
        <v>929</v>
      </c>
      <c r="D44" s="21"/>
      <c r="E44" s="21"/>
      <c r="F44" s="21"/>
    </row>
    <row r="45" spans="1:6" ht="13" customHeight="1" x14ac:dyDescent="0.2">
      <c r="A45" s="123"/>
      <c r="B45" s="124" t="s">
        <v>889</v>
      </c>
      <c r="C45" s="125" t="s">
        <v>930</v>
      </c>
      <c r="D45" s="21"/>
      <c r="E45" s="21"/>
      <c r="F45" s="21"/>
    </row>
    <row r="46" spans="1:6" ht="13" customHeight="1" x14ac:dyDescent="0.2">
      <c r="A46" s="123"/>
      <c r="B46" s="124" t="s">
        <v>891</v>
      </c>
      <c r="C46" s="125" t="s">
        <v>931</v>
      </c>
      <c r="D46" s="21"/>
      <c r="E46" s="21"/>
      <c r="F46" s="21"/>
    </row>
    <row r="47" spans="1:6" ht="13" customHeight="1" x14ac:dyDescent="0.2">
      <c r="A47" s="123"/>
      <c r="B47" s="124" t="s">
        <v>893</v>
      </c>
      <c r="C47" s="125" t="s">
        <v>932</v>
      </c>
      <c r="D47" s="21"/>
      <c r="E47" s="21"/>
      <c r="F47" s="21"/>
    </row>
    <row r="49" spans="1:6" ht="20" customHeight="1" x14ac:dyDescent="0.2">
      <c r="A49" s="131" t="s">
        <v>933</v>
      </c>
      <c r="B49" s="132"/>
      <c r="C49" s="132"/>
      <c r="D49" s="132"/>
      <c r="E49" s="132"/>
      <c r="F49" s="132"/>
    </row>
    <row r="50" spans="1:6" ht="24" customHeight="1" x14ac:dyDescent="0.2">
      <c r="A50" s="120" t="s">
        <v>934</v>
      </c>
      <c r="B50" s="121" t="s">
        <v>935</v>
      </c>
      <c r="C50" s="122" t="s">
        <v>936</v>
      </c>
      <c r="D50" s="21"/>
      <c r="E50" s="21"/>
      <c r="F50" s="21"/>
    </row>
    <row r="51" spans="1:6" ht="13" customHeight="1" x14ac:dyDescent="0.2">
      <c r="A51" s="123"/>
      <c r="B51" s="124" t="s">
        <v>887</v>
      </c>
      <c r="C51" s="125" t="s">
        <v>937</v>
      </c>
      <c r="D51" s="21"/>
      <c r="E51" s="21"/>
      <c r="F51" s="21"/>
    </row>
    <row r="52" spans="1:6" ht="13" customHeight="1" x14ac:dyDescent="0.2">
      <c r="A52" s="123"/>
      <c r="B52" s="124" t="s">
        <v>889</v>
      </c>
      <c r="C52" s="125" t="s">
        <v>938</v>
      </c>
      <c r="D52" s="21"/>
      <c r="E52" s="21"/>
      <c r="F52" s="21"/>
    </row>
    <row r="53" spans="1:6" ht="13" customHeight="1" x14ac:dyDescent="0.2">
      <c r="A53" s="123"/>
      <c r="B53" s="124" t="s">
        <v>891</v>
      </c>
      <c r="C53" s="125" t="s">
        <v>939</v>
      </c>
      <c r="D53" s="21"/>
      <c r="E53" s="21"/>
      <c r="F53" s="21"/>
    </row>
    <row r="54" spans="1:6" ht="13" customHeight="1" x14ac:dyDescent="0.2">
      <c r="A54" s="123"/>
      <c r="B54" s="124" t="s">
        <v>893</v>
      </c>
      <c r="C54" s="125" t="s">
        <v>940</v>
      </c>
      <c r="D54" s="21"/>
      <c r="E54" s="21"/>
      <c r="F54" s="21"/>
    </row>
    <row r="56" spans="1:6" ht="24" customHeight="1" x14ac:dyDescent="0.2">
      <c r="A56" s="120" t="s">
        <v>934</v>
      </c>
      <c r="B56" s="121" t="s">
        <v>941</v>
      </c>
      <c r="C56" s="122" t="s">
        <v>942</v>
      </c>
      <c r="D56" s="21"/>
      <c r="E56" s="21"/>
      <c r="F56" s="21"/>
    </row>
    <row r="57" spans="1:6" ht="22" customHeight="1" x14ac:dyDescent="0.2">
      <c r="A57" s="123"/>
      <c r="B57" s="124" t="s">
        <v>887</v>
      </c>
      <c r="C57" s="125" t="s">
        <v>943</v>
      </c>
      <c r="D57" s="21"/>
      <c r="E57" s="21"/>
      <c r="F57" s="21"/>
    </row>
    <row r="58" spans="1:6" ht="13" customHeight="1" x14ac:dyDescent="0.2">
      <c r="A58" s="123"/>
      <c r="B58" s="124" t="s">
        <v>889</v>
      </c>
      <c r="C58" s="125" t="s">
        <v>944</v>
      </c>
      <c r="D58" s="21"/>
      <c r="E58" s="21"/>
      <c r="F58" s="21"/>
    </row>
    <row r="59" spans="1:6" ht="13" customHeight="1" x14ac:dyDescent="0.2">
      <c r="A59" s="123"/>
      <c r="B59" s="124" t="s">
        <v>891</v>
      </c>
      <c r="C59" s="125" t="s">
        <v>945</v>
      </c>
      <c r="D59" s="21"/>
      <c r="E59" s="21"/>
      <c r="F59" s="21"/>
    </row>
    <row r="60" spans="1:6" ht="13" customHeight="1" x14ac:dyDescent="0.2">
      <c r="A60" s="123"/>
      <c r="B60" s="124" t="s">
        <v>893</v>
      </c>
      <c r="C60" s="125" t="s">
        <v>946</v>
      </c>
      <c r="D60" s="21"/>
      <c r="E60" s="21"/>
      <c r="F60" s="21"/>
    </row>
    <row r="62" spans="1:6" ht="20" customHeight="1" x14ac:dyDescent="0.2">
      <c r="A62" s="120" t="s">
        <v>934</v>
      </c>
      <c r="B62" s="121" t="s">
        <v>947</v>
      </c>
      <c r="C62" s="122" t="s">
        <v>948</v>
      </c>
      <c r="D62" s="21"/>
      <c r="E62" s="21"/>
      <c r="F62" s="21"/>
    </row>
    <row r="63" spans="1:6" ht="13" customHeight="1" x14ac:dyDescent="0.2">
      <c r="A63" s="123"/>
      <c r="B63" s="124" t="s">
        <v>887</v>
      </c>
      <c r="C63" s="125" t="s">
        <v>949</v>
      </c>
      <c r="D63" s="21"/>
      <c r="E63" s="21"/>
      <c r="F63" s="21"/>
    </row>
    <row r="64" spans="1:6" ht="13" customHeight="1" x14ac:dyDescent="0.2">
      <c r="A64" s="123"/>
      <c r="B64" s="124" t="s">
        <v>889</v>
      </c>
      <c r="C64" s="125" t="s">
        <v>950</v>
      </c>
      <c r="D64" s="21"/>
      <c r="E64" s="21"/>
      <c r="F64" s="21"/>
    </row>
    <row r="65" spans="1:6" ht="22" customHeight="1" x14ac:dyDescent="0.2">
      <c r="A65" s="123"/>
      <c r="B65" s="124" t="s">
        <v>891</v>
      </c>
      <c r="C65" s="125" t="s">
        <v>951</v>
      </c>
      <c r="D65" s="21"/>
      <c r="E65" s="21"/>
      <c r="F65" s="21"/>
    </row>
    <row r="66" spans="1:6" ht="13" customHeight="1" x14ac:dyDescent="0.2">
      <c r="A66" s="123"/>
      <c r="B66" s="124" t="s">
        <v>893</v>
      </c>
      <c r="C66" s="125" t="s">
        <v>952</v>
      </c>
      <c r="D66" s="21"/>
      <c r="E66" s="21"/>
      <c r="F66" s="21"/>
    </row>
    <row r="68" spans="1:6" ht="36" customHeight="1" x14ac:dyDescent="0.2">
      <c r="A68" s="139" t="s">
        <v>953</v>
      </c>
      <c r="B68" s="130"/>
      <c r="C68" s="130"/>
      <c r="D68" s="130"/>
      <c r="E68" s="130"/>
      <c r="F68" s="130"/>
    </row>
  </sheetData>
  <mergeCells count="7">
    <mergeCell ref="A24:F24"/>
    <mergeCell ref="A2:F2"/>
    <mergeCell ref="A49:F49"/>
    <mergeCell ref="A68:F68"/>
    <mergeCell ref="A1:F1"/>
    <mergeCell ref="A5:F5"/>
    <mergeCell ref="A3:F3"/>
  </mergeCells>
  <printOptions horizontalCentered="1"/>
  <pageMargins left="0.75" right="0.75" top="1" bottom="1" header="0.5" footer="0.5"/>
  <pageSetup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535B"/>
    <pageSetUpPr fitToPage="1"/>
  </sheetPr>
  <dimension ref="A1:I37"/>
  <sheetViews>
    <sheetView showGridLines="0" workbookViewId="0">
      <selection sqref="A1:I1"/>
    </sheetView>
  </sheetViews>
  <sheetFormatPr baseColWidth="10" defaultColWidth="8.83203125" defaultRowHeight="15" x14ac:dyDescent="0.2"/>
  <cols>
    <col min="1" max="1" width="26" customWidth="1"/>
    <col min="2" max="2" width="22" customWidth="1"/>
    <col min="3" max="3" width="20" customWidth="1"/>
    <col min="4" max="4" width="18" customWidth="1"/>
    <col min="5" max="9" width="16" customWidth="1"/>
  </cols>
  <sheetData>
    <row r="1" spans="1:9" ht="24" customHeight="1" x14ac:dyDescent="0.25">
      <c r="A1" s="140" t="s">
        <v>954</v>
      </c>
      <c r="B1" s="130"/>
      <c r="C1" s="130"/>
      <c r="D1" s="130"/>
      <c r="E1" s="130"/>
      <c r="F1" s="130"/>
      <c r="G1" s="130"/>
      <c r="H1" s="130"/>
      <c r="I1" s="130"/>
    </row>
    <row r="2" spans="1:9" ht="3" customHeight="1" x14ac:dyDescent="0.2">
      <c r="A2" s="137"/>
      <c r="B2" s="130"/>
      <c r="C2" s="130"/>
      <c r="D2" s="130"/>
      <c r="E2" s="130"/>
      <c r="F2" s="130"/>
      <c r="G2" s="130"/>
      <c r="H2" s="130"/>
      <c r="I2" s="130"/>
    </row>
    <row r="3" spans="1:9" ht="36" customHeight="1" x14ac:dyDescent="0.2">
      <c r="A3" s="136" t="s">
        <v>955</v>
      </c>
      <c r="B3" s="130"/>
      <c r="C3" s="130"/>
      <c r="D3" s="130"/>
      <c r="E3" s="130"/>
      <c r="F3" s="130"/>
      <c r="G3" s="130"/>
      <c r="H3" s="130"/>
      <c r="I3" s="130"/>
    </row>
    <row r="5" spans="1:9" ht="20" customHeight="1" x14ac:dyDescent="0.2">
      <c r="A5" s="126" t="s">
        <v>956</v>
      </c>
      <c r="B5" s="126" t="s">
        <v>957</v>
      </c>
      <c r="C5" s="126" t="s">
        <v>958</v>
      </c>
      <c r="D5" s="126" t="s">
        <v>959</v>
      </c>
      <c r="E5" s="126" t="s">
        <v>960</v>
      </c>
      <c r="F5" s="126" t="s">
        <v>961</v>
      </c>
      <c r="G5" s="126" t="s">
        <v>962</v>
      </c>
      <c r="H5" s="126" t="s">
        <v>963</v>
      </c>
      <c r="I5" s="126" t="s">
        <v>964</v>
      </c>
    </row>
    <row r="6" spans="1:9" ht="150" customHeight="1" x14ac:dyDescent="0.2">
      <c r="A6" s="73" t="s">
        <v>965</v>
      </c>
      <c r="B6" s="127" t="s">
        <v>966</v>
      </c>
      <c r="C6" s="127" t="s">
        <v>967</v>
      </c>
      <c r="D6" s="127" t="s">
        <v>968</v>
      </c>
      <c r="E6" s="127" t="s">
        <v>969</v>
      </c>
      <c r="F6" s="127" t="s">
        <v>970</v>
      </c>
      <c r="G6" s="127">
        <v>14</v>
      </c>
      <c r="H6" s="127" t="s">
        <v>971</v>
      </c>
      <c r="I6" s="127" t="s">
        <v>972</v>
      </c>
    </row>
    <row r="7" spans="1:9" ht="190" customHeight="1" x14ac:dyDescent="0.2">
      <c r="A7" s="73" t="s">
        <v>973</v>
      </c>
      <c r="B7" s="127" t="s">
        <v>974</v>
      </c>
      <c r="C7" s="127" t="s">
        <v>975</v>
      </c>
      <c r="D7" s="127" t="s">
        <v>976</v>
      </c>
      <c r="E7" s="127" t="s">
        <v>977</v>
      </c>
      <c r="F7" s="127" t="s">
        <v>978</v>
      </c>
      <c r="G7" s="127">
        <v>50</v>
      </c>
      <c r="H7" s="127" t="s">
        <v>979</v>
      </c>
      <c r="I7" s="127" t="s">
        <v>980</v>
      </c>
    </row>
    <row r="8" spans="1:9" ht="190" customHeight="1" x14ac:dyDescent="0.2">
      <c r="A8" s="73" t="s">
        <v>503</v>
      </c>
      <c r="B8" s="127" t="s">
        <v>981</v>
      </c>
      <c r="C8" s="127" t="s">
        <v>982</v>
      </c>
      <c r="D8" s="127" t="s">
        <v>983</v>
      </c>
      <c r="E8" s="127" t="s">
        <v>984</v>
      </c>
      <c r="F8" s="127" t="s">
        <v>985</v>
      </c>
      <c r="G8" s="127">
        <v>6</v>
      </c>
      <c r="H8" s="127" t="s">
        <v>986</v>
      </c>
      <c r="I8" s="127" t="s">
        <v>987</v>
      </c>
    </row>
    <row r="9" spans="1:9" ht="110" customHeight="1" x14ac:dyDescent="0.2">
      <c r="A9" s="73" t="s">
        <v>988</v>
      </c>
      <c r="B9" s="127" t="s">
        <v>989</v>
      </c>
      <c r="C9" s="127" t="s">
        <v>990</v>
      </c>
      <c r="D9" s="127" t="s">
        <v>991</v>
      </c>
      <c r="E9" s="127" t="s">
        <v>992</v>
      </c>
      <c r="F9" s="127" t="s">
        <v>993</v>
      </c>
      <c r="G9" s="127">
        <v>33</v>
      </c>
      <c r="H9" s="127" t="s">
        <v>994</v>
      </c>
      <c r="I9" s="127" t="s">
        <v>995</v>
      </c>
    </row>
    <row r="10" spans="1:9" ht="150" customHeight="1" x14ac:dyDescent="0.2">
      <c r="A10" s="73" t="s">
        <v>996</v>
      </c>
      <c r="B10" s="127" t="s">
        <v>997</v>
      </c>
      <c r="C10" s="127" t="s">
        <v>998</v>
      </c>
      <c r="D10" s="127" t="s">
        <v>999</v>
      </c>
      <c r="E10" s="127" t="s">
        <v>1000</v>
      </c>
      <c r="F10" s="127" t="s">
        <v>1001</v>
      </c>
      <c r="G10" s="127">
        <v>7</v>
      </c>
      <c r="H10" s="127" t="s">
        <v>1002</v>
      </c>
      <c r="I10" s="127" t="s">
        <v>1003</v>
      </c>
    </row>
    <row r="11" spans="1:9" ht="190" customHeight="1" x14ac:dyDescent="0.2">
      <c r="A11" s="73" t="s">
        <v>597</v>
      </c>
      <c r="B11" s="127" t="s">
        <v>1004</v>
      </c>
      <c r="C11" s="127" t="s">
        <v>1005</v>
      </c>
      <c r="D11" s="127" t="s">
        <v>1006</v>
      </c>
      <c r="E11" s="127" t="s">
        <v>1007</v>
      </c>
      <c r="F11" s="127" t="s">
        <v>1008</v>
      </c>
      <c r="G11" s="127">
        <v>7</v>
      </c>
      <c r="H11" s="127" t="s">
        <v>1009</v>
      </c>
      <c r="I11" s="127" t="s">
        <v>1010</v>
      </c>
    </row>
    <row r="12" spans="1:9" ht="150" customHeight="1" x14ac:dyDescent="0.2">
      <c r="A12" s="73" t="s">
        <v>1011</v>
      </c>
      <c r="B12" s="127" t="s">
        <v>1012</v>
      </c>
      <c r="C12" s="127" t="s">
        <v>1013</v>
      </c>
      <c r="D12" s="127" t="s">
        <v>1014</v>
      </c>
      <c r="E12" s="127" t="s">
        <v>1015</v>
      </c>
      <c r="F12" s="127" t="s">
        <v>1016</v>
      </c>
      <c r="G12" s="127">
        <v>3</v>
      </c>
      <c r="H12" s="127" t="s">
        <v>1017</v>
      </c>
      <c r="I12" s="127" t="s">
        <v>1018</v>
      </c>
    </row>
    <row r="13" spans="1:9" ht="130" customHeight="1" x14ac:dyDescent="0.2">
      <c r="A13" s="73" t="s">
        <v>1019</v>
      </c>
      <c r="B13" s="127" t="s">
        <v>1020</v>
      </c>
      <c r="C13" s="127" t="s">
        <v>1021</v>
      </c>
      <c r="D13" s="127" t="s">
        <v>1022</v>
      </c>
      <c r="E13" s="127" t="s">
        <v>1023</v>
      </c>
      <c r="F13" s="127" t="s">
        <v>1024</v>
      </c>
      <c r="G13" s="127">
        <v>1</v>
      </c>
      <c r="H13" s="127" t="s">
        <v>630</v>
      </c>
      <c r="I13" s="127" t="s">
        <v>1025</v>
      </c>
    </row>
    <row r="14" spans="1:9" ht="80" customHeight="1" x14ac:dyDescent="0.2">
      <c r="A14" s="73" t="s">
        <v>1026</v>
      </c>
      <c r="B14" s="127" t="s">
        <v>1027</v>
      </c>
      <c r="C14" s="127" t="s">
        <v>1028</v>
      </c>
      <c r="D14" s="127" t="s">
        <v>1029</v>
      </c>
      <c r="E14" s="127" t="s">
        <v>1030</v>
      </c>
      <c r="F14" s="127" t="s">
        <v>1031</v>
      </c>
      <c r="G14" s="127">
        <v>4</v>
      </c>
      <c r="H14" s="127" t="s">
        <v>1032</v>
      </c>
      <c r="I14" s="127" t="s">
        <v>1033</v>
      </c>
    </row>
    <row r="15" spans="1:9" ht="160" customHeight="1" x14ac:dyDescent="0.2">
      <c r="A15" s="73" t="s">
        <v>1034</v>
      </c>
      <c r="B15" s="127" t="s">
        <v>1035</v>
      </c>
      <c r="C15" s="127" t="s">
        <v>1036</v>
      </c>
      <c r="D15" s="127" t="s">
        <v>1037</v>
      </c>
      <c r="E15" s="127" t="s">
        <v>1038</v>
      </c>
      <c r="F15" s="127" t="s">
        <v>1038</v>
      </c>
      <c r="G15" s="127">
        <v>0</v>
      </c>
      <c r="H15" s="127"/>
      <c r="I15" s="127" t="s">
        <v>1039</v>
      </c>
    </row>
    <row r="16" spans="1:9" ht="20" customHeight="1" x14ac:dyDescent="0.2">
      <c r="A16" s="73" t="s">
        <v>1040</v>
      </c>
      <c r="B16" s="127"/>
      <c r="C16" s="127"/>
      <c r="D16" s="127"/>
      <c r="E16" s="127"/>
      <c r="F16" s="127"/>
      <c r="G16" s="127"/>
      <c r="H16" s="127"/>
      <c r="I16" s="127"/>
    </row>
    <row r="17" spans="1:9" ht="100" customHeight="1" x14ac:dyDescent="0.2">
      <c r="A17" s="73" t="s">
        <v>1041</v>
      </c>
      <c r="B17" s="127"/>
      <c r="C17" s="127"/>
      <c r="D17" s="127"/>
      <c r="E17" s="127"/>
      <c r="F17" s="127"/>
      <c r="G17" s="127"/>
      <c r="H17" s="127"/>
      <c r="I17" s="127"/>
    </row>
    <row r="18" spans="1:9" ht="110" customHeight="1" x14ac:dyDescent="0.2">
      <c r="A18" s="73" t="s">
        <v>1042</v>
      </c>
      <c r="B18" s="127"/>
      <c r="C18" s="127"/>
      <c r="D18" s="127"/>
      <c r="E18" s="127"/>
      <c r="F18" s="127"/>
      <c r="G18" s="127"/>
      <c r="H18" s="127"/>
      <c r="I18" s="127"/>
    </row>
    <row r="19" spans="1:9" ht="20" customHeight="1" x14ac:dyDescent="0.2">
      <c r="A19" s="73" t="s">
        <v>1043</v>
      </c>
      <c r="B19" s="127"/>
      <c r="C19" s="127"/>
      <c r="D19" s="127">
        <v>125</v>
      </c>
      <c r="E19" s="127"/>
      <c r="F19" s="127"/>
      <c r="G19" s="127"/>
      <c r="H19" s="127"/>
      <c r="I19" s="127"/>
    </row>
    <row r="20" spans="1:9" ht="20" customHeight="1" x14ac:dyDescent="0.2">
      <c r="A20" s="73" t="s">
        <v>1044</v>
      </c>
      <c r="B20" s="127"/>
      <c r="C20" s="127"/>
      <c r="D20" s="127">
        <v>115</v>
      </c>
      <c r="E20" s="127"/>
      <c r="F20" s="127"/>
      <c r="G20" s="127"/>
      <c r="H20" s="127"/>
      <c r="I20" s="127"/>
    </row>
    <row r="21" spans="1:9" ht="20" customHeight="1" x14ac:dyDescent="0.2">
      <c r="A21" s="73" t="s">
        <v>1045</v>
      </c>
      <c r="B21" s="127"/>
      <c r="C21" s="127"/>
      <c r="D21" s="127">
        <v>10</v>
      </c>
      <c r="E21" s="127"/>
      <c r="F21" s="127"/>
      <c r="G21" s="127"/>
      <c r="H21" s="127"/>
      <c r="I21" s="127"/>
    </row>
    <row r="22" spans="1:9" ht="30" customHeight="1" x14ac:dyDescent="0.2">
      <c r="A22" s="73" t="s">
        <v>1046</v>
      </c>
      <c r="B22" s="127"/>
      <c r="C22" s="127"/>
      <c r="D22" s="127"/>
      <c r="E22" s="127"/>
      <c r="F22" s="127"/>
      <c r="G22" s="127"/>
      <c r="H22" s="127"/>
      <c r="I22" s="127"/>
    </row>
    <row r="23" spans="1:9" ht="200" customHeight="1" x14ac:dyDescent="0.2">
      <c r="A23" s="73" t="s">
        <v>1047</v>
      </c>
      <c r="B23" s="127"/>
      <c r="C23" s="127"/>
      <c r="D23" s="127"/>
      <c r="E23" s="127"/>
      <c r="F23" s="127"/>
      <c r="G23" s="127"/>
      <c r="H23" s="127"/>
      <c r="I23" s="127"/>
    </row>
    <row r="24" spans="1:9" ht="240" customHeight="1" x14ac:dyDescent="0.2">
      <c r="A24" s="73" t="s">
        <v>1048</v>
      </c>
      <c r="B24" s="127"/>
      <c r="C24" s="127"/>
      <c r="D24" s="127"/>
      <c r="E24" s="127"/>
      <c r="F24" s="127"/>
      <c r="G24" s="127"/>
      <c r="H24" s="127"/>
      <c r="I24" s="127"/>
    </row>
    <row r="25" spans="1:9" ht="150" customHeight="1" x14ac:dyDescent="0.2">
      <c r="A25" s="73" t="s">
        <v>1049</v>
      </c>
      <c r="B25" s="127"/>
      <c r="C25" s="127"/>
      <c r="D25" s="127"/>
      <c r="E25" s="127"/>
      <c r="F25" s="127"/>
      <c r="G25" s="127"/>
      <c r="H25" s="127"/>
      <c r="I25" s="127"/>
    </row>
    <row r="26" spans="1:9" ht="120" customHeight="1" x14ac:dyDescent="0.2">
      <c r="A26" s="73" t="s">
        <v>1050</v>
      </c>
      <c r="B26" s="127"/>
      <c r="C26" s="127"/>
      <c r="D26" s="127"/>
      <c r="E26" s="127"/>
      <c r="F26" s="127"/>
      <c r="G26" s="127"/>
      <c r="H26" s="127"/>
      <c r="I26" s="127"/>
    </row>
    <row r="27" spans="1:9" ht="330" customHeight="1" x14ac:dyDescent="0.2">
      <c r="A27" s="73" t="s">
        <v>1051</v>
      </c>
      <c r="B27" s="127"/>
      <c r="C27" s="127"/>
      <c r="D27" s="127"/>
      <c r="E27" s="127"/>
      <c r="F27" s="127"/>
      <c r="G27" s="127"/>
      <c r="H27" s="127"/>
      <c r="I27" s="127"/>
    </row>
    <row r="28" spans="1:9" ht="40" customHeight="1" x14ac:dyDescent="0.2">
      <c r="A28" s="73" t="s">
        <v>1052</v>
      </c>
      <c r="B28" s="127"/>
      <c r="C28" s="127"/>
      <c r="D28" s="127"/>
      <c r="E28" s="127"/>
      <c r="F28" s="127"/>
      <c r="G28" s="127"/>
      <c r="H28" s="127"/>
      <c r="I28" s="127"/>
    </row>
    <row r="29" spans="1:9" ht="40" customHeight="1" x14ac:dyDescent="0.2">
      <c r="A29" s="73" t="s">
        <v>1053</v>
      </c>
      <c r="B29" s="127"/>
      <c r="C29" s="127"/>
      <c r="D29" s="127"/>
      <c r="E29" s="127"/>
      <c r="F29" s="127"/>
      <c r="G29" s="127"/>
      <c r="H29" s="127"/>
      <c r="I29" s="127"/>
    </row>
    <row r="30" spans="1:9" ht="320" customHeight="1" x14ac:dyDescent="0.2">
      <c r="A30" s="73" t="s">
        <v>1054</v>
      </c>
      <c r="B30" s="127"/>
      <c r="C30" s="127"/>
      <c r="D30" s="127"/>
      <c r="E30" s="127"/>
      <c r="F30" s="127"/>
      <c r="G30" s="127"/>
      <c r="H30" s="127"/>
      <c r="I30" s="127"/>
    </row>
    <row r="31" spans="1:9" ht="230" customHeight="1" x14ac:dyDescent="0.2">
      <c r="A31" s="73" t="s">
        <v>1055</v>
      </c>
      <c r="B31" s="127"/>
      <c r="C31" s="127"/>
      <c r="D31" s="127"/>
      <c r="E31" s="127"/>
      <c r="F31" s="127"/>
      <c r="G31" s="127"/>
      <c r="H31" s="127"/>
      <c r="I31" s="127"/>
    </row>
    <row r="32" spans="1:9" ht="50" customHeight="1" x14ac:dyDescent="0.2">
      <c r="A32" s="73" t="s">
        <v>1056</v>
      </c>
      <c r="B32" s="127"/>
      <c r="C32" s="127"/>
      <c r="D32" s="127"/>
      <c r="E32" s="127"/>
      <c r="F32" s="127"/>
      <c r="G32" s="127"/>
      <c r="H32" s="127"/>
      <c r="I32" s="127"/>
    </row>
    <row r="33" spans="1:9" ht="40" customHeight="1" x14ac:dyDescent="0.2">
      <c r="A33" s="73" t="s">
        <v>1057</v>
      </c>
      <c r="B33" s="127"/>
      <c r="C33" s="127"/>
      <c r="D33" s="127"/>
      <c r="E33" s="127"/>
      <c r="F33" s="127"/>
      <c r="G33" s="127"/>
      <c r="H33" s="127"/>
      <c r="I33" s="127"/>
    </row>
    <row r="34" spans="1:9" ht="70" customHeight="1" x14ac:dyDescent="0.2">
      <c r="A34" s="73" t="s">
        <v>1058</v>
      </c>
      <c r="B34" s="127"/>
      <c r="C34" s="127"/>
      <c r="D34" s="127"/>
      <c r="E34" s="127"/>
      <c r="F34" s="127"/>
      <c r="G34" s="127"/>
      <c r="H34" s="127"/>
      <c r="I34" s="127"/>
    </row>
    <row r="35" spans="1:9" ht="50" customHeight="1" x14ac:dyDescent="0.2">
      <c r="A35" s="73" t="s">
        <v>1059</v>
      </c>
      <c r="B35" s="127"/>
      <c r="C35" s="127"/>
      <c r="D35" s="127"/>
      <c r="E35" s="127"/>
      <c r="F35" s="127"/>
      <c r="G35" s="127"/>
      <c r="H35" s="127"/>
      <c r="I35" s="127"/>
    </row>
    <row r="37" spans="1:9" ht="24" customHeight="1" x14ac:dyDescent="0.2">
      <c r="A37" s="139" t="s">
        <v>1060</v>
      </c>
      <c r="B37" s="130"/>
      <c r="C37" s="130"/>
      <c r="D37" s="130"/>
      <c r="E37" s="130"/>
      <c r="F37" s="130"/>
      <c r="G37" s="130"/>
      <c r="H37" s="130"/>
      <c r="I37" s="130"/>
    </row>
  </sheetData>
  <mergeCells count="4">
    <mergeCell ref="A1:I1"/>
    <mergeCell ref="A3:I3"/>
    <mergeCell ref="A2:I2"/>
    <mergeCell ref="A37:I37"/>
  </mergeCells>
  <printOptions horizontalCentered="1"/>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535B"/>
    <pageSetUpPr fitToPage="1"/>
  </sheetPr>
  <dimension ref="A1:B26"/>
  <sheetViews>
    <sheetView showGridLines="0" workbookViewId="0">
      <selection sqref="A1:B1"/>
    </sheetView>
  </sheetViews>
  <sheetFormatPr baseColWidth="10" defaultColWidth="8.83203125" defaultRowHeight="15" x14ac:dyDescent="0.2"/>
  <cols>
    <col min="1" max="1" width="30" customWidth="1"/>
    <col min="2" max="2" width="92" customWidth="1"/>
  </cols>
  <sheetData>
    <row r="1" spans="1:2" ht="24" customHeight="1" x14ac:dyDescent="0.25">
      <c r="A1" s="140" t="s">
        <v>1061</v>
      </c>
      <c r="B1" s="130"/>
    </row>
    <row r="2" spans="1:2" ht="3" customHeight="1" x14ac:dyDescent="0.2">
      <c r="A2" s="137"/>
      <c r="B2" s="130"/>
    </row>
    <row r="4" spans="1:2" ht="20" customHeight="1" x14ac:dyDescent="0.2">
      <c r="A4" s="154" t="s">
        <v>1062</v>
      </c>
      <c r="B4" s="132"/>
    </row>
    <row r="5" spans="1:2" ht="24" customHeight="1" x14ac:dyDescent="0.2">
      <c r="A5" s="60" t="s">
        <v>1063</v>
      </c>
      <c r="B5" s="128" t="s">
        <v>1064</v>
      </c>
    </row>
    <row r="6" spans="1:2" ht="24" customHeight="1" x14ac:dyDescent="0.2">
      <c r="A6" s="60" t="s">
        <v>1065</v>
      </c>
      <c r="B6" s="128" t="s">
        <v>1066</v>
      </c>
    </row>
    <row r="7" spans="1:2" ht="36" customHeight="1" x14ac:dyDescent="0.2">
      <c r="A7" s="60" t="s">
        <v>1067</v>
      </c>
      <c r="B7" s="128" t="s">
        <v>1068</v>
      </c>
    </row>
    <row r="8" spans="1:2" ht="24" customHeight="1" x14ac:dyDescent="0.2">
      <c r="A8" s="60" t="s">
        <v>1069</v>
      </c>
      <c r="B8" s="128" t="s">
        <v>1070</v>
      </c>
    </row>
    <row r="9" spans="1:2" ht="24" customHeight="1" x14ac:dyDescent="0.2">
      <c r="A9" s="60" t="s">
        <v>1071</v>
      </c>
      <c r="B9" s="128" t="s">
        <v>1072</v>
      </c>
    </row>
    <row r="11" spans="1:2" ht="20" customHeight="1" x14ac:dyDescent="0.2">
      <c r="A11" s="154" t="s">
        <v>1073</v>
      </c>
      <c r="B11" s="132"/>
    </row>
    <row r="12" spans="1:2" ht="24" customHeight="1" x14ac:dyDescent="0.2">
      <c r="A12" s="60" t="s">
        <v>1074</v>
      </c>
      <c r="B12" s="128" t="s">
        <v>1075</v>
      </c>
    </row>
    <row r="13" spans="1:2" ht="36" customHeight="1" x14ac:dyDescent="0.2">
      <c r="A13" s="60" t="s">
        <v>1076</v>
      </c>
      <c r="B13" s="128" t="s">
        <v>1077</v>
      </c>
    </row>
    <row r="14" spans="1:2" ht="48" customHeight="1" x14ac:dyDescent="0.2">
      <c r="A14" s="60" t="s">
        <v>1078</v>
      </c>
      <c r="B14" s="128" t="s">
        <v>1079</v>
      </c>
    </row>
    <row r="15" spans="1:2" ht="24" customHeight="1" x14ac:dyDescent="0.2">
      <c r="A15" s="60" t="s">
        <v>17</v>
      </c>
      <c r="B15" s="128" t="s">
        <v>1080</v>
      </c>
    </row>
    <row r="17" spans="1:2" ht="20" customHeight="1" x14ac:dyDescent="0.2">
      <c r="A17" s="154" t="s">
        <v>1081</v>
      </c>
      <c r="B17" s="132"/>
    </row>
    <row r="18" spans="1:2" ht="36" customHeight="1" x14ac:dyDescent="0.2">
      <c r="A18" s="60" t="s">
        <v>1082</v>
      </c>
      <c r="B18" s="128" t="s">
        <v>1083</v>
      </c>
    </row>
    <row r="19" spans="1:2" ht="36" customHeight="1" x14ac:dyDescent="0.2">
      <c r="A19" s="60" t="s">
        <v>1084</v>
      </c>
      <c r="B19" s="128" t="s">
        <v>1085</v>
      </c>
    </row>
    <row r="20" spans="1:2" ht="24" customHeight="1" x14ac:dyDescent="0.2">
      <c r="A20" s="60" t="s">
        <v>1086</v>
      </c>
      <c r="B20" s="128" t="s">
        <v>1087</v>
      </c>
    </row>
    <row r="21" spans="1:2" ht="24" customHeight="1" x14ac:dyDescent="0.2">
      <c r="A21" s="60" t="s">
        <v>1088</v>
      </c>
      <c r="B21" s="128" t="s">
        <v>1089</v>
      </c>
    </row>
    <row r="22" spans="1:2" ht="24" customHeight="1" x14ac:dyDescent="0.2">
      <c r="A22" s="60" t="s">
        <v>1090</v>
      </c>
      <c r="B22" s="128" t="s">
        <v>1091</v>
      </c>
    </row>
    <row r="23" spans="1:2" ht="24" customHeight="1" x14ac:dyDescent="0.2">
      <c r="A23" s="60" t="s">
        <v>1092</v>
      </c>
      <c r="B23" s="128" t="s">
        <v>1093</v>
      </c>
    </row>
    <row r="24" spans="1:2" ht="36" customHeight="1" x14ac:dyDescent="0.2">
      <c r="A24" s="60" t="s">
        <v>1094</v>
      </c>
      <c r="B24" s="128" t="s">
        <v>1095</v>
      </c>
    </row>
    <row r="26" spans="1:2" ht="48" customHeight="1" x14ac:dyDescent="0.2">
      <c r="A26" s="139" t="s">
        <v>1096</v>
      </c>
      <c r="B26" s="130"/>
    </row>
  </sheetData>
  <mergeCells count="6">
    <mergeCell ref="A4:B4"/>
    <mergeCell ref="A26:B26"/>
    <mergeCell ref="A2:B2"/>
    <mergeCell ref="A11:B11"/>
    <mergeCell ref="A1:B1"/>
    <mergeCell ref="A17:B17"/>
  </mergeCells>
  <printOptions horizontalCentered="1"/>
  <pageMargins left="0.75" right="0.75" top="1" bottom="1"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vt:lpstr>
      <vt:lpstr>Executive Summary</vt:lpstr>
      <vt:lpstr>Inputs</vt:lpstr>
      <vt:lpstr>Sensitivity</vt:lpstr>
      <vt:lpstr>Staffing Model</vt:lpstr>
      <vt:lpstr>Financials</vt:lpstr>
      <vt:lpstr>KPI Scorecard</vt:lpstr>
      <vt:lpstr>Department Rollup</vt:lpstr>
      <vt:lpstr>Action Plan</vt:lpstr>
      <vt:lpstr>Benchmark Sources</vt:lpstr>
      <vt:lpstr>Method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 Clark</cp:lastModifiedBy>
  <dcterms:created xsi:type="dcterms:W3CDTF">2026-09-22T18:54:03Z</dcterms:created>
  <dcterms:modified xsi:type="dcterms:W3CDTF">2026-09-22T21:11:16Z</dcterms:modified>
</cp:coreProperties>
</file>