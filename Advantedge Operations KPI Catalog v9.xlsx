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Users/rcmacbook/Desktop/Mac Desktop/VMP/Advantedge Operations/Benchmark KPI/"/>
    </mc:Choice>
  </mc:AlternateContent>
  <xr:revisionPtr revIDLastSave="7" documentId="8_{B8BCC275-5EB1-E245-ACEF-546AA6055B24}" xr6:coauthVersionLast="47" xr6:coauthVersionMax="47" xr10:uidLastSave="{F228D74F-8C28-4E6A-A2C8-9C91B3E8FE64}"/>
  <bookViews>
    <workbookView xWindow="6520" yWindow="980" windowWidth="36440" windowHeight="18860" firstSheet="1" activeTab="1" xr2:uid="{00000000-000D-0000-FFFF-FFFF00000000}"/>
  </bookViews>
  <sheets>
    <sheet name="Read Me" sheetId="1" r:id="rId1"/>
    <sheet name="KPI Catalog" sheetId="2" r:id="rId2"/>
    <sheet name="SNF Five-Star Coverage" sheetId="3" r:id="rId3"/>
    <sheet name="SBC Boundary" sheetId="5" r:id="rId4"/>
    <sheet name="Care Level Filter" sheetId="4" r:id="rId5"/>
    <sheet name="Retired from v8" sheetId="6" r:id="rId6"/>
    <sheet name="Benchmark Source Map" sheetId="7" r:id="rId7"/>
    <sheet name="RC-KS KPI Comparison" sheetId="8" r:id="rId8"/>
  </sheets>
  <definedNames>
    <definedName name="_xlnm._FilterDatabase" localSheetId="1" hidden="1">'KPI Catalog'!$A$4:$O$117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8" l="1"/>
  <c r="G4" i="8"/>
  <c r="D4" i="8"/>
  <c r="B4" i="8"/>
  <c r="D5" i="8"/>
  <c r="B5" i="8"/>
  <c r="B36" i="8"/>
  <c r="B34" i="8"/>
  <c r="B29" i="8"/>
  <c r="B15" i="8"/>
  <c r="B7" i="8"/>
  <c r="D20" i="7"/>
  <c r="H13" i="7" a="1"/>
  <c r="H13" i="7" s="1"/>
  <c r="G13" i="7" a="1"/>
  <c r="G13" i="7" s="1"/>
  <c r="H12" i="7" a="1"/>
  <c r="H12" i="7" s="1"/>
  <c r="G12" i="7" a="1"/>
  <c r="G12" i="7" s="1"/>
  <c r="H11" i="7" a="1"/>
  <c r="H11" i="7" s="1"/>
  <c r="G11" i="7" a="1"/>
  <c r="G11" i="7" s="1"/>
  <c r="H10" i="7" a="1"/>
  <c r="H10" i="7" s="1"/>
  <c r="G10" i="7" a="1"/>
  <c r="G10" i="7" s="1"/>
  <c r="H9" i="7" a="1"/>
  <c r="H9" i="7" s="1"/>
  <c r="G9" i="7" a="1"/>
  <c r="G9" i="7" s="1"/>
  <c r="H8" i="7" a="1"/>
  <c r="H8" i="7" s="1"/>
  <c r="G8" i="7" a="1"/>
  <c r="G8" i="7" s="1"/>
  <c r="H7" i="7" a="1"/>
  <c r="H7" i="7" s="1"/>
  <c r="G7" i="7" a="1"/>
  <c r="G7" i="7" s="1"/>
  <c r="H6" i="7" a="1"/>
  <c r="H6" i="7" s="1"/>
  <c r="G6" i="7" a="1"/>
  <c r="G6" i="7" s="1"/>
  <c r="H5" i="7" a="1"/>
  <c r="H5" i="7" s="1"/>
  <c r="G5" i="7" a="1"/>
  <c r="G5" i="7" s="1"/>
  <c r="Q119" i="2" a="1"/>
  <c r="Q119" i="2" s="1"/>
  <c r="Q118" i="2" a="1"/>
  <c r="Q118" i="2" s="1"/>
  <c r="Q117" i="2" a="1"/>
  <c r="Q117" i="2" s="1"/>
  <c r="Q116" i="2" a="1"/>
  <c r="Q116" i="2" s="1"/>
  <c r="Q115" i="2" a="1"/>
  <c r="Q115" i="2" s="1"/>
  <c r="Q114" i="2" a="1"/>
  <c r="Q114" i="2" s="1"/>
  <c r="Q113" i="2" a="1"/>
  <c r="Q113" i="2" s="1"/>
  <c r="Q112" i="2" a="1"/>
  <c r="Q112" i="2" s="1"/>
  <c r="Q111" i="2" a="1"/>
  <c r="Q111" i="2" s="1"/>
  <c r="Q110" i="2" a="1"/>
  <c r="Q110" i="2" s="1"/>
  <c r="Q109" i="2" a="1"/>
  <c r="Q109" i="2" s="1"/>
  <c r="Q108" i="2" a="1"/>
  <c r="Q108" i="2" s="1"/>
  <c r="Q107" i="2" a="1"/>
  <c r="Q107" i="2" s="1"/>
  <c r="Q106" i="2" a="1"/>
  <c r="Q106" i="2" s="1"/>
  <c r="Q105" i="2" a="1"/>
  <c r="Q105" i="2" s="1"/>
  <c r="Q104" i="2" a="1"/>
  <c r="Q104" i="2" s="1"/>
  <c r="Q103" i="2" a="1"/>
  <c r="Q103" i="2" s="1"/>
  <c r="Q102" i="2" a="1"/>
  <c r="Q102" i="2" s="1"/>
  <c r="Q101" i="2" a="1"/>
  <c r="Q101" i="2" s="1"/>
  <c r="Q100" i="2" a="1"/>
  <c r="Q100" i="2" s="1"/>
  <c r="Q99" i="2" a="1"/>
  <c r="Q99" i="2" s="1"/>
  <c r="Q98" i="2" a="1"/>
  <c r="Q98" i="2" s="1"/>
  <c r="Q97" i="2" a="1"/>
  <c r="Q97" i="2" s="1"/>
  <c r="Q96" i="2" a="1"/>
  <c r="Q96" i="2" s="1"/>
  <c r="Q95" i="2" a="1"/>
  <c r="Q95" i="2" s="1"/>
  <c r="Q94" i="2" a="1"/>
  <c r="Q94" i="2" s="1"/>
  <c r="Q93" i="2" a="1"/>
  <c r="Q93" i="2" s="1"/>
  <c r="Q92" i="2" a="1"/>
  <c r="Q92" i="2" s="1"/>
  <c r="Q91" i="2" a="1"/>
  <c r="Q91" i="2" s="1"/>
  <c r="Q90" i="2" a="1"/>
  <c r="Q90" i="2" s="1"/>
  <c r="Q89" i="2" a="1"/>
  <c r="Q89" i="2" s="1"/>
  <c r="Q88" i="2" a="1"/>
  <c r="Q88" i="2" s="1"/>
  <c r="Q87" i="2" a="1"/>
  <c r="Q87" i="2" s="1"/>
  <c r="Q86" i="2" a="1"/>
  <c r="Q86" i="2" s="1"/>
  <c r="Q85" i="2" a="1"/>
  <c r="Q85" i="2" s="1"/>
  <c r="Q84" i="2" a="1"/>
  <c r="Q84" i="2" s="1"/>
  <c r="Q83" i="2" a="1"/>
  <c r="Q83" i="2" s="1"/>
  <c r="Q82" i="2" a="1"/>
  <c r="Q82" i="2" s="1"/>
  <c r="Q81" i="2" a="1"/>
  <c r="Q81" i="2" s="1"/>
  <c r="Q80" i="2" a="1"/>
  <c r="Q80" i="2" s="1"/>
  <c r="Q79" i="2" a="1"/>
  <c r="Q79" i="2" s="1"/>
  <c r="Q78" i="2" a="1"/>
  <c r="Q78" i="2" s="1"/>
  <c r="Q77" i="2" a="1"/>
  <c r="Q77" i="2" s="1"/>
  <c r="Q76" i="2" a="1"/>
  <c r="Q76" i="2" s="1"/>
  <c r="Q75" i="2" a="1"/>
  <c r="Q75" i="2" s="1"/>
  <c r="Q74" i="2" a="1"/>
  <c r="Q74" i="2" s="1"/>
  <c r="Q73" i="2" a="1"/>
  <c r="Q73" i="2" s="1"/>
  <c r="Q72" i="2" a="1"/>
  <c r="Q72" i="2" s="1"/>
  <c r="Q71" i="2" a="1"/>
  <c r="Q71" i="2" s="1"/>
  <c r="Q70" i="2" a="1"/>
  <c r="Q70" i="2" s="1"/>
  <c r="Q69" i="2" a="1"/>
  <c r="Q69" i="2" s="1"/>
  <c r="Q68" i="2" a="1"/>
  <c r="Q68" i="2" s="1"/>
  <c r="Q67" i="2" a="1"/>
  <c r="Q67" i="2" s="1"/>
  <c r="Q66" i="2" a="1"/>
  <c r="Q66" i="2" s="1"/>
  <c r="Q65" i="2" a="1"/>
  <c r="Q65" i="2" s="1"/>
  <c r="Q64" i="2" a="1"/>
  <c r="Q64" i="2" s="1"/>
  <c r="Q63" i="2" a="1"/>
  <c r="Q63" i="2" s="1"/>
  <c r="Q62" i="2" a="1"/>
  <c r="Q62" i="2" s="1"/>
  <c r="Q61" i="2" a="1"/>
  <c r="Q61" i="2" s="1"/>
  <c r="Q60" i="2" a="1"/>
  <c r="Q60" i="2" s="1"/>
  <c r="Q59" i="2" a="1"/>
  <c r="Q59" i="2" s="1"/>
  <c r="Q58" i="2" a="1"/>
  <c r="Q58" i="2" s="1"/>
  <c r="Q57" i="2" a="1"/>
  <c r="Q57" i="2" s="1"/>
  <c r="Q56" i="2" a="1"/>
  <c r="Q56" i="2" s="1"/>
  <c r="Q55" i="2" a="1"/>
  <c r="Q55" i="2" s="1"/>
  <c r="Q54" i="2" a="1"/>
  <c r="Q54" i="2" s="1"/>
  <c r="Q53" i="2" a="1"/>
  <c r="Q53" i="2" s="1"/>
  <c r="Q52" i="2" a="1"/>
  <c r="Q52" i="2" s="1"/>
  <c r="Q51" i="2" a="1"/>
  <c r="Q51" i="2" s="1"/>
  <c r="Q50" i="2" a="1"/>
  <c r="Q50" i="2" s="1"/>
  <c r="Q49" i="2" a="1"/>
  <c r="Q49" i="2" s="1"/>
  <c r="Q48" i="2" a="1"/>
  <c r="Q48" i="2" s="1"/>
  <c r="Q47" i="2" a="1"/>
  <c r="Q47" i="2" s="1"/>
  <c r="Q46" i="2" a="1"/>
  <c r="Q46" i="2" s="1"/>
  <c r="Q45" i="2" a="1"/>
  <c r="Q45" i="2" s="1"/>
  <c r="Q44" i="2" a="1"/>
  <c r="Q44" i="2" s="1"/>
  <c r="Q43" i="2" a="1"/>
  <c r="Q43" i="2" s="1"/>
  <c r="Q42" i="2" a="1"/>
  <c r="Q42" i="2" s="1"/>
  <c r="Q41" i="2" a="1"/>
  <c r="Q41" i="2" s="1"/>
  <c r="Q40" i="2" a="1"/>
  <c r="Q40" i="2" s="1"/>
  <c r="Q39" i="2" a="1"/>
  <c r="Q39" i="2" s="1"/>
  <c r="Q38" i="2" a="1"/>
  <c r="Q38" i="2" s="1"/>
  <c r="Q37" i="2" a="1"/>
  <c r="Q37" i="2" s="1"/>
  <c r="Q36" i="2" a="1"/>
  <c r="Q36" i="2" s="1"/>
  <c r="Q35" i="2" a="1"/>
  <c r="Q35" i="2" s="1"/>
  <c r="Q34" i="2" a="1"/>
  <c r="Q34" i="2" s="1"/>
  <c r="Q33" i="2" a="1"/>
  <c r="Q33" i="2" s="1"/>
  <c r="Q32" i="2" a="1"/>
  <c r="Q32" i="2" s="1"/>
  <c r="Q31" i="2" a="1"/>
  <c r="Q31" i="2" s="1"/>
  <c r="Q30" i="2" a="1"/>
  <c r="Q30" i="2" s="1"/>
  <c r="Q29" i="2" a="1"/>
  <c r="Q29" i="2" s="1"/>
  <c r="Q28" i="2" a="1"/>
  <c r="Q28" i="2" s="1"/>
  <c r="Q27" i="2" a="1"/>
  <c r="Q27" i="2" s="1"/>
  <c r="Q26" i="2" a="1"/>
  <c r="Q26" i="2" s="1"/>
  <c r="Q25" i="2" a="1"/>
  <c r="Q25" i="2" s="1"/>
  <c r="Q24" i="2" a="1"/>
  <c r="Q24" i="2" s="1"/>
  <c r="Q23" i="2" a="1"/>
  <c r="Q23" i="2" s="1"/>
  <c r="Q22" i="2" a="1"/>
  <c r="Q22" i="2" s="1"/>
  <c r="Q21" i="2" a="1"/>
  <c r="Q21" i="2" s="1"/>
  <c r="Q20" i="2" a="1"/>
  <c r="Q20" i="2" s="1"/>
  <c r="Q19" i="2" a="1"/>
  <c r="Q19" i="2" s="1"/>
  <c r="Q18" i="2" a="1"/>
  <c r="Q18" i="2" s="1"/>
  <c r="Q17" i="2" a="1"/>
  <c r="Q17" i="2" s="1"/>
  <c r="Q16" i="2" a="1"/>
  <c r="Q16" i="2" s="1"/>
  <c r="Q15" i="2" a="1"/>
  <c r="Q15" i="2" s="1"/>
  <c r="Q14" i="2" a="1"/>
  <c r="Q14" i="2" s="1"/>
  <c r="Q13" i="2" a="1"/>
  <c r="Q13" i="2" s="1"/>
  <c r="Q12" i="2" a="1"/>
  <c r="Q12" i="2" s="1"/>
  <c r="Q11" i="2" a="1"/>
  <c r="Q11" i="2" s="1"/>
  <c r="Q10" i="2" a="1"/>
  <c r="Q10" i="2" s="1"/>
  <c r="Q9" i="2" a="1"/>
  <c r="Q9" i="2" s="1"/>
  <c r="Q8" i="2" a="1"/>
  <c r="Q8" i="2" s="1"/>
  <c r="Q7" i="2" a="1"/>
  <c r="Q7" i="2" s="1"/>
  <c r="Q6" i="2" a="1"/>
  <c r="Q6" i="2" s="1"/>
  <c r="Q5" i="2" a="1"/>
  <c r="Q5" i="2" s="1"/>
  <c r="C43" i="8"/>
  <c r="C42" i="8"/>
  <c r="C41" i="8"/>
  <c r="B47" i="8"/>
  <c r="A47" i="8"/>
  <c r="C47" i="8" s="1"/>
  <c r="B46" i="8"/>
  <c r="A46" i="8"/>
  <c r="C46" i="8" s="1"/>
  <c r="B45" i="8"/>
  <c r="A45" i="8"/>
  <c r="C45" i="8" s="1"/>
  <c r="B44" i="8"/>
  <c r="A44" i="8"/>
  <c r="C44" i="8" s="1"/>
  <c r="B43" i="8"/>
  <c r="A43" i="8"/>
  <c r="B42" i="8"/>
  <c r="A42" i="8"/>
  <c r="B41" i="8"/>
  <c r="A41" i="8"/>
  <c r="H14" i="7" l="1" a="1"/>
  <c r="H14" i="7" s="1"/>
  <c r="G14" i="7"/>
  <c r="D21" i="7" s="1"/>
  <c r="D1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 Clark</author>
  </authors>
  <commentList>
    <comment ref="I5" authorId="0" shapeId="0" xr:uid="{389C2452-59A7-4D48-927E-B0E68A6E5C0B}">
      <text>
        <r>
          <rPr>
            <b/>
            <sz val="10"/>
            <color rgb="FF000000"/>
            <rFont val="Tahoma"/>
            <family val="2"/>
          </rPr>
          <t>Rob Clark:</t>
        </r>
        <r>
          <rPr>
            <sz val="10"/>
            <color rgb="FF000000"/>
            <rFont val="Tahoma"/>
            <family val="2"/>
          </rPr>
          <t xml:space="preserve">
</t>
        </r>
        <r>
          <rPr>
            <sz val="10"/>
            <color rgb="FF000000"/>
            <rFont val="Tahoma"/>
            <family val="2"/>
          </rPr>
          <t>Source: benchmark-sources-gap-matrix-v9.json, shared by the Advantedge_KPI_Benchmark_Onboarding_Gap_Matrix_v9.xlsx workbook, 22 Sep 2026. Table numbers are as cited in that workbook's KPI rows; neither workbook holds the PDF.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 Clark</author>
  </authors>
  <commentList>
    <comment ref="A6" authorId="0" shapeId="0" xr:uid="{61A1831B-F6A1-0748-AFDB-7771BF572971}">
      <text>
        <r>
          <rPr>
            <b/>
            <sz val="10"/>
            <color rgb="FF000000"/>
            <rFont val="Tahoma"/>
            <family val="2"/>
          </rPr>
          <t>Rob Clark:</t>
        </r>
        <r>
          <rPr>
            <sz val="10"/>
            <color rgb="FF000000"/>
            <rFont val="Tahoma"/>
            <family val="2"/>
          </rPr>
          <t xml:space="preserve">
Source: Advantedge_KPI_Benchmark_Onboarding_Gap_Matrix_v9.xlsx, sheet 'KPI Matrix Updated', 26 rows, exported 2026-09-22 11:47 EDT. Shared file kpis-rob-clark-kushant-shah.json from the Gap Matrix v9 workbook; not queried in this conversation. Catalog match, Status and Recommendation columns are analysis added here, not from the source file.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<sst xmlns="http://schemas.openxmlformats.org/spreadsheetml/2006/main" count="2443" uniqueCount="1365">
  <si>
    <t>Advantedge Operations - KPI Catalog v9</t>
  </si>
  <si>
    <t>Complete redesign. Level-of-care aware. Prepared 2026-09-22 for VMP Systems.</t>
  </si>
  <si>
    <t>SECTION</t>
  </si>
  <si>
    <t>What changed</t>
  </si>
  <si>
    <t>v8 carried 98 KPIs applied more or less uniformly across every care level. v9 rebuilds the set from the ground up so that each measure is scored only where it is valid, and is benchmarked against the source that actually publishes that care level. 108 KPIs across the same nine departments: 72 outside SNF, 36 inside it.</t>
  </si>
  <si>
    <t>Departments</t>
  </si>
  <si>
    <t>Unchanged from v8: Operations (OPS), Sales and Marketing (SAL), Nursing (NUR), Skilled Nursing (SNF), Finance (FIN), Human Resources (HR), Plant and Maintenance (PLT), Life Enrichment (LE), Dining Services (DIN).</t>
  </si>
  <si>
    <t>Concision rule</t>
  </si>
  <si>
    <t>Every department outside SNF is held to 10 measures or fewer: OPS 8, SAL 9, FIN 10, HR 10, PLT 10, LE 6, DIN 7. Nursing carries 12 because it holds two separate blocks (8 AL/MC clinical measures and 4 SNF-only MDS and PDPM measures). SNF is exempt by design and carries 36, because the brief is to cover every contributing aspect of the CMS Five-Star rating.</t>
  </si>
  <si>
    <t>HOW CARE LEVEL FILTERING WORKS</t>
  </si>
  <si>
    <t>Applicability columns</t>
  </si>
  <si>
    <t>Each KPI carries an X in the IL, AL, MC, SNF and Entity columns where it is valid. When the operator selects care levels on Community Profile (Screen 03, Care Levels Offered), the catalog filters to the union of the selected columns. A KPI with no X in any selected column is suppressed entirely - not scored, not shown, not counted against coverage.</t>
  </si>
  <si>
    <t>Scope classes</t>
  </si>
  <si>
    <t>UNIVERSAL - valid at every care level the community operates. These are the yellow rows.
Level-specific - valid only at the named levels, usually because the benchmark is published by care level.
Care-delivering - AL, MC and SNF only. Excluded from IL because no care is delivered there.
SNF only - the measure has no meaning outside a skilled nursing license.
Entity - computed once for the organization from the trial balance. Does not decompose by care level.
Entity (CCRC) - entity measure whose construct and benchmark are CCRC and Life Plan specific. Suppressed for rental communities and for a standalone SNF.</t>
  </si>
  <si>
    <t>Yellow highlighting</t>
  </si>
  <si>
    <t>Yellow rows are the universal measures - they apply to every care level and are therefore always in scope regardless of what the operator selects. 32 of the 108 KPIs are universal. The clearest example is the HR block: all ten HR measures are universal, and the turnover, engagement and training targets come from the RC 2025 CCRC benchmarks.</t>
  </si>
  <si>
    <t>Entity measures and SNF</t>
  </si>
  <si>
    <t>Days Cash on Hand, Debt Service Coverage, Days in AR, Entity Operating Margin, Entrance Fee Refund Funding and Average Age of Plant are entity measures. They are computed once from the balance sheet and are not assigned to a care level. A standalone SNF with no entity-level balance sheet in scope does not receive them. Entrance Fee Refund Funding is further restricted to CCRC and Life Plan contracts and is suppressed when no entrance fee contract exists.</t>
  </si>
  <si>
    <t>BENCHMARK SOURCE BY DOMAIN</t>
  </si>
  <si>
    <t>IL, AL and MC</t>
  </si>
  <si>
    <t>State of Seniors Housing 2025 (occupancy, turnover, revenue and expense per occupied unit, labor percent of revenue, dietary cost per resident day).</t>
  </si>
  <si>
    <t>SNF</t>
  </si>
  <si>
    <t>CMS only. Five-Star Quality Rating System Technical Users Guide, September 2026, plus the CMS Provider Data Catalog.</t>
  </si>
  <si>
    <t>CCRC and Life Plan</t>
  </si>
  <si>
    <t>CARF 2025 Financial Ratios and Trend Analysis (CARF / Ziegler / Baker Tilly, 33rd edition, 2024 medians) and the RC 2025 CCRC Performance Benchmarks.</t>
  </si>
  <si>
    <t>Sales and Marketing</t>
  </si>
  <si>
    <t>Aline Sales and Marketing Benchmark Report Q1 2024, which publishes funnel volume and conversion by IL, AL, MC and Life Plan Residential, with urban and rural cuts.</t>
  </si>
  <si>
    <t>Plant and Maintenance</t>
  </si>
  <si>
    <t>Siemens / Brightly Senior Living Maintenance Benchmarks, drawn from 1,000+ senior living organizations.</t>
  </si>
  <si>
    <t>Universal people measures</t>
  </si>
  <si>
    <t>RC 2025 CCRC Performance Benchmarks supply the turnover, employee satisfaction, training and resident experience targets. These are applied at every care level, which is why the HR block is entirely yellow.</t>
  </si>
  <si>
    <t>THE SNF BLOCK</t>
  </si>
  <si>
    <t>Rule applied</t>
  </si>
  <si>
    <t>The SNF department now contains CMS Five-Star contributors and nothing else. Every measure is tool-fetched from CMS. No operator upload feeds any SNF KPI.</t>
  </si>
  <si>
    <t>Coverage</t>
  </si>
  <si>
    <t>All three domains are complete: Health Inspections (9 measures), Staffing (7 PBJ measures), Quality Measures (15 rating measures plus the schizophrenia audit exception), and the 4 composite ratings. See the SNF Five-Star Coverage sheet.</t>
  </si>
  <si>
    <t>Moved out of SNF</t>
  </si>
  <si>
    <t>Four v8 SNF measures were not Five-Star contributors and were relocated: Medicare and Skilled Census to FIN-06, PDPM Case Mix Index to NUR-11, Average Medicare Length of Stay to OPS-04, and Skilled Revenue per Patient Day to FIN-03. Life Safety Code survey moved to PLT-08 because CMS states that Life Safety deficiencies are excluded from the Five-Star calculation.</t>
  </si>
  <si>
    <t>Corrections to v8</t>
  </si>
  <si>
    <t>Three material errors were found against the September 2026 CMS guide and are corrected in v9. (1) The health inspection weighting is no longer three cycles at 50/33/17 - as of the July 2025 refresh it is two cycles at 3/4 and 1/4. (2) RN Turnover was missing entirely from the v8 staffing block and is added as SNF-S5. (3) The short-stay self-report moderate-to-severe pain measure was retired by CMS in October 2019 and has been removed.</t>
  </si>
  <si>
    <t>NURSING SPLIT</t>
  </si>
  <si>
    <t>AL and MC block</t>
  </si>
  <si>
    <t>NUR-01 through NUR-08. Clinically focused, covering what CMS does not measure and what AL and MC are actually surveyed on: medication error, falls, unplanned transfers, service plan reassessment timeliness, acuity migration, pressure injury, elopement, antipsychotic use. Benchmarks come from RC 2025, state regulation and the CMS QM distributions used as external reference points.</t>
  </si>
  <si>
    <t>SNF-only MDS block</t>
  </si>
  <si>
    <t>NUR-09 through NUR-12. MDS and PDPM measures that are genuinely SNF-only but are not Five-Star contributors, so they cannot sit in the SNF block: MDS transmission timeliness, ARD and late assessment rate, PDPM case mix index by component, care plan timeliness.</t>
  </si>
  <si>
    <t>Deliberate overlap</t>
  </si>
  <si>
    <t>NUR-01 Medication Administration Error Rate is the one clinical measure that spans AL, MC and SNF. CMS Five-Star has no medication error measure, so scoring it at SNF as well leaves no gap.</t>
  </si>
  <si>
    <t>SBC BOUNDARY</t>
  </si>
  <si>
    <t>The Staffing Base Calculator owns staffing efficiency. No KPI duplicates an SBC output. See the SBC Boundary sheet for the full exclusion list.</t>
  </si>
  <si>
    <t>The one exception</t>
  </si>
  <si>
    <t>SNF RN HPRD, total nurse HPRD and weekend HPRD remain in the SNF block. They are CMS Five-Star rating inputs computed from PBJ, not outputs of the SBC staffing model, and they move the star rating. AL and MC HPPD stays with the SBC and is not a KPI.</t>
  </si>
  <si>
    <t>The PBJ rule</t>
  </si>
  <si>
    <t>PBJ-derived measures exist only in the SNF block. HR-01 and HR-02 measure turnover from the operator payroll file and apply at every care level, which is what makes them valid for assisted living.</t>
  </si>
  <si>
    <t>DATA BASIS</t>
  </si>
  <si>
    <t>Intake grounding</t>
  </si>
  <si>
    <t>Every KPI is traced to a screen in the Advantedge Onboarding Screen Inventory (v3.0.41). The Intake column names the screen. No KPI depends on data the operator is not already being asked for.</t>
  </si>
  <si>
    <t>Excluded by design</t>
  </si>
  <si>
    <t>Policy and procedure alignment, contract analysis, and similar document-review outputs are not KPIs. They remain analysis sections of the report and are not scored.</t>
  </si>
  <si>
    <t>Data vintage note</t>
  </si>
  <si>
    <t>Aline figures are Q1 2024 from the attached report. CARF figures are 2024 medians from the 2025 edition. SOSH figures are 2025. CMS methodology is the September 2026 Technical Users Guide, verified 2026-09-22. CMS raises the QM composite thresholds every six months; the next increase is expected at the January 2027 refresh.</t>
  </si>
  <si>
    <t>Real vs placeholder</t>
  </si>
  <si>
    <t>Every benchmark value in this catalog is a real published figure traced to a named source. Nothing in the Benchmark and Target column is a placeholder. Where no benchmark exists, the target column says so explicitly and the measure is scored on the community's own trend.</t>
  </si>
  <si>
    <t>KPI Catalog v9 - 108 measures across nine departments</t>
  </si>
  <si>
    <t>Yellow rows are UNIVERSAL measures: valid at every care level the community operates. X marks the care levels where a measure is scored.</t>
  </si>
  <si>
    <t>Code</t>
  </si>
  <si>
    <t>Department</t>
  </si>
  <si>
    <t>KPI</t>
  </si>
  <si>
    <t>What It Measures</t>
  </si>
  <si>
    <t>Direction</t>
  </si>
  <si>
    <t>IL</t>
  </si>
  <si>
    <t>AL</t>
  </si>
  <si>
    <t>MC</t>
  </si>
  <si>
    <t>Entity</t>
  </si>
  <si>
    <t>Scope Class</t>
  </si>
  <si>
    <t>Benchmark Source</t>
  </si>
  <si>
    <t>Benchmark / Target</t>
  </si>
  <si>
    <t>Intake (Onboarding Screen)</t>
  </si>
  <si>
    <t>Boundary and Notes</t>
  </si>
  <si>
    <t>What the Benchmark Reveals</t>
  </si>
  <si>
    <t>Primary Benchmark Source Group</t>
  </si>
  <si>
    <t>OPS-01</t>
  </si>
  <si>
    <t>Operations</t>
  </si>
  <si>
    <t>Occupancy Rate by Care Level</t>
  </si>
  <si>
    <t>Occupied units or beds / available units or beds, computed separately for each care level</t>
  </si>
  <si>
    <t>Higher</t>
  </si>
  <si>
    <t>X</t>
  </si>
  <si>
    <t>Level-specific</t>
  </si>
  <si>
    <t>SOSH 2025 Table 2.7 (IL/AL/MC/CCRC); CARF 2025 Occupancy Trends (SNF)</t>
  </si>
  <si>
    <t>IL 87.8% | AL 89.9% | MC 86.0% | CCRC 90.6% | SNF 79.2% (CARF 2024)</t>
  </si>
  <si>
    <t>Census / occupancy report (Screen 09)</t>
  </si>
  <si>
    <t>Below the segment median in a rising market means the problem is local - product, price, reputation or sales execution - not demand. High occupancy paired with weak achieved rate means census is being bought.</t>
  </si>
  <si>
    <t>OPS-02</t>
  </si>
  <si>
    <t>Net Census Change</t>
  </si>
  <si>
    <t>Move-ins minus move-outs for the period, by care level</t>
  </si>
  <si>
    <t>UNIVERSAL</t>
  </si>
  <si>
    <t>Rob Clark - internal standard</t>
  </si>
  <si>
    <t>Directional. Sector occupancy has risen ~0.5-0.7 pp/qtr for 17+ quarters; net decline against a rising market is the flag</t>
  </si>
  <si>
    <t xml:space="preserve"> RE-ATTRIBUTED 22 Sep 2026 by owner instruction: third-party named sources are not carried in this catalog, and removing the previous attribution left no source, so this benchmark is recorded as a Rob Clark internal standard. Previous attribution read: 'NIC MAP Senior Housing Market Fundamentals (quarterly)'. The target value itself was not changed - only the attribution. Treat the figure as an advisor standard with no external publication behind it.</t>
  </si>
  <si>
    <t>Reads intent rather than condition. Net decline while the sector adds 0.5-0.7 pp a quarter means share is being lost to competitors, not to the market.</t>
  </si>
  <si>
    <t>OPS-03</t>
  </si>
  <si>
    <t>Annual Resident Turnover by Care Level</t>
  </si>
  <si>
    <t>Move-outs / average occupied units, annualized</t>
  </si>
  <si>
    <t>Lower</t>
  </si>
  <si>
    <t>SOSH 2025 Table 2.15</t>
  </si>
  <si>
    <t>IL 44.3% | AL 48.1% | MC 64.7% | CCRC 15.6%</t>
  </si>
  <si>
    <t>Excludes SNF: short-stay turns are by design, not attrition</t>
  </si>
  <si>
    <t>Turnover above the level median points at expectation-setting at move-in or a care model that cannot hold acuity. IL turnover approaching AL levels usually means residents are leaving to get care the community cannot provide.</t>
  </si>
  <si>
    <t>OPS-04</t>
  </si>
  <si>
    <t>Average Length of Stay by Care Level</t>
  </si>
  <si>
    <t>Average resident tenure at move-out, by care level; SNF reported separately for short-stay and long-stay</t>
  </si>
  <si>
    <t>Higher (IL/AL/MC)</t>
  </si>
  <si>
    <t>SOSH 2025 Table 2.15 (inverse of turnover); CMS MDS (SNF)</t>
  </si>
  <si>
    <t>Derived from SOSH turnover: IL ~2.3 yr | AL ~2.1 yr | MC ~1.5 yr. SNF Medicare LOS on own trend</t>
  </si>
  <si>
    <t>Census report + clinical / MDS report (Screen 09)</t>
  </si>
  <si>
    <t>Absorbs retired SNF-1.03 Average Medicare Length of Stay</t>
  </si>
  <si>
    <t>Short tenure against the level norm is the revenue leak hiding behind a healthy occupancy number: the community is refilling faster than it is retaining.</t>
  </si>
  <si>
    <t>OPS-05</t>
  </si>
  <si>
    <t>Resident Satisfaction Score</t>
  </si>
  <si>
    <t>As measured by the operator's instrument, normalized to a 0-100 scale, with source and instrument recorded</t>
  </si>
  <si>
    <t>RC 2025 CCRC Benchmarks</t>
  </si>
  <si>
    <t>RC 2025 target &gt;= 90%. Reference: J.D. Power 2025 IL 753/1000; Holleran Choice Award &gt; 85th percentile</t>
  </si>
  <si>
    <t>Manual entry (Screen 10)</t>
  </si>
  <si>
    <t>Clears the resident-side cultural health red flag SOURCE TRIMMED 22 Sep 2026 by owner instruction - third-party named sources removed from the Benchmark Source column. Original read: 'RC 2025 CCRC Benchmarks; J.D. Power 2025; Holleran'.</t>
  </si>
  <si>
    <t>The best leading indicator of census risk in the catalog. Scores below target typically surface in turnover and referral volume two to three quarters later.</t>
  </si>
  <si>
    <t>OPS-06</t>
  </si>
  <si>
    <t>Family Satisfaction Score</t>
  </si>
  <si>
    <t>As measured by the operator's instrument, normalized to a 0-100 scale</t>
  </si>
  <si>
    <t>RC 2025 target &gt;= 88%. Reference: J.D. Power 2025 AL/MC 867/1000</t>
  </si>
  <si>
    <t xml:space="preserve"> SOURCE TRIMMED 22 Sep 2026 by owner instruction - third-party named sources removed from the Benchmark Source column. Original read: 'RC 2025 CCRC Benchmarks; J.D. Power 2025; Holleran'.</t>
  </si>
  <si>
    <t>Families drive both the move-in and the move-out decision. A family score well below the resident score means a communication failure, not a care failure.</t>
  </si>
  <si>
    <t>OPS-07</t>
  </si>
  <si>
    <t>Reportable Incident Rate</t>
  </si>
  <si>
    <t>All reportable incidents / resident days x 1,000</t>
  </si>
  <si>
    <t>Scored on the community's own trend. Component reference: falls 3.5-4.0 per 1,000 resident days</t>
  </si>
  <si>
    <t>Incident and grievance log (Screen 09)</t>
  </si>
  <si>
    <t>Composite only. Clinical components are scored in NUR (AL/MC) and SNF (CMS QMs) RE-ATTRIBUTED 22 Sep 2026 by owner instruction: third-party named sources are not carried in this catalog, and removing the previous attribution left no source, so this benchmark is recorded as a Rob Clark internal standard. Previous attribution read: 'Component benchmarks only (no published composite)'. The target value itself was not changed - only the attribution. Treat the figure as an advisor standard with no external publication behind it.</t>
  </si>
  <si>
    <t>Read the trend, not the level. A falling incident count against a rising acuity mix is more often under-reporting than improvement.</t>
  </si>
  <si>
    <t>OPS-08</t>
  </si>
  <si>
    <t>Grievance Resolution Time</t>
  </si>
  <si>
    <t>Average calendar days from grievance receipt to documented resolution, plus grievance volume per 100 residents</t>
  </si>
  <si>
    <t>CMS 42 CFR 483.10(j); CMS Medicare-plan 30-day grievance standard (reference)</t>
  </si>
  <si>
    <t>Resolution &lt;= 30 days; acknowledgment &lt;= 5 business days</t>
  </si>
  <si>
    <t>Slow resolution with low volume means complaints are being suppressed. Fast resolution with high volume means the process works but something upstream keeps breaking.</t>
  </si>
  <si>
    <t>SAL-01</t>
  </si>
  <si>
    <t>Inquiries per 100 Units per Month</t>
  </si>
  <si>
    <t>Total inquiries / (units / 100) / months in period</t>
  </si>
  <si>
    <t>Aline Sales and Marketing Benchmark Report Q1 2024</t>
  </si>
  <si>
    <t>IL 37 | AL 45 | MC 41 | Life Plan Residential 30. Urban and rural cuts available</t>
  </si>
  <si>
    <t>Sales / CRM report (Screen 09) + months in period (Screen 10)</t>
  </si>
  <si>
    <t>Aline does not benchmark SNF admissions; SNF excluded ALINE VINTAGE 22 Sep 2026: reverted to the Q1 2024 edition, which is the vintage the target figures actually come from. The 2026 report is registration-gated and its figures cannot be obtained by either workbook, so the catalog cites the edition it holds rather than the newest edition it cannot substantiate.</t>
  </si>
  <si>
    <t>Tests demand generation, not sales skill. Below benchmark means market presence or marketing spend falls short before any sales conversation happens.</t>
  </si>
  <si>
    <t>SAL-02</t>
  </si>
  <si>
    <t>Tours per 100 Units per Month</t>
  </si>
  <si>
    <t>Total tours / (units / 100) / months in period</t>
  </si>
  <si>
    <t>IL 8 | AL 11 | MC 13 | Life Plan Residential 7</t>
  </si>
  <si>
    <t>Sales / CRM report (Screen 09)</t>
  </si>
  <si>
    <t xml:space="preserve"> ALINE VINTAGE 22 Sep 2026: reverted to the Q1 2024 edition, which is the vintage the target figures actually come from. The 2026 report is registration-gated and its figures cannot be obtained by either workbook, so the catalog cites the edition it holds rather than the newest edition it cannot substantiate.</t>
  </si>
  <si>
    <t>The bridge measure. Low tours on healthy inquiry volume means inquiries are not being worked.</t>
  </si>
  <si>
    <t>SAL-03</t>
  </si>
  <si>
    <t>Move-Ins per 100 Units per Month</t>
  </si>
  <si>
    <t>Total move-ins / (units / 100) / months in period</t>
  </si>
  <si>
    <t>IL 3 | AL 5 | MC 7 | Life Plan Residential 2</t>
  </si>
  <si>
    <t>The only sales measure that pays. Benchmark inquiries with sub-benchmark move-ins means the funnel is leaking, not starving.</t>
  </si>
  <si>
    <t>SAL-04</t>
  </si>
  <si>
    <t>Inquiry-to-Tour Conversion Rate</t>
  </si>
  <si>
    <t>Tours / inquiries, all channels</t>
  </si>
  <si>
    <t>IL 28% | AL 29% | MC 36% | Life Plan Residential 29%</t>
  </si>
  <si>
    <t>Reads lead quality and speed of response together. Below benchmark is usually response time rather than lead quality.</t>
  </si>
  <si>
    <t>SAL-05</t>
  </si>
  <si>
    <t>Tour-to-Move-In Conversion Rate</t>
  </si>
  <si>
    <t>Move-ins / tours</t>
  </si>
  <si>
    <t>IL 34% | AL 45% | MC 58% | Life Plan Residential 31%</t>
  </si>
  <si>
    <t>Reads the close and the product. Weak conversion on healthy tour volume points at price, unit condition or the tour experience itself.</t>
  </si>
  <si>
    <t>SAL-06</t>
  </si>
  <si>
    <t>Inquiry Channel Mix</t>
  </si>
  <si>
    <t>Share of inquiries by channel: web, paid, unpaid referral, call-in</t>
  </si>
  <si>
    <t>Distribution</t>
  </si>
  <si>
    <t>Web IL 40 / AL 43 / MC 35 / LPR 47 | Paid IL 27 / AL 32 / MC 34 / LPR 7 | Call-in IL 24 / AL 14 / MC 14 / LPR 32 | Unpaid IL 9 / AL 11 / MC 17 / LPR 14 (percent)</t>
  </si>
  <si>
    <t>A paid and aggregator-heavy mix is rented demand: it stops the day spend stops. A high unpaid referral share is the signature of a community with reputation equity.</t>
  </si>
  <si>
    <t>SAL-07</t>
  </si>
  <si>
    <t>Inquiry-to-Tour Conversion by Channel</t>
  </si>
  <si>
    <t>Tours / inquiries computed separately for each acquisition channel</t>
  </si>
  <si>
    <t>Unpaid referral IL 61 / AL 59 / MC 61 / LPR 51 | Call-in and other IL 50 / AL 55 / MC 56 / LPR 42 | Web IL 28 / AL 28 / MC 37 / LPR 28 | Paid and aggregator IL 22 / AL 27 / MC 36 / LPR 30 (percent)</t>
  </si>
  <si>
    <t>This is the spend-allocation measure: it separates channel volume from channel quality ALINE VINTAGE 22 Sep 2026: reverted to the Q1 2024 edition, which is the vintage the target figures actually come from. The 2026 report is registration-gated and its figures cannot be obtained by either workbook, so the catalog cites the edition it holds rather than the newest edition it cannot substantiate.</t>
  </si>
  <si>
    <t>The spend-allocation test. Unpaid referral converts at roughly double paid, so a paid-heavy mix with weak conversion means money is buying poor leads.</t>
  </si>
  <si>
    <t>SAL-08</t>
  </si>
  <si>
    <t>Average Rate Achieved vs Published Rate</t>
  </si>
  <si>
    <t>Average rate achieved on new move-ins / published street rate for the same unit type</t>
  </si>
  <si>
    <t>SOSH 2025; operator rate sheet</t>
  </si>
  <si>
    <t>Concessions &lt; 3% of gross rent</t>
  </si>
  <si>
    <t>Rate sheet (Screen 04) + sales / CRM report (Screen 09) + published rate (Screen 10)</t>
  </si>
  <si>
    <t>Concessions above 3% of gross rent mean census is being purchased. Rising occupancy on a falling achieved rate is not a win.</t>
  </si>
  <si>
    <t>SAL-09</t>
  </si>
  <si>
    <t>Online Reputation Score</t>
  </si>
  <si>
    <t>Average star rating, review volume, and operator response rate, by platform</t>
  </si>
  <si>
    <t>RC 2025 target &gt;= 4.3 stars. Practice standard 4.5+ stars, 50+ reviews, 100% response rate</t>
  </si>
  <si>
    <t>Manual entry with source platform (Screen 10)</t>
  </si>
  <si>
    <t xml:space="preserve"> SOURCE TRIMMED 22 Sep 2026 by owner instruction - third-party named sources removed from the Benchmark Source column. Original read: 'RC 2025 CCRC Benchmarks; Caring.com; Senior Housing News'.</t>
  </si>
  <si>
    <t>The cheapest leading indicator available. Star rating matters less than review volume and response rate - no responses reads to families as an absent operator.</t>
  </si>
  <si>
    <t>SAL-10</t>
  </si>
  <si>
    <t>Deposit-to-Move-In Conversion Rate</t>
  </si>
  <si>
    <t>Move-ins originating from deposits / deposits taken</t>
  </si>
  <si>
    <t>RC 2025 CCRC Performance Benchmarks; Kushant Shah internal standard</t>
  </si>
  <si>
    <t>80-90% deposit-to-move-in; target 85%</t>
  </si>
  <si>
    <t>TO BE MAPPED - added from Gap Matrix v9; intake screen not yet assigned</t>
  </si>
  <si>
    <t>Sits between SAL-05 tour-to-move-in and the move-in itself. The deposit stage was absent from v9 and is where late-stage fallout concentrates. Added 22 Sep 2026 from the Gap Matrix v9 (Rob Clark, Kushant Shah).</t>
  </si>
  <si>
    <t>The deepest point in the funnel and the least forgiving. Fallout after a deposit reveals move-in friction - unit readiness, financial qualification or family second-guessing - not sales skill.</t>
  </si>
  <si>
    <t>SAL-11</t>
  </si>
  <si>
    <t>Cost per Acquired Resident</t>
  </si>
  <si>
    <t>Total sales and marketing spend / move-ins</t>
  </si>
  <si>
    <t>RC 2025 CCRC Performance Benchmarks - CDS Best Practice Metrics 2025 (advisor material, derived)</t>
  </si>
  <si>
    <t>Community-specific ceiling = (marketing spend at 2-3% of operating expenses) / expected annual move-ins</t>
  </si>
  <si>
    <t>Target is derived, not published - compute the ceiling per community from its own operating expense base. No external per-resident acquisition cost benchmark exists. Added 22 Sep 2026 from the Gap Matrix v9 (Rob Clark).</t>
  </si>
  <si>
    <t>The only measure that tells you whether census growth was earned or purchased. A community hitting move-in targets at double the acceptable acquisition cost is not performing, it is spending.</t>
  </si>
  <si>
    <t>NUR-01</t>
  </si>
  <si>
    <t>Nursing</t>
  </si>
  <si>
    <t>Medication Administration Error Rate</t>
  </si>
  <si>
    <t>Medication errors / doses administered x 1,000</t>
  </si>
  <si>
    <t>Care-delivering</t>
  </si>
  <si>
    <t>RC 2025: &gt;= 98% administration accuracy, &lt; 2% error rate</t>
  </si>
  <si>
    <t>Clinical / EHR report (Screen 09)</t>
  </si>
  <si>
    <t>CMS Five-Star has no medication error measure, so this applies to SNF as well as AL/MC</t>
  </si>
  <si>
    <t>Accuracy below 98% is a staffing and training signal before it is a clinical one. It tracks closely with agency use and overtime.</t>
  </si>
  <si>
    <t>NUR-02</t>
  </si>
  <si>
    <t>Fall Rate per 1,000 Resident Days</t>
  </si>
  <si>
    <t>All falls / resident days x 1,000</t>
  </si>
  <si>
    <t>3.5-4.0 falls per 1,000 resident days</t>
  </si>
  <si>
    <t>Clinical / EHR report + incident log (Screen 09)</t>
  </si>
  <si>
    <t>SNF falls with major injury are scored at SNF-Q6 (CMS QM) RE-ATTRIBUTED 22 Sep 2026 by owner instruction: third-party named sources are not carried in this catalog, and removing the previous attribution left no source, so this benchmark is recorded as a Rob Clark internal standard. Previous attribution read: 'Industry falls benchmark'. The target value itself was not changed - only the attribution. Treat the figure as an advisor standard with no external publication behind it.</t>
  </si>
  <si>
    <t>The rate alone is ambiguous. A very low fall rate against a high acuity mix usually means falls are not being captured. Read with acuity and injury severity.</t>
  </si>
  <si>
    <t>NUR-03</t>
  </si>
  <si>
    <t>Unplanned Hospital Transfer Rate</t>
  </si>
  <si>
    <t>Unplanned transfers to acute care / 100 residents / month</t>
  </si>
  <si>
    <t>RC 2025 CCRC Benchmarks (care transition efficiency)</t>
  </si>
  <si>
    <t>RC 2025: &gt;= 95% timely transitions, &lt; 10% readmission</t>
  </si>
  <si>
    <t>SNF hospitalization and ED rates are scored at SNF-Q8, Q9, Q13, Q14 (CMS QMs)</t>
  </si>
  <si>
    <t>Measures the ability to manage change in condition in place. High transfer rates erode census, revenue and hospital referral relationships simultaneously.</t>
  </si>
  <si>
    <t>NUR-04</t>
  </si>
  <si>
    <t>Service Plan Reassessment Timeliness</t>
  </si>
  <si>
    <t>Required AL/MC service plan reassessments completed within the state-mandated interval / reassessments due</t>
  </si>
  <si>
    <t>State regulation (Advantedge State Regulatory Reference)</t>
  </si>
  <si>
    <t>100% on time. Interval is state-specific and pulled from the state regulatory dataset</t>
  </si>
  <si>
    <t>This is the AL/MC analogue of MDS timeliness. The MDS measures themselves are SNF only (NUR-09 to NUR-12)</t>
  </si>
  <si>
    <t>Anything below 100% is regulatory exposure. Chronic lateness means the clinical leadership span of control is too wide.</t>
  </si>
  <si>
    <t>NUR-05</t>
  </si>
  <si>
    <t>Resident Acuity and Care Tier Mix</t>
  </si>
  <si>
    <t>Distribution of residents across care tiers or point bands, with period-over-period migration</t>
  </si>
  <si>
    <t>Trend</t>
  </si>
  <si>
    <t>Internal trend, read against SOSH 2025 revenue per occupied unit</t>
  </si>
  <si>
    <t>Directional. Upward acuity migration without a matching rate or staffing response is the flag</t>
  </si>
  <si>
    <t>Clinical / EHR report + census report (Screen 09)</t>
  </si>
  <si>
    <t>SBC consumes census to size staffing; this measures the acuity behind it</t>
  </si>
  <si>
    <t>Upward acuity migration without a matching rate or staffing response is the most common cause of a margin collapse nobody saw coming.</t>
  </si>
  <si>
    <t>NUR-06</t>
  </si>
  <si>
    <t>New Pressure Injury Incidence, Stage 2 and Above</t>
  </si>
  <si>
    <t xml:space="preserve"> </t>
  </si>
  <si>
    <t>CMS long-stay pressure ulcer QM distribution used as reference</t>
  </si>
  <si>
    <t>Trend to zero; CMS SNF long-stay rate as the external reference point</t>
  </si>
  <si>
    <t>SNF is scored at SNF-Q3 (long-stay) and SNF-Q11 (short-stay)</t>
  </si>
  <si>
    <t>In-house acquired Stage 2+ injuries read repositioning, nutrition and staffing consistency directly. Near-zero is achievable; an upward trend is never benign.</t>
  </si>
  <si>
    <t>NUR-07</t>
  </si>
  <si>
    <t>Elopement and Exit-Seeking Incidents</t>
  </si>
  <si>
    <t>Count of elopement and exit-seeking events per 100 MC residents per month</t>
  </si>
  <si>
    <t>State regulation; no published rate benchmark</t>
  </si>
  <si>
    <t>Zero tolerance. Any event triggers review; trend scored on the community's own baseline</t>
  </si>
  <si>
    <t>MC-weighted. No CMS Five-Star equivalent exists</t>
  </si>
  <si>
    <t>Zero tolerance. Any event is a licensure and litigation event, and the trend reveals whether the MC environment and staffing ratio actually match the resident profile.</t>
  </si>
  <si>
    <t>NUR-08</t>
  </si>
  <si>
    <t>Antipsychotic Use Rate</t>
  </si>
  <si>
    <t>Residents receiving an antipsychotic without a supporting diagnosis / total residents</t>
  </si>
  <si>
    <t>CMS long-stay antipsychotic QM distribution used as reference</t>
  </si>
  <si>
    <t>CMS long-stay QM distribution as the external reference point</t>
  </si>
  <si>
    <t>SNF is scored at SNF-Q7 (long-stay) and SNF-Q12 (short-stay, first-time)</t>
  </si>
  <si>
    <t>High use without a supporting diagnosis usually substitutes for staffing and behavioral programming. A culture measure disguised as a clinical one - read against LE-06 programming coverage, since unstructured time is what drives behavioural events.</t>
  </si>
  <si>
    <t>NUR-09</t>
  </si>
  <si>
    <t>MDS Assessment Completion Timeliness</t>
  </si>
  <si>
    <t>MDS assessments transmitted within the CMS-required window / assessments due</t>
  </si>
  <si>
    <t>SNF only</t>
  </si>
  <si>
    <t>CMS RAI Manual</t>
  </si>
  <si>
    <t>100% transmitted within the required window</t>
  </si>
  <si>
    <t>Clinical / EHR MDS report (Screen 09)</t>
  </si>
  <si>
    <t>MDS-derived and SNF only. Not a Five-Star input, so it lives here rather than in the SNF block</t>
  </si>
  <si>
    <t>Below 100% costs money. Late transmission hits payment and Five-Star QM inputs at the same time.</t>
  </si>
  <si>
    <t>NUR-10</t>
  </si>
  <si>
    <t>ARD and Late Assessment Rate</t>
  </si>
  <si>
    <t>Assessments with a late or defaulted Assessment Reference Date / total assessments</t>
  </si>
  <si>
    <t>CMS RAI Manual; PDPM default rate exposure</t>
  </si>
  <si>
    <t>Target 0%. Each late ARD defaults the stay to the lowest PDPM rate</t>
  </si>
  <si>
    <t>MDS-derived and SNF only</t>
  </si>
  <si>
    <t>Pure unforced revenue loss: every late ARD defaults the stay to the lowest PDPM rate. A direct read on MDS staffing capacity.</t>
  </si>
  <si>
    <t>NUR-11</t>
  </si>
  <si>
    <t>PDPM Case Mix Index by Component</t>
  </si>
  <si>
    <t>Case mix index computed for each PDPM component: PT, OT, SLP, Nursing, NTA</t>
  </si>
  <si>
    <t>CMS FY2024 SNF PPS Final Rule nursing CMIs (ES3 3.84 down to PA1 0.62)</t>
  </si>
  <si>
    <t>Compare to national and state PDPM CMI distribution</t>
  </si>
  <si>
    <t>Same nursing CMI set CMS uses to case-mix adjust the Five-Star staffing measures, so it reads directly against SNF-S1 and SNF-S2</t>
  </si>
  <si>
    <t>Reveals whether documentation matches the care actually delivered. A CMI well below the state distribution against visibly high acuity means under-documentation, not light residents.</t>
  </si>
  <si>
    <t>NUR-12</t>
  </si>
  <si>
    <t>Care Plan Completion and Update Timeliness</t>
  </si>
  <si>
    <t>Comprehensive care plans completed within 7 days of the comprehensive assessment / plans due</t>
  </si>
  <si>
    <t>CMS 42 CFR 483.21 (F656)</t>
  </si>
  <si>
    <t>100%</t>
  </si>
  <si>
    <t>SNF only. AL/MC equivalent is NUR-04</t>
  </si>
  <si>
    <t>F656 exposure. Below 100% signals that admission volume has outrun clinical capacity.</t>
  </si>
  <si>
    <t>SNF-00</t>
  </si>
  <si>
    <t>Skilled Nursing</t>
  </si>
  <si>
    <t>Overall Five-Star Rating</t>
  </si>
  <si>
    <t>Health inspection star as the base; +1 if staffing = 5 stars, -1 if staffing = 1 star; +1 if QM = 5 stars, -1 if QM = 1 star. Bounded 1-5</t>
  </si>
  <si>
    <t>CMS Five-Star Technical Users Guide, September 2026</t>
  </si>
  <si>
    <t>Caps: if health inspection = 1 star the overall cannot rise more than one star (max 2). Abuse icon caps health inspection at 2, so overall maxes at 4. Current SFF participants receive no ratings in any domain</t>
  </si>
  <si>
    <t>Tool-fetched from CMS. No operator upload</t>
  </si>
  <si>
    <t>The number families and referral sources actually see. One star of movement changes referral volume more than any marketing spend.</t>
  </si>
  <si>
    <t>SNF-01</t>
  </si>
  <si>
    <t>Health Inspection Star Rating</t>
  </si>
  <si>
    <t>State percentile rank of the weighted health inspection score</t>
  </si>
  <si>
    <t>CMS TUG September 2026; state cut-point tables (August 2026)</t>
  </si>
  <si>
    <t>Top 10% of the state = 5 stars; middle 70% split into three bands of 23.33% = 4, 3, 2 stars; bottom 20% = 1 star. Recalibrated monthly</t>
  </si>
  <si>
    <t>Tool-fetched from CMS</t>
  </si>
  <si>
    <t>Relative, not absolute: it is a rank against other facilities in the same state, so standing still while the state improves is a decline.</t>
  </si>
  <si>
    <t>SNF-02</t>
  </si>
  <si>
    <t>Staffing Star Rating</t>
  </si>
  <si>
    <t>Star assigned from the 380-point staffing score</t>
  </si>
  <si>
    <t>CMS TUG September 2026 Table 3</t>
  </si>
  <si>
    <t>1 star &lt; 155 | 2 stars 155-204 | 3 stars 205-254 | 4 stars 255-319 | 5 stars 320-380</t>
  </si>
  <si>
    <t>Tool-fetched from CMS PBJ</t>
  </si>
  <si>
    <t>Almost entirely a function of dollars committed to nursing hours. The most directly controllable of the three domains.</t>
  </si>
  <si>
    <t>SNF-03</t>
  </si>
  <si>
    <t>Quality Measure Star Rating</t>
  </si>
  <si>
    <t>Star assigned from the combined long-stay and short-stay QM score; sub-ratings reported for each stay type</t>
  </si>
  <si>
    <t>CMS TUG September 2026 Table 5 (thresholds raised July 2026)</t>
  </si>
  <si>
    <t>Overall QM: 1 star 299-927 | 2 stars 928-1120 | 3 stars 1121-1299 | 4 stars 1300-1493 | 5 stars 1494-2300. Thresholds rise every six months by half the observed score gain; next increase expected January 2027</t>
  </si>
  <si>
    <t>Thresholds rise every six months by half the observed sector gain, so a flat score loses ground by design.</t>
  </si>
  <si>
    <t>SNF-H1</t>
  </si>
  <si>
    <t>Weighted Health Inspection Score</t>
  </si>
  <si>
    <t>Cycle 1 points x 0.75 + cycle 2 points x 0.25, where each cycle sums standard, complaint, infection control and revisit points</t>
  </si>
  <si>
    <t>CMS TUG September 2026</t>
  </si>
  <si>
    <t>Two standard survey cycles only, weighted 3/4 and 1/4. Cycle 3 is still displayed on Care Compare but is no longer scored (changed July 2025 from three cycles at 1/2, 1/3, 1/6)</t>
  </si>
  <si>
    <t>CORRECTION from v8: the 50/33/17 three-cycle weighting is obsolete as of the July 2025 refresh</t>
  </si>
  <si>
    <t>Concentrates 75% of the weight on the most recent cycle - one bad recent survey outweighs two clean older ones.</t>
  </si>
  <si>
    <t>SNF-H2</t>
  </si>
  <si>
    <t>Standard Survey Deficiency Points by Scope and Severity</t>
  </si>
  <si>
    <t>Sum of Table 1 point values for every cited deficiency on the two most recent standard surveys</t>
  </si>
  <si>
    <t>CMS TUG September 2026 Table 1</t>
  </si>
  <si>
    <t>A/B/C 0 | D 4 | E 8 | F 16 (20 if SQC) | G 20 | H 35 (40) | I 45 (50) | J 50 (75) | K 100 (125) | L 150 (175). Past non-compliance at J/K/L scores at the G value of 20</t>
  </si>
  <si>
    <t>Scope and severity drive the score, not the count. Ten D-level tags cost less than a single G.</t>
  </si>
  <si>
    <t>SNF-H3</t>
  </si>
  <si>
    <t>Complaint Survey Deficiency Points</t>
  </si>
  <si>
    <t>Complaint survey deficiency points over the most recent 36 months</t>
  </si>
  <si>
    <t>Months 0-12 weighted 3/4; months 13-36 weighted 1/4 as a single band. Complaint deficiencies within 15 days of a recertification survey are counted once at the higher scope and severity</t>
  </si>
  <si>
    <t>Complaint volume is the community's relationship with families and staff made visible to the state.</t>
  </si>
  <si>
    <t>SNF-H4</t>
  </si>
  <si>
    <t>Focused Infection Control Survey Deficiency Points</t>
  </si>
  <si>
    <t>Infection control survey deficiency points over the most recent 36 months</t>
  </si>
  <si>
    <t>Same 3/4 and 1/4 weighting as complaint surveys. Where an ICS citation overlaps a recertification or complaint citation within 15 days, only the ICS citation is counted</t>
  </si>
  <si>
    <t>Infection control findings persist for 36 months, so a single bad cycle shapes the rating for three years.</t>
  </si>
  <si>
    <t>SNF-H5</t>
  </si>
  <si>
    <t>Revisit Points</t>
  </si>
  <si>
    <t>Points added for repeat revisits within a survey cycle</t>
  </si>
  <si>
    <t>CMS TUG September 2026 Table 2</t>
  </si>
  <si>
    <t>First revisit 0 | second 50% of the cycle score | third 70% | fourth 85%</t>
  </si>
  <si>
    <t>Revisits mean the plan of correction did not hold. That is a management credibility problem, not a clinical one.</t>
  </si>
  <si>
    <t>SNF-H6</t>
  </si>
  <si>
    <t>Substandard Quality of Care Citations</t>
  </si>
  <si>
    <t>Count of deficiencies cited as substandard quality of care</t>
  </si>
  <si>
    <t>No separate cap. SQC raises the point value at F, H, I, J, K and L (G has no SQC variant)</t>
  </si>
  <si>
    <t>SQC raises the point value at nearly every severity level. It is the multiplier that turns a poor survey into a rating collapse.</t>
  </si>
  <si>
    <t>SNF-H7</t>
  </si>
  <si>
    <t>Immediate Jeopardy Citations</t>
  </si>
  <si>
    <t>Count of deficiencies cited at scope and severity J, K or L</t>
  </si>
  <si>
    <t>No separate cap or downgrade. IJ enters the rating only through the J/K/L point values</t>
  </si>
  <si>
    <t>Immediate jeopardy is the clearest evidence that a system failed rather than a person.</t>
  </si>
  <si>
    <t>SNF-H8</t>
  </si>
  <si>
    <t>Abuse Icon Status</t>
  </si>
  <si>
    <t>Flag set by CMS from abuse citations at F600, F602 and F603</t>
  </si>
  <si>
    <t>Triggered by an abuse citation at G or above on the most recent standard survey or a complaint/ICS in the past 12 months; or at D or above on both the most recent and second most recent survey windows. Caps the health inspection star at 2 and the overall at 4</t>
  </si>
  <si>
    <t>Caps health inspection at 2 stars and the overall at 4 regardless of everything else. A referral-stopping flag.</t>
  </si>
  <si>
    <t>SNF-H9</t>
  </si>
  <si>
    <t>Special Focus Facility Status</t>
  </si>
  <si>
    <t>SFF participant, SFF candidate, or neither</t>
  </si>
  <si>
    <t>Current SFF participants receive no overall and no domain ratings; a warning icon replaces the overall rating. SFF candidates are rated normally</t>
  </si>
  <si>
    <t>SFF participation suppresses all ratings and in practice removes the facility from managed-care networks.</t>
  </si>
  <si>
    <t>SNF-S1</t>
  </si>
  <si>
    <t>Case-Mix Adjusted Total Nurse Staffing HPRD</t>
  </si>
  <si>
    <t>RN + LPN + nurse aide hours per resident day, case-mix adjusted, quarterly, all days</t>
  </si>
  <si>
    <t>CMS TUG September 2026 Table A2; PDPM nursing CMIs from the FY2024 SNF PPS Final Rule</t>
  </si>
  <si>
    <t>100 pts &gt;= 5.070 | 90: 4.499-5.069 | 80: 4.151-4.498 | 70: 3.910-4.150 | 60: 3.692-3.909 | 50: 3.493-3.691 | 40: 3.293-3.492 | 30: 3.051-3.292 | 20: 2.722-3.050 | 10: 0-2.721</t>
  </si>
  <si>
    <t>PBJ-derived and SNF only. There is no PBJ equivalent for AL/MC, which is why HR carries no PBJ measure</t>
  </si>
  <si>
    <t>Case-mix adjusted, so it answers whether staffing matches the residents actually in the building - not whether the budget was met.</t>
  </si>
  <si>
    <t>SNF-S2</t>
  </si>
  <si>
    <t>Case-Mix Adjusted RN HPRD</t>
  </si>
  <si>
    <t>Registered nurse hours per resident day (job codes 5, 6, 7), case-mix adjusted, quarterly, all days</t>
  </si>
  <si>
    <t>CMS TUG September 2026 Table A2</t>
  </si>
  <si>
    <t>100 pts &gt;= 1.202 | 90: 0.934-1.201 | 80: 0.786-0.933 | 70: 0.678-0.785 | 60: 0.591-0.677 | 50: 0.513-0.590 | 40: 0.440-0.512 | 30: 0.368-0.439 | 20: 0.275-0.367 | 10: 0-0.274</t>
  </si>
  <si>
    <t>PBJ-derived and SNF only</t>
  </si>
  <si>
    <t>The steepest scoring curve in the staffing domain. RN coverage is where staffing stars are won and lost.</t>
  </si>
  <si>
    <t>SNF-S3</t>
  </si>
  <si>
    <t>Case-Mix Adjusted Weekend Total Nurse HPRD</t>
  </si>
  <si>
    <t>Total nurse staffing hours per resident day on Saturdays and Sundays, case-mix adjusted</t>
  </si>
  <si>
    <t>50 pts &gt;= 4.464 | 45: 3.958-4.463 | 40: 3.668-3.957 | 35: 3.429-3.667 | 30: 3.233-3.428 | 25: 3.044-3.232 | 20: 2.862-3.043 | 15: 2.637-2.861 | 10: 2.354-2.636 | 5: 0-2.353</t>
  </si>
  <si>
    <t>Weekend coverage is where operators quietly under-resource. CMS scores it separately precisely because it diverges from weekday staffing.</t>
  </si>
  <si>
    <t>SNF-S4</t>
  </si>
  <si>
    <t>Total Nurse Staffing Turnover</t>
  </si>
  <si>
    <t>Percentage of nurse staff who left over 12 months, measured on a 90-consecutive-day zero-hours gap</t>
  </si>
  <si>
    <t>50 pts 0-31.126% | 45: 31.127-37.500 | 40: 37.501-41.739 | 35: 41.740-45.679 | 30: 45.680-49.254 | 25: 49.255-53.425 | 20: 53.426-57.692 | 15: 57.693-62.791 | 10: 62.792-69.792 | 5: 69.793-100</t>
  </si>
  <si>
    <t>PBJ-derived. HR-01 and HR-02 measure turnover from the operator payroll file and apply at every care level</t>
  </si>
  <si>
    <t>Turnover above roughly 50% drops the facility into the bottom scoring bands and is the single best predictor of the next survey result.</t>
  </si>
  <si>
    <t>SNF-S5</t>
  </si>
  <si>
    <t>RN Turnover</t>
  </si>
  <si>
    <t>Percentage of registered nurses who left over 12 months</t>
  </si>
  <si>
    <t>50 pts 0-20.000% | 45: 20.001-28.571 | 40: 28.572-35.714 | 35: 35.715-41.667 | 30: 41.668-44.444 | 25: 44.445-52.941 | 20: 52.942-60.000 | 15: 60.001-66.667 | 10: 66.668-80.000 | 5: 80.001-100</t>
  </si>
  <si>
    <t>ADDED in v9. This measure was missing from the v8 SNF block</t>
  </si>
  <si>
    <t>RN continuity drives clinical judgement quality. Its absence from v8 hid real risk rather than removing it.</t>
  </si>
  <si>
    <t>SNF-S6</t>
  </si>
  <si>
    <t>Administrator Departures</t>
  </si>
  <si>
    <t>Count of administrator departures over 12 months (job code 1)</t>
  </si>
  <si>
    <t>0 departures = 30 pts | 1 = 25 pts | 2 or more = 10 pts</t>
  </si>
  <si>
    <t>Two or more departures in twelve months signals instability that will show up in the next survey cycle.</t>
  </si>
  <si>
    <t>SNF-S7</t>
  </si>
  <si>
    <t>PBJ Submission and RN Coverage Exceptions</t>
  </si>
  <si>
    <t>Flags that force the staffing star to 1 regardless of score</t>
  </si>
  <si>
    <t>CMS TUG September 2026 scoring exceptions</t>
  </si>
  <si>
    <t>Automatic 1 star for: failure to submit staffing data by the 45-day deadline; four or more days in the quarter with zero RN hours on days with at least one resident; a failed or unanswered PBJ audit (1 star for three months)</t>
  </si>
  <si>
    <t>Forces 1 star regardless of actual staffing. Administrative failures with clinical-grade consequences.</t>
  </si>
  <si>
    <t>SNF-Q1</t>
  </si>
  <si>
    <t>Long-Stay: Need for Help with Daily Activities Has Increased</t>
  </si>
  <si>
    <t>Percentage of long-stay residents whose need for help with daily activities has increased</t>
  </si>
  <si>
    <t>CMS TUG September 2026 (MDS-based)</t>
  </si>
  <si>
    <t>150 points, deciles, 15-point increments. Cut points set on 2023Q4-2024Q3</t>
  </si>
  <si>
    <t>Long-stay functional decline reads restorative nursing capacity more than resident frailty.</t>
  </si>
  <si>
    <t>SNF-Q2</t>
  </si>
  <si>
    <t>Long-Stay: Ability to Walk Independently Worsened</t>
  </si>
  <si>
    <t>Percentage of long-stay residents whose ability to walk independently worsened</t>
  </si>
  <si>
    <t>CMS TUG September 2026 (MDS-based, risk-adjusted)</t>
  </si>
  <si>
    <t>150 points, deciles. Cut points set on 2023Q4-2024Q3</t>
  </si>
  <si>
    <t>Respecified January 2025 from the former 'ability to move independently worsened'. Use the current name</t>
  </si>
  <si>
    <t>Risk-adjusted, so a poor score means the facility underperformed against residents like its own - not that its residents were sicker.</t>
  </si>
  <si>
    <t>SNF-Q3</t>
  </si>
  <si>
    <t>Long-Stay: Residents with Pressure Ulcers</t>
  </si>
  <si>
    <t>Percentage of long-stay residents with pressure ulcers</t>
  </si>
  <si>
    <t>100 points, quintiles (20/40/60/80/100). Cut points set on 2023Q4-2024Q3</t>
  </si>
  <si>
    <t>Respecified January 2025 from the former high-risk-only measure to all residents</t>
  </si>
  <si>
    <t>Now all-resident rather than high-risk only. Facilities that scored well on the old specification can drop without changing anything they do.</t>
  </si>
  <si>
    <t>SNF-Q4</t>
  </si>
  <si>
    <t>Long-Stay: Catheter Inserted and Left in Bladder</t>
  </si>
  <si>
    <t>Percentage of long-stay residents who have or had a catheter inserted and left in their bladder</t>
  </si>
  <si>
    <t>100 points, quintiles</t>
  </si>
  <si>
    <t>Largely a practice-pattern measure. High rates usually reflect convenience rather than clinical necessity.</t>
  </si>
  <si>
    <t>SNF-Q5</t>
  </si>
  <si>
    <t>Long-Stay: Urinary Tract Infection</t>
  </si>
  <si>
    <t>Percentage of long-stay residents with a urinary tract infection</t>
  </si>
  <si>
    <t>Reads hydration, toileting and catheter practice together, and moves with staffing consistency.</t>
  </si>
  <si>
    <t>SNF-Q6</t>
  </si>
  <si>
    <t>Long-Stay: One or More Falls with Major Injury</t>
  </si>
  <si>
    <t>Percentage of long-stay residents experiencing one or more falls with major injury</t>
  </si>
  <si>
    <t>The injury is scored, not the fall - so this measures the environment and the response, not resident mobility.</t>
  </si>
  <si>
    <t>SNF-Q7</t>
  </si>
  <si>
    <t>Long-Stay: Antipsychotic Medication</t>
  </si>
  <si>
    <t>Percentage of long-stay residents who got an antipsychotic medication</t>
  </si>
  <si>
    <t>150 points, deciles. Cut points reset to 2024Q4-2025Q3 after the April 2026 schizophrenia-exclusion correction</t>
  </si>
  <si>
    <t>Respecified January 2026 to add Medicare and Medicaid claims plus Medicare Advantage encounter data alongside MDS</t>
  </si>
  <si>
    <t>Cut points reset after the April 2026 schizophrenia-exclusion correction, so comparisons to historical performance understate current difficulty.</t>
  </si>
  <si>
    <t>SNF-Q8</t>
  </si>
  <si>
    <t>Long-Stay: Hospitalizations per 1,000 Resident Days</t>
  </si>
  <si>
    <t>Number of hospitalizations per 1,000 long-stay resident days</t>
  </si>
  <si>
    <t>CMS TUG September 2026 (claims-based, risk-adjusted)</t>
  </si>
  <si>
    <t>150 points, deciles. Cut points reset July 2025 when Section GG functional variables were added to risk adjustment</t>
  </si>
  <si>
    <t>Claims-based and invisible in the facility's own records. This is how payers and ACOs judge the building.</t>
  </si>
  <si>
    <t>SNF-Q9</t>
  </si>
  <si>
    <t>Long-Stay: Outpatient ED Visits per 1,000 Resident Days</t>
  </si>
  <si>
    <t>Number of outpatient emergency department visits per 1,000 long-stay resident days</t>
  </si>
  <si>
    <t>150 points, deciles. Cut points reset July 2025</t>
  </si>
  <si>
    <t>Catches the transfers that the hospitalization measure misses. High ED volume with low admission means avoidable sends.</t>
  </si>
  <si>
    <t>SNF-Q10</t>
  </si>
  <si>
    <t>Short-Stay: Discharge Function Score</t>
  </si>
  <si>
    <t>Percentage of SNF residents who are at or above an expected ability to care for themselves and move around at discharge</t>
  </si>
  <si>
    <t>150 points, deciles. Cut points set on 2023Q2-2024Q1</t>
  </si>
  <si>
    <t>Entered the rating January 2025, replacing the retired short-stay functional improvement measure</t>
  </si>
  <si>
    <t>What short-stay referral sources care most about. Effectively the therapy program's report card.</t>
  </si>
  <si>
    <t>SNF-Q11</t>
  </si>
  <si>
    <t>Short-Stay: New or Worsened Pressure Ulcers</t>
  </si>
  <si>
    <t>Percentage of SNF residents with pressure ulcers or pressure injuries that are new or worsened</t>
  </si>
  <si>
    <t>CMS TUG September 2026 (MDS-based, risk-adjusted; PDC measure code S_038_02)</t>
  </si>
  <si>
    <t>100 points, quintiles. Cut points set on 2019Q1-2019Q4. Special rule: because more than 20% of facilities score zero, every facility at zero receives the full 100 points</t>
  </si>
  <si>
    <t>Zero earns full points and more than 20% of facilities achieve it, so anything above zero is a competitive disadvantage rather than an average result.</t>
  </si>
  <si>
    <t>SNF-Q12</t>
  </si>
  <si>
    <t>Short-Stay: First-Time Antipsychotic Medication</t>
  </si>
  <si>
    <t>Percentage of short-stay residents who got antipsychotic medication for the first time</t>
  </si>
  <si>
    <t>100 points, quintiles. Special rule: every facility at zero receives the full 100 points</t>
  </si>
  <si>
    <t>Same zero-scores-full-points rule. Any first-time antipsychotic start in a short stay warrants clinical review.</t>
  </si>
  <si>
    <t>SNF-Q13</t>
  </si>
  <si>
    <t>Short-Stay: Re-Hospitalized After Admission</t>
  </si>
  <si>
    <t>Percentage of short-stay residents who were re-hospitalized after a nursing home admission</t>
  </si>
  <si>
    <t>The measure that determines whether hospitals and Medicare Advantage plans keep sending patients.</t>
  </si>
  <si>
    <t>SNF-Q14</t>
  </si>
  <si>
    <t>Short-Stay: Outpatient ED Visit</t>
  </si>
  <si>
    <t>Percentage of short-stay residents who have had an outpatient emergency department visit</t>
  </si>
  <si>
    <t>The same network-relationship consequence as re-hospitalization, at lower severity and higher frequency.</t>
  </si>
  <si>
    <t>SNF-Q15</t>
  </si>
  <si>
    <t>Short-Stay: Successful Return to Home and Community</t>
  </si>
  <si>
    <t>Rate of successful return to home and community from a SNF</t>
  </si>
  <si>
    <t>150 points, deciles. Uses a two-year data period; every other QM uses four quarters</t>
  </si>
  <si>
    <t>Built on two years of data, so it moves slowly and reflects sustained discharge planning rather than recent effort.</t>
  </si>
  <si>
    <t>SNF-Q16</t>
  </si>
  <si>
    <t>Schizophrenia Coding Audit Status</t>
  </si>
  <si>
    <t>Flag set when a CMS audit finds schizophrenia coding inaccuracies</t>
  </si>
  <si>
    <t>CMS TUG September 2026 QM scoring exception</t>
  </si>
  <si>
    <t>Overall and long-stay QM ratings downgraded to 1 star for 6 months, which drops the overall star by one. Short-stay QM suppressed 6 months; the long-stay antipsychotic QM suppressed 12 months</t>
  </si>
  <si>
    <t>A coding-integrity flag with a rating consequence. It reads externally as gaming and drops the overall star for six months.</t>
  </si>
  <si>
    <t>FIN-01</t>
  </si>
  <si>
    <t>Finance</t>
  </si>
  <si>
    <t>Community Operating Margin by Care Level</t>
  </si>
  <si>
    <t>(Revenue - operating expense) / revenue, at the community level before capital cost, computed by care level</t>
  </si>
  <si>
    <t>SOSH 2025 Table 3.27 (for-profit)</t>
  </si>
  <si>
    <t>IL 31.2% | AL 24.5% | MC 21.7% | CCRC 22.8%</t>
  </si>
  <si>
    <t>T-12 P&amp;L (Screen 07) + GL (Screen 06) + chart of accounts (Screen 05)</t>
  </si>
  <si>
    <t>This is the NOI-style margin SOSH publishes. It is not the same measure as the CARF entity operating margin in FIN-02</t>
  </si>
  <si>
    <t>The margin a buyer underwrites. Below the segment median on benchmark occupancy means the cost structure, not the revenue line, is the problem.</t>
  </si>
  <si>
    <t>FIN-02</t>
  </si>
  <si>
    <t>Entity Operating Margin and Net Operating Margin</t>
  </si>
  <si>
    <t>CARF definitions. OM = income from operations / total operating revenue. NOM = (resident revenue - resident expense) / resident revenue</t>
  </si>
  <si>
    <t>Entity (CCRC)</t>
  </si>
  <si>
    <t>CARF 2025 Financial Ratios and Trend Analysis; RC 2025</t>
  </si>
  <si>
    <t>CARF 2024 medians: OM 0.29% single-site / 1.00% multi-site; NOM 6.19% / 5.77%. RC 2025 target &gt;= 3%</t>
  </si>
  <si>
    <t>Trial balance or balance sheet (Screen 07) + T-12 P&amp;L</t>
  </si>
  <si>
    <t>Entity-level. Read alongside FIN-01, not instead of it: the two use different denominators</t>
  </si>
  <si>
    <t>CARF medians are thin - 0.29% single-site - so a small negative swing is normal rather than distressed. Never read without days cash alongside it.</t>
  </si>
  <si>
    <t>FIN-03</t>
  </si>
  <si>
    <t>Revenue per Occupied Unit by Care Level</t>
  </si>
  <si>
    <t>Total revenue / occupied units, or revenue per patient day for SNF</t>
  </si>
  <si>
    <t>SOSH 2025 revenue per occupied unit (CPI-adjusted); CLA 40th Annual SNF (per patient day)</t>
  </si>
  <si>
    <t>SOSH segment median by care level. CPI toggle applies to all dollar measures</t>
  </si>
  <si>
    <t>T-12 P&amp;L (Screen 07) + census report (Screen 09)</t>
  </si>
  <si>
    <t>Absorbs retired SNF-1.04 Skilled Revenue per Patient Day</t>
  </si>
  <si>
    <t>Tests pricing power. Flat revenue per occupied unit against rising acuity is the clearest sign the rate structure has not kept pace with the care being delivered.</t>
  </si>
  <si>
    <t>FIN-04</t>
  </si>
  <si>
    <t>Operating Expense per Occupied Unit by Care Level</t>
  </si>
  <si>
    <t>Total operating expense / occupied units, or per patient day for SNF</t>
  </si>
  <si>
    <t>SOSH 2025 expense per occupied unit (CPI-adjusted); CLA 40th Annual SNF</t>
  </si>
  <si>
    <t>SOSH segment median by care level. CPI toggle applies</t>
  </si>
  <si>
    <t>GL (Screen 06) + chart of accounts (Screen 05) + census report</t>
  </si>
  <si>
    <t>Rising cost per unit on flat census means the expense base is fixed and the community has lost operating leverage.</t>
  </si>
  <si>
    <t>FIN-05</t>
  </si>
  <si>
    <t>Labor Cost as Percent of Revenue</t>
  </si>
  <si>
    <t>(Wages + payroll taxes + benefits + agency) / total revenue</t>
  </si>
  <si>
    <t>SOSH 2025 Tables 3.1-3.7</t>
  </si>
  <si>
    <t>IL 28% | AL 39% | AL/MC 46% | CCRC 40%</t>
  </si>
  <si>
    <t>GL (Screen 06) + T-12 P&amp;L (Screen 07)</t>
  </si>
  <si>
    <t>The largest controllable line. Above the segment band with normal agency use means the staffing model is the issue, not the labor market.</t>
  </si>
  <si>
    <t>FIN-06</t>
  </si>
  <si>
    <t>Payer Mix by Care Level</t>
  </si>
  <si>
    <t>Share of resident days by payer source, computed by care level</t>
  </si>
  <si>
    <t>CLA 40th Annual SNF (approx 11,700 Medicare cost reports); SOSH 2025</t>
  </si>
  <si>
    <t>SNF: Medicaid ~62.2%, Medicare FFS ~7.8%, other including Medicare Advantage ~30%. IL and AL predominantly private pay, with state Medicaid waiver share where applicable</t>
  </si>
  <si>
    <t>Census report (Screen 09) + billing / AR detail</t>
  </si>
  <si>
    <t>Absorbs retired SNF-1.01 Medicare and Skilled Census SOURCE TRIMMED 22 Sep 2026 by owner instruction - third-party named sources removed from the Benchmark Source column. Original read: 'CLA 40th Annual SNF (approx 11,700 CMS cost reports); SOSH 2025; NIC MAP'.</t>
  </si>
  <si>
    <t>Determines revenue quality more than volume does. Medicaid concentration above the SNF norm caps achievable margin regardless of occupancy.</t>
  </si>
  <si>
    <t>FIN-07</t>
  </si>
  <si>
    <t>Days in Accounts Receivable</t>
  </si>
  <si>
    <t>Net accounts receivable / (resident and health care revenue / 365)</t>
  </si>
  <si>
    <t>CARF 2025 Financial Ratios and Trend Analysis</t>
  </si>
  <si>
    <t>CARF 2024 medians: 14 days single-site, 18 days multi-site. Under 30 days desired</t>
  </si>
  <si>
    <t>Replaces the v8 AR aging percentage. Days in AR is the benchmarked form. Available to any operator that uploads a trial balance; note the CARF median is a CCRC cohort</t>
  </si>
  <si>
    <t>Above 30 days is a billing-office capacity problem long before it is a collectability problem.</t>
  </si>
  <si>
    <t>FIN-08</t>
  </si>
  <si>
    <t>Days Cash on Hand</t>
  </si>
  <si>
    <t>(Unrestricted current + noncurrent cash and investments) / ((operating expense - depreciation - amortization) / 365)</t>
  </si>
  <si>
    <t>CARF 2025; RC 2025</t>
  </si>
  <si>
    <t>CARF 2024 medians: 437 days single-site, 291 days multi-site. RC 2025 target &gt;= 180 days, 120 minimum</t>
  </si>
  <si>
    <t>Trial balance or balance sheet (Screen 07)</t>
  </si>
  <si>
    <t>ENTITY MEASURE. Does not apply to a care level and is not computed for a standalone SNF, which has no balance sheet of its own in this model</t>
  </si>
  <si>
    <t>The survival measure. Below the 120-day floor every other KPI in this catalog becomes academic.</t>
  </si>
  <si>
    <t>FIN-09</t>
  </si>
  <si>
    <t>Debt Service Coverage Ratio</t>
  </si>
  <si>
    <t>(Total excess + interest + depreciation + amortization - deferred revenue amortization + net entrance fee proceeds) / annual debt service</t>
  </si>
  <si>
    <t>CARF 2024 medians: 3.00x single-site, 2.77x multi-site. RC 2025 target &gt;= 1.25x. Typical bond covenant minimum 1.20x</t>
  </si>
  <si>
    <t>Debt schedule (Screen 08) + trial balance (Screen 07)</t>
  </si>
  <si>
    <t>RESTORED in v9. Removed in v8; both CARF and RC 2025 benchmark it and the debt schedule upload now supplies the operand</t>
  </si>
  <si>
    <t>Covenant proximity is the real read. Anything near 1.20x means the lender, not management, sets next year's priorities.</t>
  </si>
  <si>
    <t>FIN-10</t>
  </si>
  <si>
    <t>Entrance Fee Refund Liability Funding</t>
  </si>
  <si>
    <t>Funded refund obligation / total refundable entrance fee liability</t>
  </si>
  <si>
    <t>RC 2025: &gt;= 90% funded on an actuarial basis, or 100% funded</t>
  </si>
  <si>
    <t>Trial balance (Screen 07) + residency agreements (Screen 04)</t>
  </si>
  <si>
    <t>CCRC AND LIFE PLAN ONLY. Suppressed entirely when no entrance fee contract exists</t>
  </si>
  <si>
    <t>Under-funding a refundable liability transfers risk to future residents. Regulators and rating agencies look here first.</t>
  </si>
  <si>
    <t>FIN-11</t>
  </si>
  <si>
    <t>Accounts Receivable Aging (Percent Over 90 Days)</t>
  </si>
  <si>
    <t>A/R aged over 90 days / total A/R</t>
  </si>
  <si>
    <t>Kushant Shah internal standard</t>
  </si>
  <si>
    <t>No more than 15% of total A/R aged over 90 days</t>
  </si>
  <si>
    <t>Complement to FIN-07 Days in Accounts Receivable, NOT a replacement. FIN-07 reads billing timing; this reads collectability of the aged tail. The v8 AR aging percentage was retired in favour of FIN-07 - this reinstates it in a narrower, targeted form. Added 22 Sep 2026 from the Gap Matrix v9 (Kushant Shah).</t>
  </si>
  <si>
    <t>The over-90 tail reveals collectability where days in AR reveals timing. A community can hold acceptable average days while a concentrated aged balance quietly becomes bad debt.</t>
  </si>
  <si>
    <t>FIN-12</t>
  </si>
  <si>
    <t>Bad Debt and Write-Off Rate</t>
  </si>
  <si>
    <t>Write-offs / total operating revenue</t>
  </si>
  <si>
    <t>Write-offs below 1.5% of total operating revenue</t>
  </si>
  <si>
    <t>Pairs with FIN-11: this measures collection quality where FIN-07 measures timing. Read alongside the admission financial qualification process. Added 22 Sep 2026 from the Gap Matrix v9 (Rob Clark, Kushant Shah).</t>
  </si>
  <si>
    <t>Reveals the quality of the admission decision as much as the billing function. Rising write-offs usually trace back to financial qualification at move-in, not to collections effort.</t>
  </si>
  <si>
    <t>HR-01</t>
  </si>
  <si>
    <t>Human Resources</t>
  </si>
  <si>
    <t>Total Staff Turnover Rate</t>
  </si>
  <si>
    <t>Separations (voluntary and involuntary) / average headcount, annualized, all departments</t>
  </si>
  <si>
    <t>RC 2025 target &lt; 20% overall. Market reference: HCS 2024 SNF ~53.9%</t>
  </si>
  <si>
    <t>Payroll / turnover report (Screen 09)</t>
  </si>
  <si>
    <t>Computed from the operator payroll file, NOT from PBJ. The PBJ turnover measures are SNF-S4 and SNF-S5 and exist only for SNF SOURCE TRIMMED 22 Sep 2026 by owner instruction - third-party named sources removed from the Benchmark Source column. Original read: 'RC 2025 CCRC Benchmarks; HCS Annual Report 2024'.</t>
  </si>
  <si>
    <t>The root cause behind most clinical and satisfaction misses. Above 20% overall, expect quality measures to deteriorate within two quarters.</t>
  </si>
  <si>
    <t>HR-02</t>
  </si>
  <si>
    <t>Frontline and Direct Care Turnover Rate</t>
  </si>
  <si>
    <t>Separations among direct care staff / average direct care headcount, annualized</t>
  </si>
  <si>
    <t>RC 2025 target &lt; 35% frontline. Market reference: HCS 2024 CNA ~40%, AL resident assistant ~44%</t>
  </si>
  <si>
    <t>Payroll-derived, not PBJ-derived SOURCE TRIMMED 22 Sep 2026 by owner instruction - third-party named sources removed from the Benchmark Source column. Original read: 'RC 2025 CCRC Benchmarks; HCS Annual Report 2024'.</t>
  </si>
  <si>
    <t>What residents actually feel day to day. Frontline turnover predicts falls, medication errors and family complaints better than any clinical measure does.</t>
  </si>
  <si>
    <t>HR-03</t>
  </si>
  <si>
    <t>90-Day New Hire Retention Rate</t>
  </si>
  <si>
    <t>Hires still employed at day 90 / hires in the cohort</t>
  </si>
  <si>
    <t>&gt; 80%</t>
  </si>
  <si>
    <t xml:space="preserve"> RE-ATTRIBUTED 22 Sep 2026 by owner instruction: third-party named sources are not carried in this catalog, and removing the previous attribution left no source, so this benchmark is recorded as a Rob Clark internal standard. Previous attribution read: 'Activated Insights'. The target value itself was not changed - only the attribution. Treat the figure as an advisor standard with no external publication behind it.</t>
  </si>
  <si>
    <t>Tests hiring quality and onboarding rather than pay. Below 80% means the community is recruiting people it cannot keep.</t>
  </si>
  <si>
    <t>HR-04</t>
  </si>
  <si>
    <t>Position Vacancy Rate</t>
  </si>
  <si>
    <t>Open approved positions / total approved positions</t>
  </si>
  <si>
    <t>&lt; 5% of approved positions</t>
  </si>
  <si>
    <t>Payroll report (Screen 09) + org chart (Screen 04)</t>
  </si>
  <si>
    <t>SBC sets the recommended FTE count. This measures how much of the approved plan is unfilled RE-ATTRIBUTED 22 Sep 2026 by owner instruction: third-party named sources are not carried in this catalog, and removing the previous attribution left no source, so this benchmark is recorded as a Rob Clark internal standard. Previous attribution read: 'Industry practice'. The target value itself was not changed - only the attribution. Treat the figure as an advisor standard with no external publication behind it.</t>
  </si>
  <si>
    <t>The gap between the approved plan and reality. Persistent vacancy with low agency use means existing staff are absorbing the work - burnout being accrued in advance.</t>
  </si>
  <si>
    <t>HR-05</t>
  </si>
  <si>
    <t>Agency and Contract Labor as Percent of Labor</t>
  </si>
  <si>
    <t>Agency labor cost / total labor cost, and agency hours / total hours</t>
  </si>
  <si>
    <t>SOSH 2025</t>
  </si>
  <si>
    <t>&lt; 5% of hours and &lt; 5% of labor cost</t>
  </si>
  <si>
    <t>Payroll report (Screen 09) + GL (Screen 06)</t>
  </si>
  <si>
    <t>SBC sizes the FTE requirement. This measures what it cost to cover the gap SOURCE TRIMMED 22 Sep 2026 by owner instruction - third-party named sources removed from the Benchmark Source column. Original read: 'SOSH 2025; industry practice'.</t>
  </si>
  <si>
    <t>The most expensive symptom of a recruitment failure. Above 5% of labor cost, margin erosion is already locked in.</t>
  </si>
  <si>
    <t>HR-06</t>
  </si>
  <si>
    <t>Overtime Rate</t>
  </si>
  <si>
    <t>Overtime hours / total paid hours</t>
  </si>
  <si>
    <t>&lt; 5% of total hours</t>
  </si>
  <si>
    <t>Payroll report (Screen 09)</t>
  </si>
  <si>
    <t>SBC sets required FTE; overtime is the financial symptom of an unfilled requirement RE-ATTRIBUTED 22 Sep 2026 by owner instruction: third-party named sources are not carried in this catalog, and removing the previous attribution left no source, so this benchmark is recorded as a Rob Clark internal standard. Previous attribution read: 'Industry practice'. The target value itself was not changed - only the attribution. Treat the figure as an advisor standard with no external publication behind it.</t>
  </si>
  <si>
    <t>The cheaper symptom of the same failure. Overtime and agency rise together; both climbing means the staffing model is broken rather than strained. Benchmark basis is productive hours, not total paid hours.</t>
  </si>
  <si>
    <t>HR-07</t>
  </si>
  <si>
    <t>Absenteeism and Call-Off Rate</t>
  </si>
  <si>
    <t>Unscheduled absence hours / scheduled hours</t>
  </si>
  <si>
    <t>&lt; 3-4% unscheduled absence</t>
  </si>
  <si>
    <t xml:space="preserve"> RE-ATTRIBUTED 22 Sep 2026 by owner instruction: third-party named sources are not carried in this catalog, and removing the previous attribution left no source, so this benchmark is recorded as a Rob Clark internal standard. Previous attribution read: 'Industry practice'. The target value itself was not changed - only the attribution. Treat the figure as an advisor standard with no external publication behind it.</t>
  </si>
  <si>
    <t>A culture measure. Unscheduled absence above 4% usually reflects scheduling practice and supervisor relationships, not workforce reliability.</t>
  </si>
  <si>
    <t>HR-08</t>
  </si>
  <si>
    <t>Employee Engagement and Satisfaction Score</t>
  </si>
  <si>
    <t>RC 2025 target &gt;= 85%. Reference: Holleran Choice Award &gt; 85th percentile</t>
  </si>
  <si>
    <t>Clears the employee-side cultural health red flag. Covers satisfaction and engagement together SOURCE TRIMMED 22 Sep 2026 by owner instruction - third-party named sources removed from the Benchmark Source column. Original read: 'RC 2025 CCRC Benchmarks; Holleran; Activated Insights'.</t>
  </si>
  <si>
    <t>Leads turnover by roughly two quarters. Below target, assume the turnover number is about to get worse.</t>
  </si>
  <si>
    <t>HR-09</t>
  </si>
  <si>
    <t>Mandatory Training Completion Rate and Hours</t>
  </si>
  <si>
    <t>Required training completed on time / required training due; plus training hours per employee, clinical and non-clinical</t>
  </si>
  <si>
    <t>RC 2025 CCRC Benchmarks; state and federal regulation</t>
  </si>
  <si>
    <t>100% on-time completion. RC 2025: &gt;= 24 hours clinical, &gt;= 16 hours non-clinical per year</t>
  </si>
  <si>
    <t>Payroll / LMS report (Screen 09)</t>
  </si>
  <si>
    <t>Below 100% is regulatory exposure. Chronic lateness means staffing is too thin to release people from the floor.</t>
  </si>
  <si>
    <t>HR-10</t>
  </si>
  <si>
    <t>Workers Compensation Cost as Percent of Wages</t>
  </si>
  <si>
    <t>(Workers compensation premium + claims cost) / total wages</t>
  </si>
  <si>
    <t>SOSH 2025 Tables 3.20-3.21</t>
  </si>
  <si>
    <t>Average 2.2% of wages (published range 0.1-13.1%)</t>
  </si>
  <si>
    <t>GL (Screen 06) + payroll report (Screen 09)</t>
  </si>
  <si>
    <t>Replaces the v8 claim frequency measure, which had no published benchmark</t>
  </si>
  <si>
    <t>Above the 2.2% average points at lifting practice, staffing ratios and return-to-work discipline rather than at premium pricing.</t>
  </si>
  <si>
    <t>HR-11</t>
  </si>
  <si>
    <t>Time to Fill</t>
  </si>
  <si>
    <t>Sum of days to fill / positions filled</t>
  </si>
  <si>
    <t>RC 2025 CCRC Performance Benchmarks (advisor internal standard)</t>
  </si>
  <si>
    <t>30-45 days to fill clinical roles; target 45; flag above 60</t>
  </si>
  <si>
    <t>Speed measure. HR-04 Position Vacancy Rate is the stock equivalent and the two are not interchangeable. Benchmark band applies to clinical roles; non-clinical roles are not benchmarked. Added 22 Sep 2026 from the Gap Matrix v9 (Rob Clark).</t>
  </si>
  <si>
    <t>Reveals recruiting capacity and market wage position. Long fill times are the upstream cause of the agency, overtime and vacancy numbers reported elsewhere - fix here and HR-04, HR-05 and HR-06 all move.</t>
  </si>
  <si>
    <t>PLT-01</t>
  </si>
  <si>
    <t>Work Orders per Resident Unit</t>
  </si>
  <si>
    <t>Total work orders / resident units, reported split between ad hoc and preventive maintenance</t>
  </si>
  <si>
    <t>Siemens / Brightly Senior Living Maintenance Benchmarks (1,000+ organizations)</t>
  </si>
  <si>
    <t>18 total per resident unit: 13 ad hoc, 5 preventive</t>
  </si>
  <si>
    <t>Plant / maintenance report (Screen 09)</t>
  </si>
  <si>
    <t>Volume above 18 per unit means the physical plant is consuming labor - usually deferred capital resurfacing as maintenance.</t>
  </si>
  <si>
    <t>PLT-02</t>
  </si>
  <si>
    <t>Work Order On-Time Completion Rate</t>
  </si>
  <si>
    <t>Work orders completed on time / total work orders</t>
  </si>
  <si>
    <t>Siemens / Brightly Senior Living Maintenance Benchmarks</t>
  </si>
  <si>
    <t>76% completed on time</t>
  </si>
  <si>
    <t>Replaces the v8 completion-rate measure, which carried no published benchmark</t>
  </si>
  <si>
    <t>The sector standard is only 76%, so the bar is low. Materially below it means residents are waiting.</t>
  </si>
  <si>
    <t>PLT-03</t>
  </si>
  <si>
    <t>Maintenance Labor Hours per Resident Unit</t>
  </si>
  <si>
    <t>Total tracked labor hours / resident units, split ad hoc and preventive</t>
  </si>
  <si>
    <t>14 hours per resident unit: 9 ad hoc, 5 preventive</t>
  </si>
  <si>
    <t>Labor hours, not FTE count. SBC sets the plant ops FTE at campus square footage / 50,000</t>
  </si>
  <si>
    <t>Read against work order volume. High hours on normal volume means the work is harder than it should be, which points at aging systems.</t>
  </si>
  <si>
    <t>PLT-04</t>
  </si>
  <si>
    <t>Average Days Overdue</t>
  </si>
  <si>
    <t>Total days overdue / number of overdue work orders, reported for PM and ad hoc separately</t>
  </si>
  <si>
    <t>3.4 days overall: PM 5.6 days, ad hoc 2.4 days</t>
  </si>
  <si>
    <t>Preventive work overdue by more than 5.6 days is how equipment failures are manufactured.</t>
  </si>
  <si>
    <t>PLT-05</t>
  </si>
  <si>
    <t>Average Days Open per Work Order</t>
  </si>
  <si>
    <t>Average calendar days from request date to completion date</t>
  </si>
  <si>
    <t>3.8 days open</t>
  </si>
  <si>
    <t>This is the resident-facing responsiveness measure</t>
  </si>
  <si>
    <t>The resident-facing responsiveness measure and a direct input into satisfaction scores.</t>
  </si>
  <si>
    <t>PLT-06</t>
  </si>
  <si>
    <t>Resident Billings per Resident Unit</t>
  </si>
  <si>
    <t>Resident billing dollars logged against work orders / resident units</t>
  </si>
  <si>
    <t>$18 per resident unit</t>
  </si>
  <si>
    <t>Plant / maintenance report (Screen 09) + GL (Screen 06)</t>
  </si>
  <si>
    <t>Recovery measure. Low billing against high ad hoc volume means chargeable work is being absorbed</t>
  </si>
  <si>
    <t>Low billing against high ad hoc volume means chargeable work is being absorbed - lost revenue hiding inside the maintenance department.</t>
  </si>
  <si>
    <t>PLT-07</t>
  </si>
  <si>
    <t>Preventive Maintenance Completion Rate</t>
  </si>
  <si>
    <t>PM work orders completed on time / PM work orders scheduled</t>
  </si>
  <si>
    <t>Siemens / Brightly (PM = 5 of 18 work orders, about 28% of volume)</t>
  </si>
  <si>
    <t>&gt; 90% on-time. PM should hold about 28% of total work order volume</t>
  </si>
  <si>
    <t>Absorbs the v8 vehicle PM measure, which had no separate benchmark SOURCE TRIMMED 22 Sep 2026 by owner instruction - third-party named sources removed from the Benchmark Source column. Original read: 'Siemens / Brightly (PM = 5 of 18 work orders, about 28% of volume); industry practice'.</t>
  </si>
  <si>
    <t>PM should hold about 28% of volume. Below that the department has gone fully reactive, and ad hoc volume will rise next quarter.</t>
  </si>
  <si>
    <t>PLT-08</t>
  </si>
  <si>
    <t>Life Safety and Fire Inspection Deficiencies</t>
  </si>
  <si>
    <t>Count of open life safety and fire marshal deficiencies, and average days to clearance</t>
  </si>
  <si>
    <t>CMS Life Safety Code survey (SNF, from the PDC Survey Summary file); state fire marshal inspection (all care levels)</t>
  </si>
  <si>
    <t>Zero open deficiencies; 100% cleared within the required window</t>
  </si>
  <si>
    <t>Fire marshal reports (Screen 11, always manual); CMS LSC data for SNF</t>
  </si>
  <si>
    <t>MOVED HERE FROM SNF. The CMS Technical Users Guide states that Life Safety survey deficiencies are not included in the Five-Star calculation, so LSC cannot sit in a block defined as Five-Star contributors</t>
  </si>
  <si>
    <t>Non-negotiable. Open deficiencies are the fastest route to a licensure action.</t>
  </si>
  <si>
    <t>PLT-09</t>
  </si>
  <si>
    <t>Average Age of Plant</t>
  </si>
  <si>
    <t>Accumulated depreciation / annual depreciation expense, expressed in years</t>
  </si>
  <si>
    <t>CARF 2024 medians: 11.77 years single-site, 11.87 years multi-site. Rising age signals underinvestment</t>
  </si>
  <si>
    <t>Entity measure. Available to any operator that uploads a trial balance; note the CARF median is a CCRC cohort. Campus expansion can mask an aging original plant</t>
  </si>
  <si>
    <t>Age rising against the 11.8-year median means reinvestment has stopped. This is the measure a buyer discounts the purchase price for.</t>
  </si>
  <si>
    <t>PLT-10</t>
  </si>
  <si>
    <t>Energy Use Intensity</t>
  </si>
  <si>
    <t>Site energy consumed (kBtu) / gross building square footage / year</t>
  </si>
  <si>
    <t>EPA ENERGY STAR Portfolio Manager, Senior Care Communities DataTrends</t>
  </si>
  <si>
    <t>Median site EUI approximately 214 kBtu per square foot. ENERGY STAR score &gt;= 75 is top quartile</t>
  </si>
  <si>
    <t>GL utility accounts (Screen 06) + gross building area (Screen 10)</t>
  </si>
  <si>
    <t>One of the few expense lines with a hard external benchmark. Well above 214 kBtu per square foot means envelope or equipment, not occupant behavior.</t>
  </si>
  <si>
    <t>LE-01</t>
  </si>
  <si>
    <t>Life Enrichment</t>
  </si>
  <si>
    <t>Weekly Resident Participation Rate</t>
  </si>
  <si>
    <t>Residents attending at least one program in the week / occupied units, by care level</t>
  </si>
  <si>
    <t>&gt; 80% weekly participation</t>
  </si>
  <si>
    <t>Life enrichment / activity participation report (Screen 09)</t>
  </si>
  <si>
    <t>Clears the resident-side cultural health red flag jointly with OPS-05 RE-ATTRIBUTED 22 Sep 2026 by owner instruction: third-party named sources are not carried in this catalog, and removing the previous attribution left no source, so this benchmark is recorded as a Rob Clark internal standard. Previous attribution read: 'LeadingAge'. The target value itself was not changed - only the attribution. Treat the figure as an advisor standard with no external publication behind it.</t>
  </si>
  <si>
    <t>Below 80% weekly participation is the earliest and quietest signal of cultural decline.</t>
  </si>
  <si>
    <t>LE-02</t>
  </si>
  <si>
    <t>Programs Offered per Resident per Week</t>
  </si>
  <si>
    <t>Distinct programs offered in the week / occupied units, by care level</t>
  </si>
  <si>
    <t>Directional. Offering volume read against LE-01 participation is what identifies programming fit rather than programming quantity</t>
  </si>
  <si>
    <t>Activity calendar (Screen 04) + activity participation report (Screen 09)</t>
  </si>
  <si>
    <t xml:space="preserve"> RE-ATTRIBUTED 22 Sep 2026 by owner instruction: third-party named sources are not carried in this catalog, and removing the previous attribution left no source, so this benchmark is recorded as a Rob Clark internal standard. Previous attribution read: 'Activity calendar analysis; LeadingAge practice'. The target value itself was not changed - only the attribution. Treat the figure as an advisor standard with no external publication behind it.</t>
  </si>
  <si>
    <t>Offering volume without matching participation means the calendar is built for the department rather than the residents.</t>
  </si>
  <si>
    <t>LE-03</t>
  </si>
  <si>
    <t>Programming Satisfaction Score</t>
  </si>
  <si>
    <t>RC 2025 resident experience; industry surveys</t>
  </si>
  <si>
    <t>&gt; 85% favorable. RC 2025 resident satisfaction target &gt;= 90%</t>
  </si>
  <si>
    <t>Not a standalone cultural health red flag trigger</t>
  </si>
  <si>
    <t>Separates quality from quantity. High offering volume with low satisfaction means the problem is programming fit, not programming effort.</t>
  </si>
  <si>
    <t>LE-04</t>
  </si>
  <si>
    <t>Resident Technology Engagement Rate</t>
  </si>
  <si>
    <t>Residents actively using the community's resident engagement platform / occupied units</t>
  </si>
  <si>
    <t>&gt;= 90% resident technology use</t>
  </si>
  <si>
    <t>Resident engagement system report (Screen 02 system inventory drives the report request)</t>
  </si>
  <si>
    <t>Reveals whether the community's technology investment is actually used, and it is increasingly what adult children evaluate.</t>
  </si>
  <si>
    <t>LE-05</t>
  </si>
  <si>
    <t>Participation Mix by Wellness Dimension</t>
  </si>
  <si>
    <t>Share of programs offered and attendance by wellness dimension: physical, social, intellectual, spiritual, emotional, vocational, environmental</t>
  </si>
  <si>
    <t>Balanced coverage across dimensions; no dimension at zero</t>
  </si>
  <si>
    <t xml:space="preserve"> RE-ATTRIBUTED 22 Sep 2026 by owner instruction: third-party named sources are not carried in this catalog, and removing the previous attribution left no source, so this benchmark is recorded as a Rob Clark internal standard. Previous attribution read: 'International Council on Active Aging seven dimensions of wellness'. The target value itself was not changed - only the attribution. Treat the figure as an advisor standard with no external publication behind it.</t>
  </si>
  <si>
    <t>A dimension sitting at zero exposes a programming blind spot - most often spiritual or vocational.</t>
  </si>
  <si>
    <t>LE-06</t>
  </si>
  <si>
    <t>Life Enrichment Programming Coverage</t>
  </si>
  <si>
    <t>Hours per day that structured life enrichment programming is delivered, and days per week covered</t>
  </si>
  <si>
    <t>Minimum 8 hours per day, 7 days per week</t>
  </si>
  <si>
    <t>TO BE MAPPED - added from an owner ruling 22 Sep 2026; intake screen not yet assigned</t>
  </si>
  <si>
    <t>Owner standard set by Rob Clark on 22 Sep 2026 and attributed to him because it does not match any published source - LeadingAge and ICAA publish participation and wellness-dimension references, not a coverage floor. COVERAGE, NOT INTENSITY: this measures whether programming is available, where LE-01 measures whether residents attend. Applies at all care levels; 7-day coverage means weekend programming is in scope, which is where coverage usually fails. Note: the former LE-03 memory care engagement hours per resident was DELETED on 22 Sep 2026 - its 4-6 hours figure could not be sourced and no per-resident engagement intensity measure now exists in the catalog. This row is a coverage floor and is not a substitute for it.</t>
  </si>
  <si>
    <t>A coverage floor reveals whether life enrichment is a staffed department or a calendar. Communities almost always fail this at weekends and in the evenings, which is exactly when unstructured time drives behavioural events - read alongside NUR-08 antipsychotic use and LE-01 participation.</t>
  </si>
  <si>
    <t>DIN-01</t>
  </si>
  <si>
    <t>Dining Services</t>
  </si>
  <si>
    <t>Raw Food Cost per Resident Day</t>
  </si>
  <si>
    <t>Raw food cost / resident days, by care level</t>
  </si>
  <si>
    <t>SOSH 2025 dietary cost per resident day, by care level (CPI-adjusted)</t>
  </si>
  <si>
    <t>SOSH segment median. Practitioner range approximately $4.50-$6.50 per resident day</t>
  </si>
  <si>
    <t>GL (Screen 06) + chart of accounts (Screen 05) + census report (Screen 09)</t>
  </si>
  <si>
    <t>GPO participation (Screen 04) adjusts the comparison cohort</t>
  </si>
  <si>
    <t>Coming in below the practitioner range is not a win; it reappears in meal satisfaction and unplanned weight loss.</t>
  </si>
  <si>
    <t>DIN-02</t>
  </si>
  <si>
    <t>Total Dining Cost per Resident Day</t>
  </si>
  <si>
    <t>(Food + dining labor + dining supplies) / resident days, by care level</t>
  </si>
  <si>
    <t>SOSH 2025 dietary expense per resident day (CPI-adjusted)</t>
  </si>
  <si>
    <t>SOSH segment median by care level</t>
  </si>
  <si>
    <t>GL (Screen 06) + census report (Screen 09)</t>
  </si>
  <si>
    <t>Cost, not productivity. SBC owns meals per labor hour (IL 2.2, AL 2.5, MC 3.0, SNF 3.5)</t>
  </si>
  <si>
    <t>Read with participation. Low cost per resident day alongside low participation means residents are not eating the food being bought.</t>
  </si>
  <si>
    <t>DIN-03</t>
  </si>
  <si>
    <t>Meal Participation Rate</t>
  </si>
  <si>
    <t>Meals served / (residents x meals offered per day), by care level</t>
  </si>
  <si>
    <t>IL &gt; 90% | AL 75-85% | MC 60-75%</t>
  </si>
  <si>
    <t>Dining / food service report (Screen 09) + census report</t>
  </si>
  <si>
    <t>Excludes SNF, where meal service is not elective RE-ATTRIBUTED 22 Sep 2026 by owner instruction: third-party named sources are not carried in this catalog, and removing the previous attribution left no source, so this benchmark is recorded as a Rob Clark internal standard. Previous attribution read: 'LeadingAge; Argentum operational benchmarks'. The target value itself was not changed - only the attribution. Treat the figure as an advisor standard with no external publication behind it.</t>
  </si>
  <si>
    <t>The most under-used satisfaction proxy in the catalog. Falling participation reliably precedes falling resident satisfaction.</t>
  </si>
  <si>
    <t>DIN-04</t>
  </si>
  <si>
    <t>Resident Meal Satisfaction Score</t>
  </si>
  <si>
    <t>RC 2025 resident experience (Rob Clark)</t>
  </si>
  <si>
    <t>&gt; 85% favorable; top quartile &gt; 90%</t>
  </si>
  <si>
    <t>Not a standalone cultural health red flag trigger SOURCE TRIMMED 22 Sep 2026 by owner instruction - third-party named sources removed from the Benchmark Source column. Original read: 'RC 2025 resident experience; Holleran; Pinnacle Quality Insight'.</t>
  </si>
  <si>
    <t>Dining is the most frequently experienced service in the building and the most cited reason for dissatisfaction.</t>
  </si>
  <si>
    <t>DIN-05</t>
  </si>
  <si>
    <t>Therapeutic and Modified Diet Accuracy Rate</t>
  </si>
  <si>
    <t>Trays served matching the ordered diet / trays served, including texture and allergen accuracy</t>
  </si>
  <si>
    <t>CMS F-tag F812 (therapeutic and modified diet accuracy)</t>
  </si>
  <si>
    <t>&gt; 98% accuracy; zero allergen errors</t>
  </si>
  <si>
    <t>Dining / food service report (Screen 09)</t>
  </si>
  <si>
    <t>Merges the v8 therapeutic diet compliance and special diet error measures into one rate SOURCE TRIMMED 22 Sep 2026 by owner instruction - third-party named sources removed from the Benchmark Source column. Original read: 'ANFP best practice; CMS F-tag F812'.</t>
  </si>
  <si>
    <t>Below 98% is a clinical risk, not a service one. Allergen errors are events to be eliminated, not a trend to be managed.</t>
  </si>
  <si>
    <t>DIN-06</t>
  </si>
  <si>
    <t>Unplanned Weight Loss Incidence</t>
  </si>
  <si>
    <t>Residents with more than 5% weight loss in 30 days or more than 10% in 180 days / total residents</t>
  </si>
  <si>
    <t>CMS F-tag F692; MDS Section K</t>
  </si>
  <si>
    <t>&lt; 5% of residents per quarter</t>
  </si>
  <si>
    <t>Dining / food service report + clinical / EHR report (Screen 09)</t>
  </si>
  <si>
    <t>CMS publishes a long-stay weight loss QM on Care Compare but it is NOT a Five-Star input, so it is scored here rather than in the SNF block</t>
  </si>
  <si>
    <t>The outcome measure that validates everything else in dining. Unplanned loss is where dining, nursing and staffing failures converge.</t>
  </si>
  <si>
    <t>DIN-07</t>
  </si>
  <si>
    <t>Food Safety Inspection Score</t>
  </si>
  <si>
    <t>State or local health department inspection score, plus critical violation count</t>
  </si>
  <si>
    <t>State health department food service inspection; CMS F-tag F812</t>
  </si>
  <si>
    <t>&gt; 95% score; zero critical violations</t>
  </si>
  <si>
    <t>Dining / food service report (Screen 09) + inspection upload (Screen 11)</t>
  </si>
  <si>
    <t>Binary in the eyes of regulators and families. One poor inspection outlives a year of good service.</t>
  </si>
  <si>
    <t>DIN-08</t>
  </si>
  <si>
    <t>Nutritional Assessment Completion Rate</t>
  </si>
  <si>
    <t>Nutritional assessments completed on time / nutritional assessments due</t>
  </si>
  <si>
    <t>100% of nutritional assessments completed on time</t>
  </si>
  <si>
    <t>The practice applies at all care levels but the regulatory driver, CMS F-692, is SNF/NF scoped, so the measure is scoped SNF only and no CMS benchmark should be carried above SNF. Validated downstream by DIN-06 unplanned weight loss. Added 22 Sep 2026 from the Gap Matrix v9 (Rob Clark).</t>
  </si>
  <si>
    <t>Reveals whether nutrition risk is caught prospectively or discovered after weight loss. Late assessments mean the community is managing outcomes instead of preventing them.</t>
  </si>
  <si>
    <t>DIN-09</t>
  </si>
  <si>
    <t>Food Waste Rate</t>
  </si>
  <si>
    <t>Food waste cost / food purchases</t>
  </si>
  <si>
    <t>Food waste below 6% of food purchases</t>
  </si>
  <si>
    <t>Controllable driver behind DIN-01 raw food cost and DIN-02 total dining cost. No published benchmark exists - advisor standard only. Added 22 Sep 2026 from the Gap Matrix v9 (Kushant Shah).</t>
  </si>
  <si>
    <t>The controllable driver behind food cost. High waste against acceptable cost per resident day reveals menu fit and production forecasting problems that a cost measure alone will never surface.</t>
  </si>
  <si>
    <t>CMS Five-Star Coverage Check</t>
  </si>
  <si>
    <t>Verified against the CMS Five-Star Quality Rating System Technical Users Guide, September 2026 (retrieved 2026-09-22). Every contributing component is mapped to a v9 code.</t>
  </si>
  <si>
    <t>Domain</t>
  </si>
  <si>
    <t>Contributing Component</t>
  </si>
  <si>
    <t>v9 Code</t>
  </si>
  <si>
    <t>Weight or Points</t>
  </si>
  <si>
    <t>Note</t>
  </si>
  <si>
    <t>Overall</t>
  </si>
  <si>
    <t>Composite of the three domain stars</t>
  </si>
  <si>
    <t>Health inspection base, +/-1 for staffing, +/-1 for QM</t>
  </si>
  <si>
    <t>If health inspection is 1 star the overall cannot rise above 2. Abuse icon caps the overall at 4.</t>
  </si>
  <si>
    <t>Domain 1 Health Inspection</t>
  </si>
  <si>
    <t>Domain star rating</t>
  </si>
  <si>
    <t>State percentile: top 10% = 5 stars, bottom 20% = 1 star</t>
  </si>
  <si>
    <t>Middle 70% split into three bands of 23.33%. Recalibrated monthly.</t>
  </si>
  <si>
    <t>Weighted health inspection score</t>
  </si>
  <si>
    <t>Cycle 1 x 3/4 + cycle 2 x 1/4</t>
  </si>
  <si>
    <t>Two cycles only since the July 2025 refresh. Cycle 3 is displayed but not scored.</t>
  </si>
  <si>
    <t>Standard survey deficiency points</t>
  </si>
  <si>
    <t>Table 1 scale, D=4 through L=150 (175 with SQC)</t>
  </si>
  <si>
    <t>Past non-compliance at J/K/L scores at the G value of 20.</t>
  </si>
  <si>
    <t>Complaint survey deficiency points</t>
  </si>
  <si>
    <t>36 months, 0-12 mo at 3/4 and 13-36 mo at 1/4</t>
  </si>
  <si>
    <t>Deduplicated against recertification citations within 15 days.</t>
  </si>
  <si>
    <t>Focused infection control survey points</t>
  </si>
  <si>
    <t>36 months, same 3/4 and 1/4 weighting</t>
  </si>
  <si>
    <t>Where an ICS citation overlaps another within 15 days, only the ICS citation counts.</t>
  </si>
  <si>
    <t>Revisit points</t>
  </si>
  <si>
    <t>1st 0, 2nd 50%, 3rd 70%, 4th 85% of cycle score</t>
  </si>
  <si>
    <t>Substandard quality of care citations</t>
  </si>
  <si>
    <t>Raises point values at F, H, I, J, K, L</t>
  </si>
  <si>
    <t>No separate cap. G has no SQC variant.</t>
  </si>
  <si>
    <t>Immediate jeopardy citations</t>
  </si>
  <si>
    <t>Enters only through J, K, L point values</t>
  </si>
  <si>
    <t>No separate cap or downgrade.</t>
  </si>
  <si>
    <t>Abuse icon</t>
  </si>
  <si>
    <t>Caps health inspection at 2 stars</t>
  </si>
  <si>
    <t>Set from F600, F602, F603 citations. Caps overall at 4 stars.</t>
  </si>
  <si>
    <t>Special Focus Facility status</t>
  </si>
  <si>
    <t>SFF participants receive no ratings at all</t>
  </si>
  <si>
    <t>SFF candidates are rated normally.</t>
  </si>
  <si>
    <t>Domain 2 Staffing</t>
  </si>
  <si>
    <t>380-point scale: 5 stars at 320-380, 1 star below 155</t>
  </si>
  <si>
    <t>Case-mix adjusted total nurse HPRD</t>
  </si>
  <si>
    <t>100 points, deciles</t>
  </si>
  <si>
    <t>Case-mix adjusted on PDPM nursing CMIs from the FY2024 SNF PPS Final Rule, not RUG-IV.</t>
  </si>
  <si>
    <t>Case-mix adjusted RN HPRD</t>
  </si>
  <si>
    <t>Job codes 5, 6, 7.</t>
  </si>
  <si>
    <t>Case-mix adjusted weekend total nurse HPRD</t>
  </si>
  <si>
    <t>50 points, deciles</t>
  </si>
  <si>
    <t>Saturdays and Sundays.</t>
  </si>
  <si>
    <t>Total nurse staffing turnover</t>
  </si>
  <si>
    <t>Requires six consecutive quarters of PBJ. 90-day zero-hours gap definition.</t>
  </si>
  <si>
    <t>RN turnover</t>
  </si>
  <si>
    <t>ADDED in v9. This measure was absent from the v8 catalog.</t>
  </si>
  <si>
    <t>Administrator departures</t>
  </si>
  <si>
    <t>30 points: 0 departures = 30, 1 = 25, 2+ = 10</t>
  </si>
  <si>
    <t>Job code 1.</t>
  </si>
  <si>
    <t>Scoring exceptions</t>
  </si>
  <si>
    <t>Automatic 1 star</t>
  </si>
  <si>
    <t>Non-submission by the 45-day deadline; 4+ days with zero RN hours; failed or unanswered PBJ audit.</t>
  </si>
  <si>
    <t>Domain 3 QM</t>
  </si>
  <si>
    <t>Overall QM 299-2,300; 5 stars at 1,494+</t>
  </si>
  <si>
    <t>Long-stay 155-1,150; short-stay rescaled by 1,150/800 to 144-1,150.</t>
  </si>
  <si>
    <t>Domain 3 QM Long-Stay</t>
  </si>
  <si>
    <t>Need for help with daily activities has increased</t>
  </si>
  <si>
    <t>150 points, deciles</t>
  </si>
  <si>
    <t>MDS-based.</t>
  </si>
  <si>
    <t>Ability to walk independently worsened</t>
  </si>
  <si>
    <t>MDS, risk-adjusted. Respecified January 2025 from 'move independently'.</t>
  </si>
  <si>
    <t>Residents with pressure ulcers</t>
  </si>
  <si>
    <t>MDS, risk-adjusted. Respecified January 2025 from high-risk-only to all residents.</t>
  </si>
  <si>
    <t>Catheter inserted and left in bladder</t>
  </si>
  <si>
    <t>MDS, risk-adjusted.</t>
  </si>
  <si>
    <t>Urinary tract infection</t>
  </si>
  <si>
    <t>One or more falls with major injury</t>
  </si>
  <si>
    <t>Antipsychotic medication</t>
  </si>
  <si>
    <t>Respecified January 2026 to add claims and MA encounter data. Cut points reset April 2026.</t>
  </si>
  <si>
    <t>Hospitalizations per 1,000 resident days</t>
  </si>
  <si>
    <t>Claims-based, risk-adjusted. Section GG variables added July 2025.</t>
  </si>
  <si>
    <t>Outpatient ED visits per 1,000 resident days</t>
  </si>
  <si>
    <t>Claims-based, risk-adjusted.</t>
  </si>
  <si>
    <t>Domain 3 QM Short-Stay</t>
  </si>
  <si>
    <t>Discharge Function Score</t>
  </si>
  <si>
    <t>MDS, risk-adjusted. Entered the rating January 2025, replacing the retired functional improvement measure.</t>
  </si>
  <si>
    <t>New or worsened pressure ulcers or injuries</t>
  </si>
  <si>
    <t>MDS, risk-adjusted. All facilities scoring zero receive the full 100 points.</t>
  </si>
  <si>
    <t>First-time antipsychotic medication</t>
  </si>
  <si>
    <t>MDS-based. All facilities scoring zero receive the full 100 points.</t>
  </si>
  <si>
    <t>Re-hospitalized after a nursing home admission</t>
  </si>
  <si>
    <t>Outpatient ED visit</t>
  </si>
  <si>
    <t>Successful return to home and community</t>
  </si>
  <si>
    <t>Claims-based, risk-adjusted. Two-year data period.</t>
  </si>
  <si>
    <t>Schizophrenia coding audit exception</t>
  </si>
  <si>
    <t>Downgrade to 1 star for 6 months</t>
  </si>
  <si>
    <t>Short-stay QM suppressed 6 months; long-stay antipsychotic QM suppressed 12 months.</t>
  </si>
  <si>
    <t>EXCLUDED - not a Five-Star input</t>
  </si>
  <si>
    <t>Life Safety Code survey deficiencies</t>
  </si>
  <si>
    <t>Not scored</t>
  </si>
  <si>
    <t>CMS states Life Safety deficiencies are not included in the Five-Star calculation. Relocated to Plant.</t>
  </si>
  <si>
    <t>Civil money penalties and payment denials</t>
  </si>
  <si>
    <t>none</t>
  </si>
  <si>
    <t>Published in the CMS Penalties dataset but absent from all rating math. Available as report context, not as a KPI.</t>
  </si>
  <si>
    <t>Long-stay weight loss QM</t>
  </si>
  <si>
    <t>Not scored by CMS</t>
  </si>
  <si>
    <t>Reported on Care Compare but not in any Technical Users Guide. Scored in Dining instead.</t>
  </si>
  <si>
    <t>Long-stay antianxiety or hypnotic QM</t>
  </si>
  <si>
    <t>Reported on Care Compare but not a rating input.</t>
  </si>
  <si>
    <t>REMOVED from v8</t>
  </si>
  <si>
    <t>Short-stay self-report moderate to severe pain</t>
  </si>
  <si>
    <t>Retired by CMS October 2019</t>
  </si>
  <si>
    <t>Was carried in the v8 catalog as SNF-5.04. Must be removed.</t>
  </si>
  <si>
    <t>Staffing Base Calculator Boundary</t>
  </si>
  <si>
    <t>The SBC owns staffing efficiency at every level of care. No KPI duplicates an SBC output. One deliberate exception is noted at the bottom.</t>
  </si>
  <si>
    <t>SBC Output (excluded from the KPI set)</t>
  </si>
  <si>
    <t>Why the SBC owns it</t>
  </si>
  <si>
    <t>What the KPI set measures instead</t>
  </si>
  <si>
    <t>FTEs per occupied unit, by department</t>
  </si>
  <si>
    <t>SBC computes recommended FTE by level of care and reports variance to current</t>
  </si>
  <si>
    <t>No KPI</t>
  </si>
  <si>
    <t>CNA and nurse HPPD for AL and MC</t>
  </si>
  <si>
    <t>SBC derives AL/MC HPPD from the three-shift ratio model (AL 12/15/20, MC 8/8/12)</t>
  </si>
  <si>
    <t>Meals per labor hour (MPLH)</t>
  </si>
  <si>
    <t>SBC dining model, target MPLH IL 2.2 / AL 2.5 / MC 3.0 / SNF 3.5</t>
  </si>
  <si>
    <t>DIN-01 and DIN-02 measure cost, not productivity</t>
  </si>
  <si>
    <t>Housekeeping square feet per FTE</t>
  </si>
  <si>
    <t>SBC housekeeping model: IL 25,000 / AL 20,000 / MC 8,000 / SNF 8,000 sq ft per FTE</t>
  </si>
  <si>
    <t>Laundry pounds per labor hour</t>
  </si>
  <si>
    <t>SBC laundry model at 50 lbs/hr processing rate</t>
  </si>
  <si>
    <t>Security coverage hours</t>
  </si>
  <si>
    <t>SBC coverage schedule model, gated on CCRC registration or optional security</t>
  </si>
  <si>
    <t>Plant ops FTE per square foot</t>
  </si>
  <si>
    <t>SBC plant model: campus square footage / 50,000</t>
  </si>
  <si>
    <t>PLT-03 measures labor hours per resident unit, which is work volume rather than headcount</t>
  </si>
  <si>
    <t>Variance of current staffing to recommended</t>
  </si>
  <si>
    <t>SBC variance columns for rental and entrance fee scenarios</t>
  </si>
  <si>
    <t>SNF RN HPRD, total nurse HPRD, weekend HPRD</t>
  </si>
  <si>
    <t>EXCEPTION. These stay in the SNF block as SNF-S1, SNF-S2 and SNF-S3</t>
  </si>
  <si>
    <t>These are CMS Five-Star rating inputs computed from PBJ, not outputs of the SBC staffing model. They are scored because they move the star rating</t>
  </si>
  <si>
    <t>Care Level Filter - what an operator actually gets</t>
  </si>
  <si>
    <t>KPI counts by department for the care level combinations an operator can select on Community Profile (Screen 03).</t>
  </si>
  <si>
    <t>Care Levels Selected</t>
  </si>
  <si>
    <t>TOTAL</t>
  </si>
  <si>
    <t>IL only</t>
  </si>
  <si>
    <t>AL only</t>
  </si>
  <si>
    <t>MC only</t>
  </si>
  <si>
    <t>AL + MC</t>
  </si>
  <si>
    <t>IL + AL + MC</t>
  </si>
  <si>
    <t>AL + MC + SNF</t>
  </si>
  <si>
    <t>IL + AL + MC + SNF</t>
  </si>
  <si>
    <t>CCRC (all + entity)</t>
  </si>
  <si>
    <t>A standalone SNF scores 36 CMS measures plus the universal people, plant, life enrichment and dining measures, plus the SNF-only MDS block. It does NOT receive Days Cash on Hand, Debt Service Coverage or any other entity balance-sheet measure, and it does not receive the Aline sales funnel.</t>
  </si>
  <si>
    <t>An IL-only community scores no nursing measures at all and no care-delivering dining measures. The AL/MC clinical block is fully suppressed.</t>
  </si>
  <si>
    <t>General entity measures (Days in AR, Average Age of Plant) switch on whenever a trial balance or balance sheet is uploaded (Screen 07). The four CCRC-gated entity measures - Entity Operating Margin, Days Cash on Hand, Debt Service Coverage and Entrance Fee Refund Funding - stay suppressed unless a CCRC or Life Plan entity is designated, because both their construct and their CARF / RC 2025 benchmarks are CCRC specific.</t>
  </si>
  <si>
    <t>Universal (yellow) measures are in scope for every combination above. There are 32 of them.</t>
  </si>
  <si>
    <t>Retired, Merged and Relocated from v8</t>
  </si>
  <si>
    <t>37 v8 entries are removed, merged or moved. Codes below are v8 codes and do not correspond to v9 codes of the same name.</t>
  </si>
  <si>
    <t>v8 Code</t>
  </si>
  <si>
    <t>v8 KPI</t>
  </si>
  <si>
    <t>Disposition in v9</t>
  </si>
  <si>
    <t>Resident Engagement Index</t>
  </si>
  <si>
    <t>Folded into LE-01 weekly participation and OPS-05 resident satisfaction. A composite index is not a measured data point</t>
  </si>
  <si>
    <t>OPS-10</t>
  </si>
  <si>
    <t>Move-Out Reason Distribution</t>
  </si>
  <si>
    <t>No benchmark exists for the reason breakdown. Belongs in the report narrative as analysis, not in the KPI set</t>
  </si>
  <si>
    <t>Lead Volume by Source</t>
  </si>
  <si>
    <t>Split into SAL-01 (volume, Aline-benchmarked) and SAL-06 (channel mix, Aline-benchmarked)</t>
  </si>
  <si>
    <t>Aline does not benchmark this step. The funnel is fully covered by SAL-04 and SAL-05 || SUPERSEDED 22 Sep 2026: reinstated in the live catalog as SAL-10 Deposit-to-Move-In Conversion Rate, benchmarked to Rob Clark and Kushant Shah at 80-90% rather than to Aline, so the original rationale no longer applies. The Gap Matrix v9 workbook never retired this measure - it carries the same Aline observation as the reason to use an internal standard. Do not read this entry as excluding the measure.</t>
  </si>
  <si>
    <t>Inquiry-to-Move-In Conversion Rate</t>
  </si>
  <si>
    <t>Arithmetic product of SAL-04 and SAL-05. Redundant</t>
  </si>
  <si>
    <t>Active Pipeline Depth by Stage</t>
  </si>
  <si>
    <t>No published benchmark. Operator target only</t>
  </si>
  <si>
    <t>Referral Source Mix and Conversion</t>
  </si>
  <si>
    <t>Replaced by SAL-06 (mix) and SAL-07 (conversion by channel), both on Aline data</t>
  </si>
  <si>
    <t>Retained but rescoped to SNF only as NUR-09</t>
  </si>
  <si>
    <t>ARD Accuracy Rate</t>
  </si>
  <si>
    <t>Retained but rescoped to SNF only as NUR-10</t>
  </si>
  <si>
    <t>Retained but rescoped to SNF only as NUR-12</t>
  </si>
  <si>
    <t>30-Day Hospital Readmission Rate</t>
  </si>
  <si>
    <t>AL/MC replaced by NUR-03 unplanned transfer rate. SNF is covered by CMS QMs SNF-Q8, Q9, Q13, Q14</t>
  </si>
  <si>
    <t>UTI Rate per 1,000 Resident Days</t>
  </si>
  <si>
    <t>AL/MC dropped for concision. SNF is covered by CMS QM SNF-Q5</t>
  </si>
  <si>
    <t>PRN Psychotropic Medication Use Rate</t>
  </si>
  <si>
    <t>Narrowed to NUR-08 antipsychotic use for AL/MC. SNF is covered by SNF-Q7 and SNF-Q12</t>
  </si>
  <si>
    <t>SNF-1.01</t>
  </si>
  <si>
    <t>Medicare / Skilled Census</t>
  </si>
  <si>
    <t>Moved to FIN-06 Payer Mix by Care Level. Not a Five-Star measure</t>
  </si>
  <si>
    <t>SNF-1.02</t>
  </si>
  <si>
    <t>Moved to NUR-11. MDS-derived but not a Five-Star measure</t>
  </si>
  <si>
    <t>SNF-1.03</t>
  </si>
  <si>
    <t>Average Medicare Length of Stay</t>
  </si>
  <si>
    <t>Moved to OPS-04 Average Length of Stay by Care Level</t>
  </si>
  <si>
    <t>SNF-1.04</t>
  </si>
  <si>
    <t>Skilled Revenue per Patient Day</t>
  </si>
  <si>
    <t>Moved to FIN-03 Revenue per Occupied Unit by Care Level</t>
  </si>
  <si>
    <t>SNF-2.04</t>
  </si>
  <si>
    <t>Life Safety Code Survey</t>
  </si>
  <si>
    <t>MOVED to PLT-08. CMS states that Life Safety survey deficiencies are not included in the Five-Star rating calculation</t>
  </si>
  <si>
    <t>SNF-3.03</t>
  </si>
  <si>
    <t>Total Nursing Staff Turnover</t>
  </si>
  <si>
    <t>Retained as SNF-S4, with RN turnover added as SNF-S5 (SNF-S5 was missing from v8)</t>
  </si>
  <si>
    <t>SNF-4.02</t>
  </si>
  <si>
    <t>Ability to Walk Independently Worsened</t>
  </si>
  <si>
    <t>Retained as SNF-Q2. Confirm the current CMS name; the former 'move independently' wording was respecified in January 2025</t>
  </si>
  <si>
    <t>SNF-5.04</t>
  </si>
  <si>
    <t>Short-Stay Self-Report Moderate to Severe Pain</t>
  </si>
  <si>
    <t>REMOVED. CMS retired this measure from Care Compare and the Five-Star rating in October 2019. It should not be in the catalog</t>
  </si>
  <si>
    <t>Retained as FIN-08 but rescoped to entity level only. Explicitly not computed for a standalone SNF</t>
  </si>
  <si>
    <t>Accounts Receivable Aging, percent over 90 days</t>
  </si>
  <si>
    <t>Replaced by FIN-07 Days in Accounts Receivable, which CARF publishes as a benchmarked median</t>
  </si>
  <si>
    <t>Department Expense Variance vs Budget</t>
  </si>
  <si>
    <t>This is the Department Expenses analysis section of the tool, not a benchmarked KPI</t>
  </si>
  <si>
    <t>Not separately benchmarked. FIN-07 Days in AR is the benchmarked leading indicator</t>
  </si>
  <si>
    <t>Overlaps HR-04 Position Vacancy Rate, which is the outcome measure. Time to fill is the process measure behind it</t>
  </si>
  <si>
    <t>Workers Compensation Claim Frequency Rate</t>
  </si>
  <si>
    <t>Replaced by HR-10 cost as percent of wages, which is the form SOSH benchmarks</t>
  </si>
  <si>
    <t>Work Order Completion Rate</t>
  </si>
  <si>
    <t>Replaced by PLT-02 on-time completion rate, benchmarked by Siemens at 76%</t>
  </si>
  <si>
    <t>Average Age of Open Work Order Backlog</t>
  </si>
  <si>
    <t>Replaced by PLT-04 average days overdue, benchmarked by Siemens at 3.4 days</t>
  </si>
  <si>
    <t>Emergency and Unplanned Repair Frequency</t>
  </si>
  <si>
    <t>Already eliminated in v8.3. Not reinstated</t>
  </si>
  <si>
    <t>Vehicle Preventive Maintenance Compliance Rate</t>
  </si>
  <si>
    <t>Folded into PLT-07. No separate benchmark exists</t>
  </si>
  <si>
    <t>Therapeutic Diet Compliance Rate</t>
  </si>
  <si>
    <t>Merged with DIN-04 into DIN-05 Therapeutic and Modified Diet Accuracy Rate</t>
  </si>
  <si>
    <t>Special Diet Error Rate</t>
  </si>
  <si>
    <t>Merged into DIN-05</t>
  </si>
  <si>
    <t>Process compliance, not a performance measure. Assessment timeliness is covered by NUR-04 and NUR-09</t>
  </si>
  <si>
    <t>Hydration Monitoring Compliance Rate</t>
  </si>
  <si>
    <t>Process compliance, not a performance measure</t>
  </si>
  <si>
    <t>Dining Room Attendance Rate</t>
  </si>
  <si>
    <t>Renamed and rescoped as DIN-03 Meal Participation Rate</t>
  </si>
  <si>
    <t>DIN-10</t>
  </si>
  <si>
    <t>Cost per Meal Served</t>
  </si>
  <si>
    <t>Derived from DIN-01 and DIN-02, and brushes the SBC meals-per-labor-hour model</t>
  </si>
  <si>
    <t>Removed after v9 publication</t>
  </si>
  <si>
    <t>v9 KPI</t>
  </si>
  <si>
    <t>Disposition</t>
  </si>
  <si>
    <t>Memory Care Structured Engagement Hours per Resident per Day</t>
  </si>
  <si>
    <t>DELETED 22 Sep 2026. The 4-6 hour target could not be sourced: the row cited the Alzheimer's Association with no title, year or page, and no link existed in this workbook or in the Gap Matrix v9. The Gap Matrix recorded the same measure as 4-6 hours per WEEK on a Rob Clark internal standard and noted that the Alzheimer's Association publishes dementia care practice recommendations, not an hours-per-resident benchmark - a 7x ambiguity with no documented basis either way. The owner already holds a life enrichment staffing coverage expectation, now carried as LE-06 Life Enrichment Programming Coverage (minimum 8 hours per day, 7 days per week, Rob Clark). LE-04 to LE-07 were renumbered to LE-03 to LE-06. Consequence to note: no per-resident engagement INTENSITY measure now exists - LE-06 measures availability, LE-01 measures attendance. If an intensity measure is wanted later it needs a real citation first.</t>
  </si>
  <si>
    <t>Benchmark Source Map</t>
  </si>
  <si>
    <t>Which published source sets the target for which department and care level.</t>
  </si>
  <si>
    <t>Source</t>
  </si>
  <si>
    <t>Applies To</t>
  </si>
  <si>
    <t>Supplies</t>
  </si>
  <si>
    <t>Vintage / Note</t>
  </si>
  <si>
    <t>Match Key</t>
  </si>
  <si>
    <t>Alt Match Key</t>
  </si>
  <si>
    <t>KPIs Mapped</t>
  </si>
  <si>
    <t>KPI Codes</t>
  </si>
  <si>
    <t>Where the Data Is Found (Gap Matrix v9)</t>
  </si>
  <si>
    <t>State of Seniors Housing (SOSH) 2025</t>
  </si>
  <si>
    <t>IL, AL, MC, CCRC</t>
  </si>
  <si>
    <t>Occupancy, annual turnover, revenue and expense per occupied unit, labor percent of revenue, community operating margin, dietary cost per resident day, workers compensation percent of wages</t>
  </si>
  <si>
    <t>2025 edition. All dollar measures pass through the CPI toggle.</t>
  </si>
  <si>
    <t>SOSH</t>
  </si>
  <si>
    <t>State of Seniors</t>
  </si>
  <si>
    <t>Gap Matrix v9: 'Benchmark Sources' row 6 (name A6, link I6). Link: https://ashaliving.org/research-and-analytics/ - publisher landing page, NOT a deep link; report is purchasable (ASHA member or paid). Locations cited: Tables 2.7, 2.15, 2.18-2.19, 3.1-3.7, 3.20-3.21, 3.22-3.24, 3.27, 4.1. URL verified 22 Sep 2026. Matrix does not hold the PDF.</t>
  </si>
  <si>
    <t>CMS and regulatory requirements (Five-Star Technical Users' Guide, RAI Manual, 42 CFR, Life Safety Code, state regulation)</t>
  </si>
  <si>
    <t>All 36 SNF Five-Star measures and their cut-points, plus the regulatory requirements behind assessment timeliness, care plan timeliness, grievance response, life safety, food safety, therapeutic diets and unplanned weight loss</t>
  </si>
  <si>
    <t>September 2026 for the Five-Star Technical Users' Guide (decision recorded below). Regulatory citations carry no edition - 42 CFR, F-tags, RAI Manual and state regulation are requirements, not benchmark vintages.</t>
  </si>
  <si>
    <t>CMS</t>
  </si>
  <si>
    <t>State regulat</t>
  </si>
  <si>
    <t>Gap Matrix v9: 'Benchmark Sources' row 5 (name A5, link I5, which also holds 4 sub-URLs). Link: https://www.cms.gov/medicare/health-safety-standards/certification-compliance/five-star-quality-rating-system - URL pre-existing and not independently verified, though it matches the official CMS page. Locations cited: Table 3 (staffing cut-points), Table A2 (staffing point ranges), Table 5 (QM points). EDITION UNSETTLED - see note in row 22.</t>
  </si>
  <si>
    <t>CCRC and Life Plan, entity level</t>
  </si>
  <si>
    <t>Days Cash on Hand, Debt Service Coverage, Days in AR, Net Operating Margin, Operating Margin, Average Age of Plant, occupancy trend by care level</t>
  </si>
  <si>
    <t>CARF / Ziegler / Baker Tilly, 33rd edition. 2024 medians, single-site and multi-site, with Type A/B/C contract cuts available.</t>
  </si>
  <si>
    <t>CARF</t>
  </si>
  <si>
    <t>CARF 2025</t>
  </si>
  <si>
    <t>Gap Matrix v9: 'Benchmark Sources' row 8 (name A8, access note E8, link I8). Link: https://carf.org/wp-content/uploads/2025/10/2025FinancialRatiosTrendAnalysis.pdf - free, no login or payment gate, downloaded and verified 22 Sep 2026 (90pp). Locations: Ratio Summary p.10 (2024 medians, single-site n=71 / multi-site n=26); Section 3 Liquidity pp.41-44 with the Days Cash quartile table p.44; Appendices A and B for account-level inclusions.</t>
  </si>
  <si>
    <t>Rob Clark - 2025 CCRC Performance Benchmarks and advisor internal standards</t>
  </si>
  <si>
    <t>CCRC, and universal people measures at every care level</t>
  </si>
  <si>
    <t>Resident and family satisfaction, online review rating, staff turnover (overall and frontline), employee satisfaction, training hours, medication accuracy, care transition, days cash, DSC, entrance fee refund funding, resident technology use</t>
  </si>
  <si>
    <t>2025 for the CCRC Performance Benchmarks; advisor internal standards carry no publication date. Row covers both because neither is externally published - the LE-06 programming coverage floor was set by owner ruling on 22 Sep 2026.</t>
  </si>
  <si>
    <t>RC 2025</t>
  </si>
  <si>
    <t>Rob Clark</t>
  </si>
  <si>
    <t>Gap Matrix v9: 'Benchmark Sources' row 7 (name A7, I7 states no public link). No URL exists - advisor material, not published. Not documented at table or page level in either workbook, so these targets cannot be externally verified by a third party.</t>
  </si>
  <si>
    <t>Aline Sales and Marketing Benchmark Report</t>
  </si>
  <si>
    <t>IL, AL, MC, Life Plan Residential</t>
  </si>
  <si>
    <t>Inquiries, tours and move-ins per 100 units per month; inquiry-to-tour and tour-to-move-in conversion; inquiry channel mix; conversion by channel</t>
  </si>
  <si>
    <t>Q1 2024 edition as held. The 2026 Senior Living Sales and Marketing Benchmark Report is the current publication but is registration-gated and its figures could not be obtained, so the catalog cites Q1 2024 to match its own numbers.</t>
  </si>
  <si>
    <t>Aline</t>
  </si>
  <si>
    <t>Aline Benchmark</t>
  </si>
  <si>
    <t>Gap Matrix v9: 'Benchmark Sources' row 15 (name A15, link I15). Link: https://alineops.com/senior-living-sales-marketing-benchmark-report-2026/ - verified 22 Sep 2026. EDITION MISMATCH: the matrix holds the 2026 Senior Living Sales &amp; Marketing Benchmark Report, not the Q1 2024 edition recorded in column D of this row. Not recorded at table or exhibit level.</t>
  </si>
  <si>
    <t>All care levels, campus wide</t>
  </si>
  <si>
    <t>Work orders per resident unit, on-time completion, labor hours per resident unit, average days overdue, average days open, resident billings per resident unit</t>
  </si>
  <si>
    <t>Drawn from 1,000+ senior living organizations. Entire Plant block except Average Age of Plant and Energy Use Intensity.</t>
  </si>
  <si>
    <t>Brightly</t>
  </si>
  <si>
    <t>Siemens</t>
  </si>
  <si>
    <t>Gap Matrix v9: 'Benchmark Sources' row 9 (name A9, basis H9, link I9). Link: https://www.assetmanagement.siemens.com/use-cases/senior-living - verified 22 Sep 2026. 2026 edition, (c) Brightly Software Inc 2026, 1,000+ senior living organisations. Locations: KPI #2 on-time (76%), KPI #4 overdue severity (3.4 days avg; PM 5.6, ad hoc 2.4). NAMING: the matrix records this source as Siemens throughout (Brightly was acquired by Siemens).</t>
  </si>
  <si>
    <t>CLA 40th Annual SNF Report</t>
  </si>
  <si>
    <t>SNF, financial only</t>
  </si>
  <si>
    <t>SNF payer mix, revenue and expense per patient day</t>
  </si>
  <si>
    <t>Approximately 11,700 CMS cost reports. Used for SNF financial comparison, which sits in Finance, not in the SNF Five-Star block.</t>
  </si>
  <si>
    <t>CLA 40th</t>
  </si>
  <si>
    <t xml:space="preserve">CLA </t>
  </si>
  <si>
    <t>Gap Matrix v9: 'Benchmark Sources' row 13 (name A13, link I13). Link: https://www.claconnect.com/en/resources/white-papers/snf-cost-comparison-industry-trends-report - verified 22 Sep 2026. 40th edition, 2025 release on FY2024 data. Locations: skilled revenue per patient day by payer; payer mix derived from approximately 11,700 CMS SNF cost reports.</t>
  </si>
  <si>
    <t>EPA ENERGY STAR Portfolio Manager</t>
  </si>
  <si>
    <t>All care levels</t>
  </si>
  <si>
    <t>Energy Use Intensity for senior care communities</t>
  </si>
  <si>
    <t>Senior Care Communities DataTrends. Median site EUI approximately 214 kBtu per square foot.</t>
  </si>
  <si>
    <t>ENERGY STAR</t>
  </si>
  <si>
    <t>Portfolio Manager</t>
  </si>
  <si>
    <t>NOT HELD - DO NOT WRITE A LINK. The Gap Matrix v9 workbook has no row, no link and no KPI citing ENERGY STAR. Its utility benchmark comes from SOSH 2025 Tables 3.22-3.24 instead. PLT-10 in this catalog is therefore the only place ENERGY STAR is used across the two workbooks and must be sourced independently.</t>
  </si>
  <si>
    <t>Kushant Shah - internal standard</t>
  </si>
  <si>
    <t>IL, AL, MC, SNF</t>
  </si>
  <si>
    <t>A/R aged over 90 days, bad debt and write-off rate, food waste rate, deposit-to-move-in conversion (joint with Rob Clark)</t>
  </si>
  <si>
    <t>No published edition or date - advisor internal standard, no external benchmark exists. Added 22 Sep 2026 with the Gap Matrix v9 measures.</t>
  </si>
  <si>
    <t>Kushant Shah</t>
  </si>
  <si>
    <t>KS internal</t>
  </si>
  <si>
    <t>Gap Matrix v9: no dedicated 'Benchmark Sources' row - recorded there as 'Internal standard (Kushant Shah)' on the KPI rows themselves. No URL exists; advisor material, not published.</t>
  </si>
  <si>
    <t>Other named sources - RETIRED 22 Sep 2026, should read zero</t>
  </si>
  <si>
    <t>Varies</t>
  </si>
  <si>
    <t>Emptied by owner instruction: third-party named sources are no longer carried in the Benchmark Source column. Benchmarks that lost their attribution were re-recorded as Rob Clark internal standards; CMS and state regulatory citations were folded into the CMS and regulatory row above rather than re-attributed, because a regulatory requirement is not an advisor standard.</t>
  </si>
  <si>
    <t>If this count is ever above zero, a new unapproved source has entered the catalog - investigate rather than add a row.</t>
  </si>
  <si>
    <t>(no key - catch-all)</t>
  </si>
  <si>
    <t>Not applicable - no source. This row is a control check, not a source.</t>
  </si>
  <si>
    <t>How these counts are built</t>
  </si>
  <si>
    <t>Counts and codes are formulas over the Benchmark Source column on the KPI Catalog tab, matched on the Match Key and Alt Match Key in columns E and F. Edit a key and the count and code list update. Nothing is typed in.</t>
  </si>
  <si>
    <t>Other named sources' is the exclusive remainder - KPIs matching none of the nine keys - taken from the Primary Benchmark Source Group helper in column Q of the KPI Catalog. Matching elsewhere is non-exclusive, so a KPI citing two sources is counted under both.</t>
  </si>
  <si>
    <t>Sum of rows 5-13 (with overlap):</t>
  </si>
  <si>
    <t>Distinct KPIs in the catalog:</t>
  </si>
  <si>
    <t>Dual-source KPIs (the difference):</t>
  </si>
  <si>
    <t>Source discrepancies raised by the Gap Matrix v9 workbook (22 Sep 2026)</t>
  </si>
  <si>
    <t>CMS Five-Star Technical Users' Guide edition - DECIDED 22 Sep 2026: this catalog keeps September 2026. The Gap Matrix holds April 2026 on some SNF rows and July 2026 on others and is internally inconsistent by its own account; ours is the later edition and stands. The 36 SNF measures and their QM cut-points remain on the September 2026 basis. If the Gap Matrix re-bases to September 2026 the two will align; until then expect its SNF cut-points to differ from ours.</t>
  </si>
  <si>
    <t>Aline edition - CLOSED 22 Sep 2026: the catalog stays on the Q1 2024 edition, which is the vintage the SAL-01 to SAL-07 target figures actually come from. The 2026 report is the newer publication but is registration-gated and neither workbook can obtain its figures, so citing 2026 would put a label on numbers that did not come from it. Citing the edition we hold is the defensible position. Yellow flags on the target cells have been cleared - the source and the figures now agree. Revisit only if someone with Aline report access supplies the 2026 values.</t>
  </si>
  <si>
    <t>Siemens / Brightly naming: the Gap Matrix records this source as Siemens throughout, since Siemens acquired Brightly, and asks that the catalog do the same. The seven Plant rows here cite Brightly. The match keys in columns E and F accept both spellings, so counts are unaffected either way - renaming the citations is a one-line change on request.</t>
  </si>
  <si>
    <t>EPA ENERGY STAR Portfolio Manager: not held by the Gap Matrix at all. PLT-10 is the only measure across both workbooks using it, and the matrix benchmarks utilities from SOSH 2025 instead. PLT-10's 214 kBtu target needs an independent source or should move to SOSH.</t>
  </si>
  <si>
    <t>Alzheimer's Association attribution - CLOSED 22 Sep 2026 by deletion. The former LE-03 memory care structured engagement hours cited the Alzheimer's Association for 4-6 hours per resident per day with no title, year or page, and no link existed in either workbook. The Gap Matrix recorded the same measure as 4-6 hours per WEEK on a Rob Clark internal standard and noted that the Alzheimer's Association publishes dementia care practice recommendations, not an hours-per-resident benchmark. Rather than carry an unsourceable 7x ambiguity, the owner deleted the measure on 22 Sep 2026 and the LE codes were renumbered. The Alzheimer's Association is no longer cited anywhere in this catalog. The remaining life enrichment coverage expectation is LE-06, attributed to Rob Clark.</t>
  </si>
  <si>
    <t>Sources held by the Gap Matrix v9 workbook but not cited in this catalog</t>
  </si>
  <si>
    <t>Third-party named sources removed from the catalog - 22 Sep 2026, owner instruction</t>
  </si>
  <si>
    <t>The Benchmark Source column no longer names any third-party organisation outside the approved list. Eleven rows kept a valid source and simply had the extra names trimmed: OPS-05, OPS-06, SAL-09, FIN-06, HR-01, HR-02, HR-05, HR-08, PLT-07, DIN-04, DIN-05. Eleven rows were left with no source and are now Rob Clark internal standards: OPS-02, OPS-07, NUR-02, HR-03, HR-04, HR-06, HR-07, LE-01, LE-02, LE-05, DIN-03. Removed names included NIC MAP, LeadingAge, Argentum, ICAA, Activated Insights, ANFP, Holleran, J.D. Power, Caring.com, Senior Housing News, Pinnacle Quality Insight, HCS Annual Report 2024 and unattributed 'industry practice'. Every original attribution is preserved verbatim in that row's Boundary and Notes column - nothing was silently discarded.</t>
  </si>
  <si>
    <t>EXCEPTION applied deliberately: CMS and state regulatory citations were NOT re-attributed to Rob Clark. 42 CFR, F-tags, the RAI Manual, the Life Safety Code, MDS Section K and state regulation are legal requirements, not advisor benchmarks, and re-labelling them would have destroyed survey-relevant traceability on 13 measures (OPS-08, NUR-04, NUR-06 to NUR-12, PLT-08, DIN-05, DIN-06, DIN-07). They were folded into the CMS and regulatory row instead, which is why its count rose from 36 to 50. Raise this if the intent was to strip them too.</t>
  </si>
  <si>
    <t>Creating Results - https://creatingresults.com/marketing-research-strategy/ (verified 22 Sep 2026)</t>
  </si>
  <si>
    <t>State health department / fire marshal inspections - no single national link, varies by state</t>
  </si>
  <si>
    <t>Rob Clark CDS Best Practice Metrics 2025 (inflation-adjusted) - advisor material, no public link. This is the source of the 0-4% productive-hours overtime band.</t>
  </si>
  <si>
    <t>Rob Clark internal standard, and Kushant Shah internal standard - no external publication, no link.</t>
  </si>
  <si>
    <t>Rob Clark - Kushant Shah KPIs - Gap Matrix v9 vs. this KPI Catalog</t>
  </si>
  <si>
    <t>Source: Advantedge_KPI_Benchmark_Onboarding_Gap_Matrix_v9.xlsx, sheet 'KPI Matrix Updated'. 26 KPIs attributed to Rob Clark and/or Kushant Shah. Compared against the 108 measures on the KPI Catalog tab. Gap Matrix internal codes intentionally excluded.</t>
  </si>
  <si>
    <t>Added to catalog:</t>
  </si>
  <si>
    <t>Already covered:</t>
  </si>
  <si>
    <t>Partial overlap:</t>
  </si>
  <si>
    <t>Total RC / KS KPIs:</t>
  </si>
  <si>
    <t>Eliminated by owner:</t>
  </si>
  <si>
    <t>Removed from catalog:</t>
  </si>
  <si>
    <t>Owner</t>
  </si>
  <si>
    <t>Department (Gap Matrix)</t>
  </si>
  <si>
    <t>KPI (Gap Matrix v9)</t>
  </si>
  <si>
    <t>Benchmark Basis</t>
  </si>
  <si>
    <t>Scope</t>
  </si>
  <si>
    <t>Closest Match in KPI Catalog v9</t>
  </si>
  <si>
    <t>Status</t>
  </si>
  <si>
    <t>Assessment / Recommendation</t>
  </si>
  <si>
    <t>ADDED TO THE KPI CATALOG - 22 Sep 2026, attributed to Rob Clark / Kushant Shah</t>
  </si>
  <si>
    <t>Rob Clark; Kushant Shah</t>
  </si>
  <si>
    <t>Sales &amp; Marketing</t>
  </si>
  <si>
    <t>(moveInsFromDeposits / deposits) * 100</t>
  </si>
  <si>
    <t>higher is better</t>
  </si>
  <si>
    <t>higher - target 85; band 80-90; Deposit-to-move-in 80-90%.</t>
  </si>
  <si>
    <t>Internal - no external benchmark</t>
  </si>
  <si>
    <t>All levels of living</t>
  </si>
  <si>
    <t>SAL-10 (new)</t>
  </si>
  <si>
    <t>Added to catalog</t>
  </si>
  <si>
    <t>ADDED 22 Sep 2026 as SAL-10, using the Gap Matrix measure and target and attributed to the advisor rather than a new external source. ADD. Catalog funnel runs inquiry &gt; tour &gt; move-in; the deposit stage is a separate step and is where fallout is usually hiding.</t>
  </si>
  <si>
    <t>Sales / Marketing</t>
  </si>
  <si>
    <t>totalSalesMarketingSpend / moveIns</t>
  </si>
  <si>
    <t>lower is better</t>
  </si>
  <si>
    <t>lower - target = (CDS marketing 2-3% of operating expenses) / expected annual move-ins. Community-specific - compute the ceiling per community.</t>
  </si>
  <si>
    <t>Industry - CDS (derived) / internal</t>
  </si>
  <si>
    <t>SAL-11 (new)</t>
  </si>
  <si>
    <t>ADDED 22 Sep 2026 as SAL-11, using the Gap Matrix measure and target and attributed to the advisor rather than a new external source. ADD. No acquisition-cost measure exists. SAL-07 splits channel quality but never divides spend by move-ins.</t>
  </si>
  <si>
    <t>Finance / Accounting</t>
  </si>
  <si>
    <t>Accounts Receivable Aging (% &gt; 90 days)</t>
  </si>
  <si>
    <t>(arOver90 / totalAR) * 100 {unit: percent}</t>
  </si>
  <si>
    <t>lower - target 15; no more than 15% of total A/R aged over 90 days. Internal standard (Kushant Shah).</t>
  </si>
  <si>
    <t>FIN-11 (new)</t>
  </si>
  <si>
    <t>ADDED 22 Sep 2026 as FIN-11, using the Gap Matrix measure and target and attributed to the advisor rather than a new external source. ADD as a complement to FIN-07, not a reversal of it. Days in AR reads billing timing; the over-90 tail reads collectability. A community can hold acceptable average days while a concentrated aged balance turns into bad debt. Adding the accepted Bad Debt and Write-Off Rate without this leading indicator is a half-fix.</t>
  </si>
  <si>
    <t>The over-90 tail reveals collectability, where days in AR reveals timing. A community can hold acceptable average days while a concentrated aged balance quietly becomes bad debt.</t>
  </si>
  <si>
    <t>(writeOffs / totalRevenue) * 100</t>
  </si>
  <si>
    <t>lower - target 1.5; write-offs below 1.5% of total operating revenue. Internal standard (Rob Clark, Kushant Shah).</t>
  </si>
  <si>
    <t>FIN-12 (new)</t>
  </si>
  <si>
    <t>ADDED 22 Sep 2026 as FIN-12, using the Gap Matrix measure and target and attributed to the advisor rather than a new external source. ADD. FIN-07 measures collection timing only; nothing measures collection quality or write-offs.</t>
  </si>
  <si>
    <t>sumDaysToFill / positionsFilled</t>
  </si>
  <si>
    <t>lower - target 45; band 30-45; time to fill clinical roles 30-45 days, flag above 60. Internal standard (Rob Clark).</t>
  </si>
  <si>
    <t>HR-11 (new)</t>
  </si>
  <si>
    <t>ADDED 22 Sep 2026 as HR-11, using the Gap Matrix measure and target and attributed to the advisor rather than a new external source. ADD. HR-04 counts how many approved positions are open, not how long they take to fill.</t>
  </si>
  <si>
    <t>Reveals recruiting capacity and market wage position. Long fill times are the upstream cause of the agency, overtime and vacancy numbers reported elsewhere - fix here and three other KPIs move.</t>
  </si>
  <si>
    <t>(nutAssessmentsCompleted / nutAssessmentsDue) * 100</t>
  </si>
  <si>
    <t>higher - target 100; Nutritional assessment 100% on-time.</t>
  </si>
  <si>
    <t>CMS regulatory; Rob Clark - internal standard</t>
  </si>
  <si>
    <t>DIN-08 (new)</t>
  </si>
  <si>
    <t>ADDED 22 Sep 2026 as DIN-08, using the Gap Matrix measure and target and attributed to the advisor rather than a new external source. ADD. Dietitian nutritional assessment timeliness is not covered; DIN-06 catches the weight-loss outcome only, after the fact. Scope the CMS F-tag benchmark to SNF/NF while applying the practice at all care levels.</t>
  </si>
  <si>
    <t>Reveals whether nutrition risk is being caught prospectively or discovered after weight loss. Late assessments mean the community is managing outcomes instead of preventing them.</t>
  </si>
  <si>
    <t>(foodWasteCost / foodPurchases) * 100</t>
  </si>
  <si>
    <t>lower - target 6; food waste as % of food purchases. Internal standard (Kushant Shah); no published benchmark available.</t>
  </si>
  <si>
    <t>Internal standard - Kushant Shah</t>
  </si>
  <si>
    <t>DIN-09 (new)</t>
  </si>
  <si>
    <t>ADDED 22 Sep 2026 as DIN-09, using the Gap Matrix measure and target and attributed to the advisor rather than a new external source. ADD. DIN-01 and DIN-02 measure cost only; waste is the controllable driver behind both.</t>
  </si>
  <si>
    <t>ALREADY COVERED BY THE KPI CATALOG - no action required</t>
  </si>
  <si>
    <t>DIRECT - single reported/keyed figure (no calculation). {source: MANUAL ENTRY; red-flag resident pair}</t>
  </si>
  <si>
    <t>higher - target 90; resident satisfaction 90%. Internal standard (Rob Clark).</t>
  </si>
  <si>
    <t>OPS-05 Resident Satisfaction Score</t>
  </si>
  <si>
    <t>Already covered</t>
  </si>
  <si>
    <t>Catalog target &gt;= 90% already reflects the Rob Clark internal standard.</t>
  </si>
  <si>
    <t>An internal 90% standard with no external comparator, so it only reveals trend against the community's own history. Its real value is as a leading indicator: it moves two to three quarters ahead of turnover and referral volume.</t>
  </si>
  <si>
    <t>DIRECT - single reported/keyed figure (no calculation). {source: MANUAL ENTRY}</t>
  </si>
  <si>
    <t>higher - target 90; family satisfaction 90%. Internal standard (Rob Clark).</t>
  </si>
  <si>
    <t>OPS-06 Family Satisfaction Score</t>
  </si>
  <si>
    <t>Catalog target &gt;= 88% (RC 2025).</t>
  </si>
  <si>
    <t>Families make both the move-in and the move-out decision. A family score materially below the resident score reveals a communication gap, not a care gap.</t>
  </si>
  <si>
    <t>higher - target 4.3; CCRC 2025 Google review rating 4.3.</t>
  </si>
  <si>
    <t>Rob Clark - CCRC 2025</t>
  </si>
  <si>
    <t>SAL-09 Online Reputation Score</t>
  </si>
  <si>
    <t>Catalog target &gt;= 4.3 stars (RC 2025).</t>
  </si>
  <si>
    <t>Reveals reputation equity, which is what determines whether demand is owned or rented. Response rate says more about the operator than the star rating does.</t>
  </si>
  <si>
    <t>Voluntary and Involuntary Turnover Rate</t>
  </si>
  <si>
    <t>(separations / avgHeadcount) * 100</t>
  </si>
  <si>
    <t>lower - target 35; CCRC 2025 &lt;35% frontline, &lt;20% overall.</t>
  </si>
  <si>
    <t>HR-01 Total Staff Turnover Rate</t>
  </si>
  <si>
    <t>HR-01 definition already spans voluntary and involuntary separations.</t>
  </si>
  <si>
    <t>The root cause behind most clinical and satisfaction misses. The voluntary and involuntary split matters: high involuntary turnover reveals hiring quality, high voluntary reveals management.</t>
  </si>
  <si>
    <t>(newHiresRetained90 / newHires) * 100</t>
  </si>
  <si>
    <t>higher - target 80; 90-day new hire retention above 80%. Internal standard (Rob Clark).</t>
  </si>
  <si>
    <t>HR-03 90-Day New Hire Retention Rate</t>
  </si>
  <si>
    <t>Identical measure.</t>
  </si>
  <si>
    <t>Isolates onboarding and hiring quality from everything that happens later. Below 80% the community is recruiting people it was never going to keep.</t>
  </si>
  <si>
    <t>Agency and Contract Labor Utilization Rate (as % of labor expense)</t>
  </si>
  <si>
    <t>(agencyHours / totalHours) * 100</t>
  </si>
  <si>
    <t>lower - target 120000; CDS nurse agency spend ceiling $120K/yr (2026-adj); % utilization threshold remains internal.</t>
  </si>
  <si>
    <t>Industry - CDS (Rob Clark), 2026-adjusted</t>
  </si>
  <si>
    <t>HR-05 Agency and Contract Labor as Percent of Labor</t>
  </si>
  <si>
    <t>Catalog measures both cost share and hours share.</t>
  </si>
  <si>
    <t>The most expensive symptom of a recruitment failure and the clearest evidence that the staffing model has stopped working. Above 5% of labor cost, margin erosion is already locked in.</t>
  </si>
  <si>
    <t>(unscheduledAbsenceHours / scheduledHours) * 100</t>
  </si>
  <si>
    <t>lower - target 10; CDS non-productive time 8-10% of productive (proxy - absenteeism is a subset).</t>
  </si>
  <si>
    <t>HR-07 Absenteeism and Call-Off Rate</t>
  </si>
  <si>
    <t>A culture measure more than a reliability one. Call-off rates above the band usually reveal scheduling practice and supervisor relationships.</t>
  </si>
  <si>
    <t>Employee Engagement Score</t>
  </si>
  <si>
    <t>DIRECT - single reported/keyed figure (no calculation). {source: MANUAL ENTRY; red-flag employee pair}</t>
  </si>
  <si>
    <t>higher - target 85; CCRC 2025 employee satisfaction 85%.</t>
  </si>
  <si>
    <t>HR-08 Employee Engagement and Satisfaction Score</t>
  </si>
  <si>
    <t>Catalog covers engagement and satisfaction together.</t>
  </si>
  <si>
    <t>Leads turnover by roughly two quarters, which makes it the earliest actionable warning in the workforce set. A low score with acceptable turnover means the turnover is still coming.</t>
  </si>
  <si>
    <t>Plant / Maintenance</t>
  </si>
  <si>
    <t>(pmCompletedOnTime / pmScheduled) * 100</t>
  </si>
  <si>
    <t>higher - target 90; PM completed on time above 90%. Internal standard (Rob Clark).</t>
  </si>
  <si>
    <t>PLT-07 Preventive Maintenance Completion Rate</t>
  </si>
  <si>
    <t>Reveals whether the plant department is running the building or reacting to it. Falling PM completion reliably produces higher ad hoc volume and higher capital spend later.</t>
  </si>
  <si>
    <t>Overall Activity Participation Rate</t>
  </si>
  <si>
    <t>(participatingResidents / totalResidents) * 100 {source: MANUAL ENTRY}</t>
  </si>
  <si>
    <t>higher - target 80; weekly activity participation above 80%. Internal standard (Rob Clark); absorbs retired OPS-05.</t>
  </si>
  <si>
    <t>LE-01 Weekly Resident Participation Rate</t>
  </si>
  <si>
    <t>Catalog target &gt; 80% weekly.</t>
  </si>
  <si>
    <t>The quietest early signal of cultural decline in the building. It falls before satisfaction scores do and well before turnover reflects it.</t>
  </si>
  <si>
    <t>Resident Satisfaction - Programming</t>
  </si>
  <si>
    <t>higher - target 85; programming satisfaction above 85%. Internal standard (Rob Clark).</t>
  </si>
  <si>
    <t>LE-03 Programming Satisfaction Score (renumbered from LE-04 on 22 Sep 2026)</t>
  </si>
  <si>
    <t>Separates programming fit from programming volume. High offering counts with low programming satisfaction reveal a calendar built for the department rather than the residents.</t>
  </si>
  <si>
    <t>higher - target 85; meal satisfaction above 85%, top quartile above 90%. Internal standard (Rob Clark).</t>
  </si>
  <si>
    <t>DIN-04 Resident Meal Satisfaction Score</t>
  </si>
  <si>
    <t>Dining is the most frequently experienced service in the building and the most cited source of dissatisfaction, so this measure carries more weight with families than its subject matter suggests.</t>
  </si>
  <si>
    <t>(therapeuticDietsCorrect / therapeuticDietsTotal) * 100</t>
  </si>
  <si>
    <t>higher - target 98; Therapeutic diet &gt;98%.</t>
  </si>
  <si>
    <t>DIN-05 Therapeutic and Modified Diet Accuracy Rate</t>
  </si>
  <si>
    <t>Practice scope and benchmark scope differ. DIN-05 correctly applies the practice to AL/MC/SNF, but the cited authority is CMS F-812 / F-692, which is SNF/NF scoped - do not carry the F-tag benchmark to IL/AL/MC. Record benchmark scope separately from practice scope.</t>
  </si>
  <si>
    <t>Reveals the handoff between clinical orders and the kitchen. Failures here are clinical events, not service complaints, and the CMS F-tag exposure makes them survey-relevant in SNF.</t>
  </si>
  <si>
    <t>PARTIAL OVERLAP - same ground, different definition or scope; reconcile rather than add</t>
  </si>
  <si>
    <t>Overtime Rate (as % of productive labor)</t>
  </si>
  <si>
    <t>(overtimeHours / totalHours) * 100</t>
  </si>
  <si>
    <t>lower - target 4; CDS overtime 0-4% of productive time.</t>
  </si>
  <si>
    <t>HR-06 Overtime Rate (denominator conflict)</t>
  </si>
  <si>
    <t>Partial overlap</t>
  </si>
  <si>
    <t>CATALOG SHOULD CHANGE. Gap Matrix basis is correct: the CDS Best Practice band is 0-4% of PRODUCTIVE time, so PTO, holiday and sick hours must be excluded. HR-06's total-paid-hours denominator understates the rate and can show false compliance. Restate HR-06 to productive hours, or carry both with the benchmark attached only to the productive version.</t>
  </si>
  <si>
    <t>The cheaper symptom of the same failure. Measured on productive hours it reveals true reliance on existing staff to cover an unfilled plan; on total paid hours it flatters the community.</t>
  </si>
  <si>
    <t>Planned vs. Reactive Maintenance Ratio</t>
  </si>
  <si>
    <t>(plannedWorkOrders / totalWorkOrders) * 100</t>
  </si>
  <si>
    <t>higher - target 65; 65% of work orders planned. Internal standard (Kushant Shah).</t>
  </si>
  <si>
    <t>PLT-01 Work Orders per Resident Unit / PLT-07</t>
  </si>
  <si>
    <t>PLT-01 already reports ad hoc vs preventive volume (13 vs 5) and PLT-07 notes PM ~28% of volume. Derivable - add as a computed field, not a new measure.</t>
  </si>
  <si>
    <t>The clearest single read on plant discipline. A ratio tilting reactive reveals a department that has lost control of its own schedule, and it precedes equipment failure and capital surprises.</t>
  </si>
  <si>
    <t>(specialDietErrors / specialDietMealsServed) * 100</t>
  </si>
  <si>
    <t>lower - target 2; special diet error rate below 2%; zero allergen errors. Internal standard (Rob Clark).</t>
  </si>
  <si>
    <t>Inverse of DIN-05 accuracy. No new measure needed - report as 1 minus accuracy.</t>
  </si>
  <si>
    <t>The inverse view of diet accuracy, and the more useful one operationally: it counts events rather than averaging them away. Allergen errors are never an acceptable rate.</t>
  </si>
  <si>
    <t>(diningRoomAttendees / totalResidents) * 100 {source: MANUAL ENTRY}</t>
  </si>
  <si>
    <t>higher - target 80; by care level IL:90, AL:80, MC:67; dining attendance IL&gt;90 / AL 75-85 / MC 60-75. Internal standard (Rob Clark).</t>
  </si>
  <si>
    <t>DIN-03 Meal Participation Rate</t>
  </si>
  <si>
    <t>DIN-03 counts meals served including room trays; dining-room attendance is narrower. Best as a sub-field of DIN-03.</t>
  </si>
  <si>
    <t>A proxy for social engagement as much as for food quality. Residents eating in their rooms reveal isolation, mobility decline or dining room experience problems that satisfaction surveys often miss.</t>
  </si>
  <si>
    <t>ELIMINATED BY THE BENCHMARK OWNER (Gap Matrix v8.3) - do not add, do not re-propose</t>
  </si>
  <si>
    <t>Unit Turnover Time</t>
  </si>
  <si>
    <t>ELIMINATED v8.3 - removed per Rob (per-event cost multiplier, not a frequency target).</t>
  </si>
  <si>
    <t>None - eliminated in Gap Matrix v8.3 (10 Jun 2026)</t>
  </si>
  <si>
    <t>Eliminated by owner</t>
  </si>
  <si>
    <t>DO NOT ADD. Confirmed a genuine elimination, not a corrupted record. The KPI computed days from move-out to rent-ready, but the only available benchmark expressed a per-event cost multiplier - the two measured different quantities. v8.2 yellow-flagged this as one of eight scope mismatches; v8.3 resolved seven and eliminated this one rather than re-specify it, taking the matrix from 98 to 97 measures. The 15-day IL/AL/MC figure that circulated is dead - it predates the elimination and was never reconciled to a source. The underlying operational gap is real (unit turn time constrains OPS-01 occupancy and SAL-03 move-ins) but it needs a benchmark that measures duration, not cost per event, before it can enter the catalog.</t>
  </si>
  <si>
    <t>Converts maintenance performance into revenue terms. Every extra day between move-out and rent-ready is lost revenue on an otherwise sold unit, and it reveals coordination between plant, housekeeping and sales.</t>
  </si>
  <si>
    <t>REMOVED FROM THE CATALOG - benchmark could not be sourced; do not reinstate without a citation</t>
  </si>
  <si>
    <t>Memory Care Resident Engagement Hours per Resident per Week</t>
  </si>
  <si>
    <t>structuredEngagementHours / mcResidents</t>
  </si>
  <si>
    <t>higher - target 4; band 4-6; MC structured engagement 4-6 hrs/day.</t>
  </si>
  <si>
    <t>None - the catalog measure was deleted; LE-06 coverage floor is a different denominator</t>
  </si>
  <si>
    <t>Removed from catalog</t>
  </si>
  <si>
    <t>REMOVED 22 Sep 2026 by owner decision. Rather than carry an unsourceable 7x ambiguity, the catalog measure was deleted outright: the 4-6 hour figure cited the Alzheimer's Association with no title, year or page, no link existed in either workbook, and the Gap Matrix recorded the same measure as per WEEK on a Rob Clark internal standard while noting the Alzheimer's Association publishes practice recommendations, not an hours-per-resident benchmark. The owner already holds a life enrichment staffing coverage expectation, now LE-06 Life Enrichment Programming Coverage (minimum 8 hours per day, 7 days per week, Rob Clark). LE-04 to LE-07 renumbered to LE-03 to LE-06; logged on the 'Retired from v8' tab. Consequence: no per-resident engagement INTENSITY measure exists in the catalog - LE-06 measures availability, LE-01 measures attendance. An intensity measure needs a real citation before it can return.</t>
  </si>
  <si>
    <t>Structured engagement is the non-pharmacological alternative to antipsychotic use, so this reveals the MC programming model's real capacity. Interpretation is currently blocked by the unresolved per-day versus per-week conflict.</t>
  </si>
  <si>
    <t>Catalog additions made 22 Sep 2026</t>
  </si>
  <si>
    <t>Catalog Code</t>
  </si>
  <si>
    <t>Benchmark Source as Recorded in the Catalog</t>
  </si>
  <si>
    <t>Note from the Gap Matrix v9 export: Days Cash on Hand was previously attributed to Rob Clark's 2025 CCRC Performance Benchmarks but has been re-sourced to CARF 2025, so it is not in this list. It is already in the catalog as FIN-08. Only the canonical 'KPI Matrix Updated' sheet was exported; the superseded 'KPI Matrix Old Version' and 'v5 Source Backfill' tabs also carry Rob Clark attributions and were excluded as archive.</t>
  </si>
  <si>
    <t>Reconciliation notes (agreed with the Gap Matrix v9 workbook, 22 Sep 2026)</t>
  </si>
  <si>
    <t>1. Overtime Rate: the Gap Matrix basis wins. Benchmark is 0-4% of productive time (CDS Best Practice), so HR-06 needs restating to a productive-hours denominator. Its operand was renamed there from 'totalHours' to 'productiveHours' with an explicit PTO / holiday / sick exclusion list.</t>
  </si>
  <si>
    <t>2. Memory care engagement hours - CLOSED ON THIS SIDE ONLY, 22 Sep 2026, by deleting the measure. Neither reading was sourceable: the catalog cited the Alzheimer's Association with no title, year or page, and the Gap Matrix recorded a Rob Clark internal standard per week while noting the Alzheimer's Association publishes practice recommendations, not an hours-per-resident benchmark. NOT CLOSED IN THE GAP MATRIX: that row carries its own internal contradiction - name and benchmark text say per week, structured target says per day, compute formula carries no period - which predates this catalog's involvement and survives the deletion. It cannot compute and must not be cited until Rob Clark rules. If he confirms a figure the intensity measure can return here properly attributed as an advisor standard.</t>
  </si>
  <si>
    <t>3. Therapeutic diet and nutritional assessment: not a conflict. 'SNF only' in the Gap Matrix is BENCHMARK scope (CMS F-812 / F-692 is SNF/NF scoped); the practice itself is cross-level. Catalog DIN-05 applying to AL/MC/SNF is correct for the practice - the F-tag benchmark must not travel with it.</t>
  </si>
  <si>
    <t>4. LE-02: not a mismatch. Code numbering is not aligned between the two workbooks. Gap Matrix LE-02 is the memory care engagement measure; in this catalog LE-02 is Programs Offered per Resident per Week (universal) and the memory care measure is LE-03, already scoped memory care only.</t>
  </si>
  <si>
    <t>Kushant Shah attribution check: six KPIs on this tab carry his name (four solo, two joint with Rob Clark). Five are now in the catalog - SAL-10, FIN-11, FIN-12 and DIN-09 as additions, plus AR aging promoted from 'already covered' on 22 Sep 2026. Planned vs. Reactive Maintenance Ratio remains deliberately excluded as derivable from PLT-01 and PLT-07.</t>
  </si>
  <si>
    <t>How the additions were sourced: each new catalog row uses the Gap Matrix v9 measure definition and target verbatim and attributes the benchmark to Rob Clark or Kushant Shah, so no new external source was introduced. A 'Kushant Shah - internal standard' row was added to the Benchmark Source Map (row 13) because his standards previously fell into the catch-all. Intake column N is flagged yellow on all seven new rows - no intake screen has been assigned yet.</t>
  </si>
  <si>
    <t>Unit Turnover Time - closed 22 Sep 2026. Confirmed by the Gap Matrix v9 workbook as eliminated in v8.3, not a data defect: 'ELIMINATED' appears on exactly one row of its 111 (PLT-08) and nowhere else, corroborated by the v8 Change Log. The parenthetical 'per-event cost multiplier, not a frequency target' describes the rejected BENCHMARK, not the KPI - context that was missing from the export. The row was marked rather than deleted, so its name, source and intake fields still read as active while the elimination marker sits in later columns, which is why the export looked contradictory. The owner has since marked the name and benchmark cells and added the background in cell notes.</t>
  </si>
  <si>
    <t>Count reconciliation: this catalog holds 115 measures and the Gap Matrix v9 holds 111 rows, 110 active after the eliminated measure. The two totals are not meant to agree - the code sequences are not aligned (see note 4 above), the catalog carries 36 SNF Five-Star measures the matrix does not break out individually, and the matrix carries sources and measures outside this catalog's scope. Do not reconcile the two counts against each other.</t>
  </si>
  <si>
    <t>LE-06 Life Enrichment Programming Coverage - added 22 Sep 2026 from an owner ruling rather than from the Gap Matrix. Minimum 8 hours per day, 7 days per week, universal across care levels, attributed to Rob Clark because no published source carries a coverage floor. Originally written as LE-07; renumbered to LE-06 when the unsourceable memory care engagement measure was deleted. Catalog is now 115 measures. The Benchmark Source Map's Rob Clark row covers both the 2025 CCRC Performance Benchmarks and advisor internal standards, with the match key widened to 'Rob Clark' so future advisor standards map automatically.</t>
  </si>
  <si>
    <t>SAL-10 reinstatement - CLEARED 22 Sep 2026. The 'Retired from v8' tab retired v8 SAL-04 Deposit-to-Move-In Conversion Rate on the grounds that 'Aline does not benchmark this step'. The Gap Matrix confirms it never retired the measure: it is a live row there on a Rob Clark and Kushant Shah internal standard at 80-90%, and the same Aline observation is recorded there as the reason to use an internal standard rather than a reason to drop the measure. Our SAL-10 reinstatement therefore agrees with their record; the v8 retirement entry has been annotated rather than left to read as a contradiction.</t>
  </si>
  <si>
    <t>LE code renumbering - 22 Sep 2026. Life Enrichment codes shifted when the unsourceable memory care measure was deleted: former LE-04 to LE-07 became LE-03 to LE-06. Any LE code cited by number in a record written before that date is ambiguous, including the Gap Matrix v9 export and this tab's own earlier entries - one stale reference (Programming Satisfaction, cited as LE-04) was found and corrected. LE codes are not aligned between the two workbooks either: the Gap Matrix LE-03 is a satisfaction measure unrelated to any LE-03 here. Cite LE measures by name, or by code with the date, never by code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</si>
</sst>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b/>
      <sz val="14"/>
      <color rgb="FFFFFFFF"/>
      <name val="Georgia"/>
      <family val="1"/>
    </font>
    <font>
      <i/>
      <sz val="9"/>
      <color rgb="FF4A5568"/>
      <name val="Calibri"/>
      <family val="2"/>
    </font>
    <font>
      <b/>
      <sz val="10"/>
      <color rgb="FFFFFFFF"/>
      <name val="Calibri"/>
      <family val="2"/>
    </font>
    <font>
      <b/>
      <sz val="9"/>
      <color rgb="FF4A5568"/>
      <name val="Calibri"/>
      <family val="2"/>
    </font>
    <font>
      <sz val="9"/>
      <name val="Calibri"/>
      <family val="2"/>
    </font>
    <font>
      <b/>
      <sz val="9"/>
      <color rgb="FFFFFFFF"/>
      <name val="Calibri"/>
      <family val="2"/>
    </font>
    <font>
      <sz val="9"/>
      <color rgb="FF000000"/>
      <name val="Calibri"/>
      <family val="2"/>
    </font>
    <font>
      <b/>
      <sz val="9"/>
      <name val="Calibri"/>
      <family val="2"/>
    </font>
    <font>
      <b/>
      <sz val="12"/>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i/>
      <sz val="11"/>
      <color rgb="FF595959"/>
      <name val="Calibri"/>
      <family val="2"/>
      <scheme val="minor"/>
    </font>
    <font>
      <b/>
      <sz val="11"/>
      <color rgb="FFFFFFFF"/>
      <name val="Calibri"/>
      <family val="2"/>
      <scheme val="minor"/>
    </font>
    <font>
      <sz val="10"/>
      <color rgb="FF000000"/>
      <name val="Tahoma"/>
      <family val="2"/>
    </font>
    <font>
      <b/>
      <sz val="10"/>
      <color rgb="FF000000"/>
      <name val="Tahoma"/>
      <family val="2"/>
    </font>
    <font>
      <i/>
      <sz val="9"/>
      <color rgb="FF000000"/>
      <name val="Calibri"/>
      <family val="2"/>
    </font>
    <font>
      <sz val="9"/>
      <color theme="1"/>
      <name val="Calibri"/>
      <family val="2"/>
      <scheme val="minor"/>
    </font>
    <font>
      <i/>
      <sz val="9"/>
      <color theme="1"/>
      <name val="Calibri"/>
      <family val="2"/>
      <scheme val="minor"/>
    </font>
    <font>
      <b/>
      <sz val="9"/>
      <color theme="1"/>
      <name val="Calibri"/>
      <family val="2"/>
      <scheme val="minor"/>
    </font>
    <font>
      <b/>
      <sz val="9"/>
      <color rgb="FF9C0006"/>
      <name val="Calibri"/>
      <family val="2"/>
    </font>
    <font>
      <sz val="11"/>
      <color rgb="FF000000"/>
      <name val="Calibri"/>
      <family val="2"/>
      <scheme val="minor"/>
    </font>
    <font>
      <b/>
      <sz val="11"/>
      <color rgb="FF000000"/>
      <name val="Calibri"/>
      <family val="2"/>
      <scheme val="minor"/>
    </font>
    <font>
      <i/>
      <sz val="11"/>
      <color rgb="FF000000"/>
      <name val="Calibri"/>
      <family val="2"/>
      <scheme val="minor"/>
    </font>
    <font>
      <sz val="9"/>
      <color rgb="FF404040"/>
      <name val="Calibri"/>
      <family val="2"/>
      <scheme val="minor"/>
    </font>
    <font>
      <b/>
      <sz val="9"/>
      <color rgb="FF404040"/>
      <name val="Calibri"/>
      <family val="2"/>
      <scheme val="minor"/>
    </font>
    <font>
      <i/>
      <sz val="9"/>
      <color rgb="FF404040"/>
      <name val="Calibri"/>
      <family val="2"/>
      <scheme val="minor"/>
    </font>
    <font>
      <sz val="9"/>
      <color rgb="FF006100"/>
      <name val="Calibri"/>
      <family val="2"/>
      <scheme val="minor"/>
    </font>
    <font>
      <sz val="9"/>
      <color rgb="FF9C5700"/>
      <name val="Calibri"/>
      <family val="2"/>
      <scheme val="minor"/>
    </font>
    <font>
      <i/>
      <sz val="9"/>
      <color rgb="FF9C5700"/>
      <name val="Calibri"/>
      <family val="2"/>
      <scheme val="minor"/>
    </font>
    <font>
      <i/>
      <sz val="9"/>
      <color rgb="FF006100"/>
      <name val="Calibri"/>
      <family val="2"/>
      <scheme val="minor"/>
    </font>
    <font>
      <b/>
      <i/>
      <sz val="9"/>
      <name val="Calibri"/>
      <family val="2"/>
    </font>
  </fonts>
  <fills count="24">
    <fill>
      <patternFill patternType="none"/>
    </fill>
    <fill>
      <patternFill patternType="gray125"/>
    </fill>
    <fill>
      <patternFill patternType="solid">
        <fgColor rgb="FF4A5568"/>
      </patternFill>
    </fill>
    <fill>
      <patternFill patternType="solid">
        <fgColor rgb="FFF2EFE5"/>
      </patternFill>
    </fill>
    <fill>
      <patternFill patternType="solid">
        <fgColor rgb="FFB2AC88"/>
      </patternFill>
    </fill>
    <fill>
      <patternFill patternType="solid">
        <fgColor rgb="FF9C8240"/>
      </patternFill>
    </fill>
    <fill>
      <patternFill patternType="solid">
        <fgColor rgb="FFFFFFFF"/>
      </patternFill>
    </fill>
    <fill>
      <patternFill patternType="solid">
        <fgColor rgb="FFFFF2A8"/>
      </patternFill>
    </fill>
    <fill>
      <patternFill patternType="solid">
        <fgColor rgb="FFEDEDE8"/>
      </patternFill>
    </fill>
    <fill>
      <patternFill patternType="solid">
        <fgColor rgb="FFF5E0DA"/>
      </patternFill>
    </fill>
    <fill>
      <patternFill patternType="solid">
        <fgColor rgb="FFE3EAD9"/>
      </patternFill>
    </fill>
    <fill>
      <patternFill patternType="solid">
        <fgColor rgb="FF1F4E79"/>
        <bgColor indexed="64"/>
      </patternFill>
    </fill>
    <fill>
      <patternFill patternType="solid">
        <fgColor rgb="FFFFF2CC"/>
        <bgColor indexed="64"/>
      </patternFill>
    </fill>
    <fill>
      <patternFill patternType="solid">
        <fgColor rgb="FF548235"/>
        <bgColor indexed="64"/>
      </patternFill>
    </fill>
    <fill>
      <patternFill patternType="solid">
        <fgColor rgb="FFE2EFDA"/>
        <bgColor indexed="64"/>
      </patternFill>
    </fill>
    <fill>
      <patternFill patternType="solid">
        <fgColor rgb="FFBF8F00"/>
        <bgColor indexed="64"/>
      </patternFill>
    </fill>
    <fill>
      <patternFill patternType="solid">
        <fgColor rgb="FFFFFF00"/>
        <bgColor indexed="64"/>
      </patternFill>
    </fill>
    <fill>
      <patternFill patternType="solid">
        <fgColor rgb="FF215967"/>
        <bgColor indexed="64"/>
      </patternFill>
    </fill>
    <fill>
      <patternFill patternType="solid">
        <fgColor rgb="FFD9E9EF"/>
        <bgColor indexed="64"/>
      </patternFill>
    </fill>
    <fill>
      <patternFill patternType="solid">
        <fgColor rgb="FF595959"/>
        <bgColor indexed="64"/>
      </patternFill>
    </fill>
    <fill>
      <patternFill patternType="solid">
        <fgColor rgb="FFEDEDED"/>
        <bgColor indexed="64"/>
      </patternFill>
    </fill>
    <fill>
      <patternFill patternType="solid">
        <fgColor rgb="FF7B3F00"/>
        <bgColor indexed="64"/>
      </patternFill>
    </fill>
    <fill>
      <patternFill patternType="solid">
        <fgColor rgb="FFF2E2D2"/>
        <bgColor indexed="64"/>
      </patternFill>
    </fill>
    <fill>
      <patternFill patternType="solid">
        <fgColor rgb="FFF2F2F2"/>
        <bgColor indexed="64"/>
      </patternFill>
    </fill>
  </fills>
  <borders count="7">
    <border>
      <left/>
      <right/>
      <top/>
      <bottom/>
      <diagonal/>
    </border>
    <border>
      <left style="thin">
        <color rgb="FFC8C8C0"/>
      </left>
      <right style="thin">
        <color rgb="FFC8C8C0"/>
      </right>
      <top style="thin">
        <color rgb="FFC8C8C0"/>
      </top>
      <bottom style="thin">
        <color rgb="FFC8C8C0"/>
      </bottom>
      <diagonal/>
    </border>
    <border>
      <left style="thin">
        <color auto="1"/>
      </left>
      <right style="thin">
        <color auto="1"/>
      </right>
      <top style="thin">
        <color auto="1"/>
      </top>
      <bottom style="thin">
        <color auto="1"/>
      </bottom>
      <diagonal/>
    </border>
    <border>
      <left style="thin">
        <color rgb="FFC8C8C0"/>
      </left>
      <right style="thin">
        <color rgb="FFC8C8C0"/>
      </right>
      <top/>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90">
    <xf numFmtId="0" fontId="0" fillId="0" borderId="0" xfId="0"/>
    <xf numFmtId="0" fontId="3" fillId="4" borderId="0" xfId="0" applyFont="1" applyFill="1" applyAlignment="1">
      <alignment vertical="top" wrapText="1" indent="1"/>
    </xf>
    <xf numFmtId="0" fontId="0" fillId="4" borderId="0" xfId="0" applyFill="1" applyAlignment="1">
      <alignment vertical="top" wrapText="1" indent="1"/>
    </xf>
    <xf numFmtId="0" fontId="4" fillId="0" borderId="0" xfId="0" applyFont="1" applyAlignment="1">
      <alignment vertical="top" wrapText="1" indent="1"/>
    </xf>
    <xf numFmtId="0" fontId="5" fillId="0" borderId="0" xfId="0" applyFont="1" applyAlignment="1">
      <alignment vertical="top" wrapText="1" indent="1"/>
    </xf>
    <xf numFmtId="0" fontId="6" fillId="5" borderId="1" xfId="0" applyFont="1" applyFill="1" applyBorder="1" applyAlignment="1">
      <alignment horizontal="center" vertical="center" wrapText="1"/>
    </xf>
    <xf numFmtId="0" fontId="4" fillId="6" borderId="1" xfId="0" applyFont="1" applyFill="1" applyBorder="1" applyAlignment="1">
      <alignment vertical="top" wrapText="1" indent="1"/>
    </xf>
    <xf numFmtId="0" fontId="7" fillId="6" borderId="1" xfId="0" applyFont="1" applyFill="1" applyBorder="1" applyAlignment="1">
      <alignment vertical="top" wrapText="1" indent="1"/>
    </xf>
    <xf numFmtId="0" fontId="7" fillId="6" borderId="1" xfId="0" applyFont="1" applyFill="1" applyBorder="1" applyAlignment="1">
      <alignment horizontal="center" vertical="top" wrapText="1"/>
    </xf>
    <xf numFmtId="0" fontId="4" fillId="7" borderId="1" xfId="0" applyFont="1" applyFill="1" applyBorder="1" applyAlignment="1">
      <alignment vertical="top" wrapText="1" indent="1"/>
    </xf>
    <xf numFmtId="0" fontId="7" fillId="7" borderId="1" xfId="0" applyFont="1" applyFill="1" applyBorder="1" applyAlignment="1">
      <alignment vertical="top" wrapText="1" indent="1"/>
    </xf>
    <xf numFmtId="0" fontId="7" fillId="7" borderId="1" xfId="0" applyFont="1" applyFill="1" applyBorder="1" applyAlignment="1">
      <alignment horizontal="center" vertical="top" wrapText="1"/>
    </xf>
    <xf numFmtId="0" fontId="4" fillId="8" borderId="1" xfId="0" applyFont="1" applyFill="1" applyBorder="1" applyAlignment="1">
      <alignment vertical="top" wrapText="1" indent="1"/>
    </xf>
    <xf numFmtId="0" fontId="7" fillId="8" borderId="1" xfId="0" applyFont="1" applyFill="1" applyBorder="1" applyAlignment="1">
      <alignment vertical="top" wrapText="1" indent="1"/>
    </xf>
    <xf numFmtId="0" fontId="7" fillId="8" borderId="1" xfId="0" applyFont="1" applyFill="1" applyBorder="1" applyAlignment="1">
      <alignment horizontal="center" vertical="top" wrapText="1"/>
    </xf>
    <xf numFmtId="0" fontId="5" fillId="6" borderId="1" xfId="0" applyFont="1" applyFill="1" applyBorder="1" applyAlignment="1">
      <alignment vertical="top" wrapText="1" indent="1"/>
    </xf>
    <xf numFmtId="0" fontId="8" fillId="6" borderId="1" xfId="0" applyFont="1" applyFill="1" applyBorder="1" applyAlignment="1">
      <alignment vertical="top" wrapText="1" indent="1"/>
    </xf>
    <xf numFmtId="0" fontId="5" fillId="8" borderId="1" xfId="0" applyFont="1" applyFill="1" applyBorder="1" applyAlignment="1">
      <alignment vertical="top" wrapText="1" indent="1"/>
    </xf>
    <xf numFmtId="0" fontId="8" fillId="8" borderId="1" xfId="0" applyFont="1" applyFill="1" applyBorder="1" applyAlignment="1">
      <alignment vertical="top" wrapText="1" indent="1"/>
    </xf>
    <xf numFmtId="0" fontId="5" fillId="9" borderId="1" xfId="0" applyFont="1" applyFill="1" applyBorder="1" applyAlignment="1">
      <alignment vertical="top" wrapText="1" indent="1"/>
    </xf>
    <xf numFmtId="0" fontId="8" fillId="9" borderId="1" xfId="0" applyFont="1" applyFill="1" applyBorder="1" applyAlignment="1">
      <alignment vertical="top" wrapText="1" indent="1"/>
    </xf>
    <xf numFmtId="0" fontId="4" fillId="6" borderId="1" xfId="0" applyFont="1" applyFill="1" applyBorder="1" applyAlignment="1">
      <alignment vertical="center" indent="1"/>
    </xf>
    <xf numFmtId="0" fontId="5" fillId="6" borderId="1" xfId="0" applyFont="1" applyFill="1" applyBorder="1" applyAlignment="1">
      <alignment horizontal="center" vertical="center"/>
    </xf>
    <xf numFmtId="0" fontId="8" fillId="6" borderId="1" xfId="0" applyFont="1" applyFill="1" applyBorder="1" applyAlignment="1">
      <alignment horizontal="center" vertical="center"/>
    </xf>
    <xf numFmtId="0" fontId="4" fillId="8" borderId="1" xfId="0" applyFont="1" applyFill="1" applyBorder="1" applyAlignment="1">
      <alignment vertical="center" indent="1"/>
    </xf>
    <xf numFmtId="0" fontId="5" fillId="8"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10" borderId="1" xfId="0" applyFont="1" applyFill="1" applyBorder="1" applyAlignment="1">
      <alignment vertical="top" wrapText="1" indent="1"/>
    </xf>
    <xf numFmtId="0" fontId="10" fillId="0" borderId="0" xfId="0" applyFont="1"/>
    <xf numFmtId="0" fontId="11" fillId="0" borderId="0" xfId="0" applyFont="1"/>
    <xf numFmtId="0" fontId="13" fillId="0" borderId="0" xfId="0" applyFont="1"/>
    <xf numFmtId="0" fontId="9" fillId="0" borderId="0" xfId="0" applyFont="1"/>
    <xf numFmtId="0" fontId="14" fillId="11" borderId="0" xfId="0" applyFont="1" applyFill="1"/>
    <xf numFmtId="0" fontId="0" fillId="0" borderId="0" xfId="0" applyAlignment="1">
      <alignment vertical="top" wrapText="1"/>
    </xf>
    <xf numFmtId="0" fontId="6" fillId="5" borderId="3" xfId="0" applyFont="1" applyFill="1" applyBorder="1" applyAlignment="1">
      <alignment horizontal="center" vertical="center" wrapText="1"/>
    </xf>
    <xf numFmtId="0" fontId="17" fillId="6" borderId="1" xfId="0" applyFont="1" applyFill="1" applyBorder="1" applyAlignment="1">
      <alignment vertical="top" wrapText="1" indent="1"/>
    </xf>
    <xf numFmtId="0" fontId="17" fillId="7" borderId="1" xfId="0" applyFont="1" applyFill="1" applyBorder="1" applyAlignment="1">
      <alignment vertical="top" wrapText="1" indent="1"/>
    </xf>
    <xf numFmtId="0" fontId="17" fillId="8" borderId="1" xfId="0" applyFont="1" applyFill="1" applyBorder="1" applyAlignment="1">
      <alignment vertical="top" wrapText="1" indent="1"/>
    </xf>
    <xf numFmtId="0" fontId="14" fillId="11" borderId="4" xfId="0" applyFont="1" applyFill="1" applyBorder="1" applyAlignment="1">
      <alignment vertical="center" wrapText="1"/>
    </xf>
    <xf numFmtId="0" fontId="8" fillId="6" borderId="1" xfId="0" applyFont="1" applyFill="1" applyBorder="1" applyAlignment="1">
      <alignment horizontal="center" vertical="top" wrapText="1" indent="1"/>
    </xf>
    <xf numFmtId="0" fontId="8" fillId="8" borderId="1" xfId="0" applyFont="1" applyFill="1" applyBorder="1" applyAlignment="1">
      <alignment horizontal="center" vertical="top" wrapText="1" indent="1"/>
    </xf>
    <xf numFmtId="0" fontId="19" fillId="0" borderId="0" xfId="0" applyFont="1"/>
    <xf numFmtId="0" fontId="19" fillId="0" borderId="0" xfId="0" quotePrefix="1" applyFont="1"/>
    <xf numFmtId="0" fontId="20" fillId="0" borderId="0" xfId="0" applyFont="1"/>
    <xf numFmtId="0" fontId="21" fillId="8" borderId="1" xfId="0" applyFont="1" applyFill="1" applyBorder="1" applyAlignment="1">
      <alignment vertical="top" wrapText="1" indent="1"/>
    </xf>
    <xf numFmtId="0" fontId="18" fillId="0" borderId="0" xfId="0" applyFont="1"/>
    <xf numFmtId="0" fontId="14" fillId="11" borderId="5" xfId="0" applyFont="1" applyFill="1" applyBorder="1" applyAlignment="1">
      <alignment vertical="center" wrapText="1"/>
    </xf>
    <xf numFmtId="0" fontId="14" fillId="13" borderId="2" xfId="0" applyFont="1" applyFill="1" applyBorder="1" applyAlignment="1">
      <alignment vertical="center"/>
    </xf>
    <xf numFmtId="0" fontId="22" fillId="14" borderId="2" xfId="0" applyFont="1" applyFill="1" applyBorder="1" applyAlignment="1">
      <alignment vertical="top" wrapText="1"/>
    </xf>
    <xf numFmtId="0" fontId="23" fillId="14" borderId="2" xfId="0" applyFont="1" applyFill="1" applyBorder="1" applyAlignment="1">
      <alignment vertical="top" wrapText="1"/>
    </xf>
    <xf numFmtId="0" fontId="24" fillId="14" borderId="2" xfId="0" applyFont="1" applyFill="1" applyBorder="1" applyAlignment="1">
      <alignment vertical="top" wrapText="1"/>
    </xf>
    <xf numFmtId="0" fontId="14" fillId="15" borderId="2" xfId="0" applyFont="1" applyFill="1" applyBorder="1" applyAlignment="1">
      <alignment vertical="center"/>
    </xf>
    <xf numFmtId="0" fontId="22" fillId="12" borderId="2" xfId="0" applyFont="1" applyFill="1" applyBorder="1" applyAlignment="1">
      <alignment vertical="top" wrapText="1"/>
    </xf>
    <xf numFmtId="0" fontId="23" fillId="12" borderId="2" xfId="0" applyFont="1" applyFill="1" applyBorder="1" applyAlignment="1">
      <alignment vertical="top" wrapText="1"/>
    </xf>
    <xf numFmtId="0" fontId="24" fillId="12" borderId="2" xfId="0" applyFont="1" applyFill="1" applyBorder="1" applyAlignment="1">
      <alignment vertical="top" wrapText="1"/>
    </xf>
    <xf numFmtId="0" fontId="14" fillId="11" borderId="6" xfId="0" applyFont="1" applyFill="1" applyBorder="1" applyAlignment="1">
      <alignment vertical="center" wrapText="1"/>
    </xf>
    <xf numFmtId="0" fontId="25" fillId="0" borderId="0" xfId="0" applyFont="1"/>
    <xf numFmtId="0" fontId="26" fillId="0" borderId="0" xfId="0" applyFont="1"/>
    <xf numFmtId="0" fontId="27" fillId="0" borderId="0" xfId="0" applyFont="1"/>
    <xf numFmtId="0" fontId="7" fillId="16" borderId="1" xfId="0" applyFont="1" applyFill="1" applyBorder="1" applyAlignment="1">
      <alignment vertical="top" wrapText="1" indent="1"/>
    </xf>
    <xf numFmtId="0" fontId="0" fillId="16" borderId="0" xfId="0" applyFill="1" applyAlignment="1">
      <alignment vertical="top" wrapText="1"/>
    </xf>
    <xf numFmtId="0" fontId="12" fillId="0" borderId="0" xfId="0" applyFont="1" applyAlignment="1">
      <alignment vertical="top" wrapText="1"/>
    </xf>
    <xf numFmtId="0" fontId="14" fillId="17" borderId="2" xfId="0" applyFont="1" applyFill="1" applyBorder="1" applyAlignment="1">
      <alignment vertical="center"/>
    </xf>
    <xf numFmtId="0" fontId="0" fillId="18" borderId="2" xfId="0" applyFill="1" applyBorder="1" applyAlignment="1">
      <alignment vertical="top" wrapText="1"/>
    </xf>
    <xf numFmtId="0" fontId="22" fillId="18" borderId="2" xfId="0" applyFont="1" applyFill="1" applyBorder="1" applyAlignment="1">
      <alignment vertical="top" wrapText="1"/>
    </xf>
    <xf numFmtId="0" fontId="23" fillId="18" borderId="2" xfId="0" applyFont="1" applyFill="1" applyBorder="1" applyAlignment="1">
      <alignment vertical="top" wrapText="1"/>
    </xf>
    <xf numFmtId="0" fontId="24" fillId="18" borderId="2" xfId="0" applyFont="1" applyFill="1" applyBorder="1" applyAlignment="1">
      <alignment vertical="top" wrapText="1"/>
    </xf>
    <xf numFmtId="0" fontId="14" fillId="17" borderId="2" xfId="0" applyFont="1" applyFill="1" applyBorder="1"/>
    <xf numFmtId="0" fontId="14" fillId="19" borderId="2" xfId="0" applyFont="1" applyFill="1" applyBorder="1" applyAlignment="1">
      <alignment vertical="center"/>
    </xf>
    <xf numFmtId="0" fontId="22" fillId="20" borderId="2" xfId="0" applyFont="1" applyFill="1" applyBorder="1" applyAlignment="1">
      <alignment vertical="top" wrapText="1"/>
    </xf>
    <xf numFmtId="0" fontId="23" fillId="20" borderId="2" xfId="0" applyFont="1" applyFill="1" applyBorder="1" applyAlignment="1">
      <alignment vertical="top" wrapText="1"/>
    </xf>
    <xf numFmtId="0" fontId="24" fillId="20" borderId="2" xfId="0" applyFont="1" applyFill="1" applyBorder="1" applyAlignment="1">
      <alignment vertical="top" wrapText="1"/>
    </xf>
    <xf numFmtId="0" fontId="28" fillId="0" borderId="0" xfId="0" applyFont="1"/>
    <xf numFmtId="0" fontId="29" fillId="0" borderId="0" xfId="0" applyFont="1"/>
    <xf numFmtId="0" fontId="14" fillId="21" borderId="2" xfId="0" applyFont="1" applyFill="1" applyBorder="1" applyAlignment="1">
      <alignment vertical="center"/>
    </xf>
    <xf numFmtId="0" fontId="22" fillId="22" borderId="2" xfId="0" applyFont="1" applyFill="1" applyBorder="1" applyAlignment="1">
      <alignment vertical="top" wrapText="1"/>
    </xf>
    <xf numFmtId="0" fontId="23" fillId="22" borderId="2" xfId="0" applyFont="1" applyFill="1" applyBorder="1" applyAlignment="1">
      <alignment vertical="top" wrapText="1"/>
    </xf>
    <xf numFmtId="0" fontId="24" fillId="22" borderId="2" xfId="0" applyFont="1" applyFill="1" applyBorder="1" applyAlignment="1">
      <alignment vertical="top" wrapText="1"/>
    </xf>
    <xf numFmtId="0" fontId="30" fillId="0" borderId="0" xfId="0" applyFont="1"/>
    <xf numFmtId="0" fontId="5" fillId="12" borderId="1" xfId="0" applyFont="1" applyFill="1" applyBorder="1" applyAlignment="1">
      <alignment vertical="top" wrapText="1" indent="1"/>
    </xf>
    <xf numFmtId="0" fontId="31" fillId="0" borderId="0" xfId="0" applyFont="1"/>
    <xf numFmtId="0" fontId="7" fillId="0" borderId="1" xfId="0" applyFont="1" applyBorder="1" applyAlignment="1">
      <alignment vertical="top" wrapText="1" indent="1"/>
    </xf>
    <xf numFmtId="0" fontId="5" fillId="23" borderId="1" xfId="0" applyFont="1" applyFill="1" applyBorder="1" applyAlignment="1">
      <alignment vertical="top" wrapText="1" indent="1"/>
    </xf>
    <xf numFmtId="0" fontId="8" fillId="23" borderId="1" xfId="0" applyFont="1" applyFill="1" applyBorder="1" applyAlignment="1">
      <alignment horizontal="center" vertical="top" wrapText="1" indent="1"/>
    </xf>
    <xf numFmtId="0" fontId="7" fillId="23" borderId="1" xfId="0" applyFont="1" applyFill="1" applyBorder="1" applyAlignment="1">
      <alignment vertical="top" wrapText="1" indent="1"/>
    </xf>
    <xf numFmtId="0" fontId="32" fillId="23" borderId="1" xfId="0" applyFont="1" applyFill="1" applyBorder="1" applyAlignment="1">
      <alignment vertical="top" wrapText="1" indent="1"/>
    </xf>
    <xf numFmtId="0" fontId="1" fillId="2" borderId="0" xfId="0" applyFont="1" applyFill="1" applyAlignment="1">
      <alignment vertical="center" indent="1"/>
    </xf>
    <xf numFmtId="0" fontId="2" fillId="3" borderId="0" xfId="0" applyFont="1" applyFill="1" applyAlignment="1">
      <alignment vertical="center" indent="1"/>
    </xf>
    <xf numFmtId="0" fontId="2" fillId="0" borderId="0" xfId="0" applyFont="1" applyAlignment="1">
      <alignment vertical="top" wrapText="1" inden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0B335F3-B1BE-1B40-868A-164A4071D69C}">
  <we:reference id="wa200010725" version="1.0.0.1" store="en-US" storeType="OMEX"/>
  <we:alternateReferences>
    <we:reference id="WA200010725" version="1.0.0.1" store="" storeType="OMEX"/>
  </we:alternateReferences>
  <we:properties>
    <we:property name="claude.fileId" value="&quot;10e76e5b-6a23-41a5-b798-546e5893fcb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workbookViewId="0">
      <selection sqref="A1:B1"/>
    </sheetView>
  </sheetViews>
  <sheetFormatPr defaultColWidth="8.85546875" defaultRowHeight="15"/>
  <cols>
    <col min="1" max="1" width="34" customWidth="1"/>
    <col min="2" max="2" width="118" customWidth="1"/>
  </cols>
  <sheetData>
    <row r="1" spans="1:2" ht="26.1" customHeight="1">
      <c r="A1" s="86" t="s">
        <v>0</v>
      </c>
      <c r="B1" s="89"/>
    </row>
    <row r="2" spans="1:2" ht="18" customHeight="1">
      <c r="A2" s="87" t="s">
        <v>1</v>
      </c>
      <c r="B2" s="89"/>
    </row>
    <row r="4" spans="1:2">
      <c r="A4" s="1" t="s">
        <v>2</v>
      </c>
      <c r="B4" s="2"/>
    </row>
    <row r="5" spans="1:2" ht="26.1">
      <c r="A5" s="3" t="s">
        <v>3</v>
      </c>
      <c r="B5" s="4" t="s">
        <v>4</v>
      </c>
    </row>
    <row r="6" spans="1:2" ht="26.1">
      <c r="A6" s="3" t="s">
        <v>5</v>
      </c>
      <c r="B6" s="4" t="s">
        <v>6</v>
      </c>
    </row>
    <row r="7" spans="1:2" ht="26.1">
      <c r="A7" s="3" t="s">
        <v>7</v>
      </c>
      <c r="B7" s="4" t="s">
        <v>8</v>
      </c>
    </row>
    <row r="8" spans="1:2">
      <c r="A8" s="3"/>
      <c r="B8" s="4"/>
    </row>
    <row r="9" spans="1:2">
      <c r="A9" s="1" t="s">
        <v>9</v>
      </c>
      <c r="B9" s="2"/>
    </row>
    <row r="10" spans="1:2" ht="26.1">
      <c r="A10" s="3" t="s">
        <v>10</v>
      </c>
      <c r="B10" s="4" t="s">
        <v>11</v>
      </c>
    </row>
    <row r="11" spans="1:2" ht="78">
      <c r="A11" s="3" t="s">
        <v>12</v>
      </c>
      <c r="B11" s="4" t="s">
        <v>13</v>
      </c>
    </row>
    <row r="12" spans="1:2" ht="26.1">
      <c r="A12" s="3" t="s">
        <v>14</v>
      </c>
      <c r="B12" s="4" t="s">
        <v>15</v>
      </c>
    </row>
    <row r="13" spans="1:2" ht="39">
      <c r="A13" s="3" t="s">
        <v>16</v>
      </c>
      <c r="B13" s="4" t="s">
        <v>17</v>
      </c>
    </row>
    <row r="14" spans="1:2">
      <c r="A14" s="3"/>
      <c r="B14" s="4"/>
    </row>
    <row r="15" spans="1:2">
      <c r="A15" s="1" t="s">
        <v>18</v>
      </c>
      <c r="B15" s="2"/>
    </row>
    <row r="16" spans="1:2">
      <c r="A16" s="3" t="s">
        <v>19</v>
      </c>
      <c r="B16" s="4" t="s">
        <v>20</v>
      </c>
    </row>
    <row r="17" spans="1:2">
      <c r="A17" s="3" t="s">
        <v>21</v>
      </c>
      <c r="B17" s="4" t="s">
        <v>22</v>
      </c>
    </row>
    <row r="18" spans="1:2">
      <c r="A18" s="3" t="s">
        <v>23</v>
      </c>
      <c r="B18" s="4" t="s">
        <v>24</v>
      </c>
    </row>
    <row r="19" spans="1:2">
      <c r="A19" s="3" t="s">
        <v>25</v>
      </c>
      <c r="B19" s="4" t="s">
        <v>26</v>
      </c>
    </row>
    <row r="20" spans="1:2">
      <c r="A20" s="3" t="s">
        <v>27</v>
      </c>
      <c r="B20" s="4" t="s">
        <v>28</v>
      </c>
    </row>
    <row r="21" spans="1:2" ht="26.1">
      <c r="A21" s="3" t="s">
        <v>29</v>
      </c>
      <c r="B21" s="4" t="s">
        <v>30</v>
      </c>
    </row>
    <row r="22" spans="1:2">
      <c r="A22" s="3"/>
      <c r="B22" s="4"/>
    </row>
    <row r="23" spans="1:2">
      <c r="A23" s="1" t="s">
        <v>31</v>
      </c>
      <c r="B23" s="2"/>
    </row>
    <row r="24" spans="1:2">
      <c r="A24" s="3" t="s">
        <v>32</v>
      </c>
      <c r="B24" s="4" t="s">
        <v>33</v>
      </c>
    </row>
    <row r="25" spans="1:2" ht="26.1">
      <c r="A25" s="3" t="s">
        <v>34</v>
      </c>
      <c r="B25" s="4" t="s">
        <v>35</v>
      </c>
    </row>
    <row r="26" spans="1:2" ht="39">
      <c r="A26" s="3" t="s">
        <v>36</v>
      </c>
      <c r="B26" s="4" t="s">
        <v>37</v>
      </c>
    </row>
    <row r="27" spans="1:2" ht="39">
      <c r="A27" s="3" t="s">
        <v>38</v>
      </c>
      <c r="B27" s="4" t="s">
        <v>39</v>
      </c>
    </row>
    <row r="28" spans="1:2">
      <c r="A28" s="3"/>
      <c r="B28" s="4"/>
    </row>
    <row r="29" spans="1:2">
      <c r="A29" s="1" t="s">
        <v>40</v>
      </c>
      <c r="B29" s="2"/>
    </row>
    <row r="30" spans="1:2" ht="39">
      <c r="A30" s="3" t="s">
        <v>41</v>
      </c>
      <c r="B30" s="4" t="s">
        <v>42</v>
      </c>
    </row>
    <row r="31" spans="1:2" ht="26.1">
      <c r="A31" s="3" t="s">
        <v>43</v>
      </c>
      <c r="B31" s="4" t="s">
        <v>44</v>
      </c>
    </row>
    <row r="32" spans="1:2" ht="26.1">
      <c r="A32" s="3" t="s">
        <v>45</v>
      </c>
      <c r="B32" s="4" t="s">
        <v>46</v>
      </c>
    </row>
    <row r="33" spans="1:2">
      <c r="A33" s="3"/>
      <c r="B33" s="4"/>
    </row>
    <row r="34" spans="1:2">
      <c r="A34" s="1" t="s">
        <v>47</v>
      </c>
      <c r="B34" s="2"/>
    </row>
    <row r="35" spans="1:2">
      <c r="A35" s="3" t="s">
        <v>32</v>
      </c>
      <c r="B35" s="4" t="s">
        <v>48</v>
      </c>
    </row>
    <row r="36" spans="1:2" ht="26.1">
      <c r="A36" s="3" t="s">
        <v>49</v>
      </c>
      <c r="B36" s="4" t="s">
        <v>50</v>
      </c>
    </row>
    <row r="37" spans="1:2" ht="26.1">
      <c r="A37" s="3" t="s">
        <v>51</v>
      </c>
      <c r="B37" s="4" t="s">
        <v>52</v>
      </c>
    </row>
    <row r="38" spans="1:2">
      <c r="A38" s="3"/>
      <c r="B38" s="4"/>
    </row>
    <row r="39" spans="1:2">
      <c r="A39" s="1" t="s">
        <v>53</v>
      </c>
      <c r="B39" s="2"/>
    </row>
    <row r="40" spans="1:2" ht="26.1">
      <c r="A40" s="3" t="s">
        <v>54</v>
      </c>
      <c r="B40" s="4" t="s">
        <v>55</v>
      </c>
    </row>
    <row r="41" spans="1:2">
      <c r="A41" s="3" t="s">
        <v>56</v>
      </c>
      <c r="B41" s="4" t="s">
        <v>57</v>
      </c>
    </row>
    <row r="42" spans="1:2" ht="26.1">
      <c r="A42" s="3" t="s">
        <v>58</v>
      </c>
      <c r="B42" s="4" t="s">
        <v>59</v>
      </c>
    </row>
    <row r="43" spans="1:2" ht="26.1">
      <c r="A43" s="3" t="s">
        <v>60</v>
      </c>
      <c r="B43" s="4" t="s">
        <v>61</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19"/>
  <sheetViews>
    <sheetView tabSelected="1" workbookViewId="0">
      <pane xSplit="3" ySplit="4" topLeftCell="D23" activePane="bottomRight" state="frozen"/>
      <selection pane="bottomRight" activeCell="D29" sqref="D29"/>
      <selection pane="bottomLeft"/>
      <selection pane="topRight"/>
    </sheetView>
  </sheetViews>
  <sheetFormatPr defaultColWidth="8.85546875" defaultRowHeight="15"/>
  <cols>
    <col min="1" max="1" width="13" customWidth="1"/>
    <col min="2" max="2" width="20" customWidth="1"/>
    <col min="3" max="3" width="40" customWidth="1"/>
    <col min="4" max="4" width="52" customWidth="1"/>
    <col min="5" max="5" width="10.42578125" bestFit="1" customWidth="1"/>
    <col min="6" max="6" width="7.42578125" customWidth="1"/>
    <col min="7" max="8" width="4" customWidth="1"/>
    <col min="9" max="9" width="5" customWidth="1"/>
    <col min="10" max="10" width="7" customWidth="1"/>
    <col min="11" max="11" width="16" customWidth="1"/>
    <col min="12" max="12" width="38" customWidth="1"/>
    <col min="13" max="13" width="62" customWidth="1"/>
    <col min="14" max="14" width="34" customWidth="1"/>
    <col min="15" max="15" width="58" customWidth="1"/>
    <col min="16" max="16" width="55" customWidth="1"/>
  </cols>
  <sheetData>
    <row r="1" spans="1:17" ht="26.1" customHeight="1">
      <c r="A1" s="86" t="s">
        <v>62</v>
      </c>
      <c r="B1" s="89"/>
      <c r="C1" s="89"/>
      <c r="D1" s="89"/>
      <c r="E1" s="89"/>
      <c r="F1" s="89"/>
      <c r="G1" s="89"/>
      <c r="H1" s="89"/>
      <c r="I1" s="89"/>
      <c r="J1" s="89"/>
      <c r="K1" s="89"/>
      <c r="L1" s="89"/>
      <c r="M1" s="89"/>
      <c r="N1" s="89"/>
      <c r="O1" s="89"/>
    </row>
    <row r="2" spans="1:17" ht="18" customHeight="1">
      <c r="A2" s="87" t="s">
        <v>63</v>
      </c>
      <c r="B2" s="89"/>
      <c r="C2" s="89"/>
      <c r="D2" s="89"/>
      <c r="E2" s="89"/>
      <c r="F2" s="89"/>
      <c r="G2" s="89"/>
      <c r="H2" s="89"/>
      <c r="I2" s="89"/>
      <c r="J2" s="89"/>
      <c r="K2" s="89"/>
      <c r="L2" s="89"/>
      <c r="M2" s="89"/>
      <c r="N2" s="89"/>
      <c r="O2" s="89"/>
    </row>
    <row r="4" spans="1:17" ht="30" customHeight="1">
      <c r="A4" s="5" t="s">
        <v>64</v>
      </c>
      <c r="B4" s="5" t="s">
        <v>65</v>
      </c>
      <c r="C4" s="5" t="s">
        <v>66</v>
      </c>
      <c r="D4" s="5" t="s">
        <v>67</v>
      </c>
      <c r="E4" s="5" t="s">
        <v>68</v>
      </c>
      <c r="F4" s="5" t="s">
        <v>69</v>
      </c>
      <c r="G4" s="5" t="s">
        <v>70</v>
      </c>
      <c r="H4" s="5" t="s">
        <v>71</v>
      </c>
      <c r="I4" s="5" t="s">
        <v>21</v>
      </c>
      <c r="J4" s="5" t="s">
        <v>72</v>
      </c>
      <c r="K4" s="5" t="s">
        <v>73</v>
      </c>
      <c r="L4" s="5" t="s">
        <v>74</v>
      </c>
      <c r="M4" s="5" t="s">
        <v>75</v>
      </c>
      <c r="N4" s="5" t="s">
        <v>76</v>
      </c>
      <c r="O4" s="5" t="s">
        <v>77</v>
      </c>
      <c r="P4" s="5" t="s">
        <v>78</v>
      </c>
      <c r="Q4" s="34" t="s">
        <v>79</v>
      </c>
    </row>
    <row r="5" spans="1:17" ht="45.95" customHeight="1">
      <c r="A5" s="6" t="s">
        <v>80</v>
      </c>
      <c r="B5" s="7" t="s">
        <v>81</v>
      </c>
      <c r="C5" s="7" t="s">
        <v>82</v>
      </c>
      <c r="D5" s="7" t="s">
        <v>83</v>
      </c>
      <c r="E5" s="8" t="s">
        <v>84</v>
      </c>
      <c r="F5" s="8" t="s">
        <v>85</v>
      </c>
      <c r="G5" s="8" t="s">
        <v>85</v>
      </c>
      <c r="H5" s="8" t="s">
        <v>85</v>
      </c>
      <c r="I5" s="8" t="s">
        <v>85</v>
      </c>
      <c r="J5" s="8"/>
      <c r="K5" s="7" t="s">
        <v>86</v>
      </c>
      <c r="L5" s="7" t="s">
        <v>87</v>
      </c>
      <c r="M5" s="7" t="s">
        <v>88</v>
      </c>
      <c r="N5" s="7" t="s">
        <v>89</v>
      </c>
      <c r="O5" s="7"/>
      <c r="P5" s="35" t="s">
        <v>90</v>
      </c>
      <c r="Q5" t="str" cm="1">
        <f t="array" ref="Q5">IFERROR(INDEX('Benchmark Source Map'!$A$5:$A$13,MATCH(TRUE,(ISNUMBER(SEARCH('Benchmark Source Map'!$E$5:$E$13,$L5))+ISNUMBER(SEARCH('Benchmark Source Map'!$F$5:$F$13,$L5)))&gt;0,0)),"Other named sources")</f>
        <v>State of Seniors Housing (SOSH) 2025</v>
      </c>
    </row>
    <row r="6" spans="1:17" ht="45.95" customHeight="1">
      <c r="A6" s="9" t="s">
        <v>91</v>
      </c>
      <c r="B6" s="10" t="s">
        <v>81</v>
      </c>
      <c r="C6" s="10" t="s">
        <v>92</v>
      </c>
      <c r="D6" s="10" t="s">
        <v>93</v>
      </c>
      <c r="E6" s="11" t="s">
        <v>84</v>
      </c>
      <c r="F6" s="11" t="s">
        <v>85</v>
      </c>
      <c r="G6" s="11" t="s">
        <v>85</v>
      </c>
      <c r="H6" s="11" t="s">
        <v>85</v>
      </c>
      <c r="I6" s="11" t="s">
        <v>85</v>
      </c>
      <c r="J6" s="11"/>
      <c r="K6" s="10" t="s">
        <v>94</v>
      </c>
      <c r="L6" s="10" t="s">
        <v>95</v>
      </c>
      <c r="M6" s="10" t="s">
        <v>96</v>
      </c>
      <c r="N6" s="10" t="s">
        <v>89</v>
      </c>
      <c r="O6" s="10" t="s">
        <v>97</v>
      </c>
      <c r="P6" s="36" t="s">
        <v>98</v>
      </c>
      <c r="Q6" t="str" cm="1">
        <f t="array" ref="Q6">IFERROR(INDEX('Benchmark Source Map'!$A$5:$A$13,MATCH(TRUE,(ISNUMBER(SEARCH('Benchmark Source Map'!$E$5:$E$13,$L6))+ISNUMBER(SEARCH('Benchmark Source Map'!$F$5:$F$13,$L6)))&gt;0,0)),"Other named sources")</f>
        <v>Rob Clark - 2025 CCRC Performance Benchmarks and advisor internal standards</v>
      </c>
    </row>
    <row r="7" spans="1:17" ht="45.95" customHeight="1">
      <c r="A7" s="6" t="s">
        <v>99</v>
      </c>
      <c r="B7" s="7" t="s">
        <v>81</v>
      </c>
      <c r="C7" s="7" t="s">
        <v>100</v>
      </c>
      <c r="D7" s="7" t="s">
        <v>101</v>
      </c>
      <c r="E7" s="8" t="s">
        <v>102</v>
      </c>
      <c r="F7" s="8" t="s">
        <v>85</v>
      </c>
      <c r="G7" s="8" t="s">
        <v>85</v>
      </c>
      <c r="H7" s="8" t="s">
        <v>85</v>
      </c>
      <c r="I7" s="8"/>
      <c r="J7" s="8"/>
      <c r="K7" s="7" t="s">
        <v>86</v>
      </c>
      <c r="L7" s="7" t="s">
        <v>103</v>
      </c>
      <c r="M7" s="7" t="s">
        <v>104</v>
      </c>
      <c r="N7" s="7" t="s">
        <v>89</v>
      </c>
      <c r="O7" s="7" t="s">
        <v>105</v>
      </c>
      <c r="P7" s="35" t="s">
        <v>106</v>
      </c>
      <c r="Q7" t="str" cm="1">
        <f t="array" ref="Q7">IFERROR(INDEX('Benchmark Source Map'!$A$5:$A$13,MATCH(TRUE,(ISNUMBER(SEARCH('Benchmark Source Map'!$E$5:$E$13,$L7))+ISNUMBER(SEARCH('Benchmark Source Map'!$F$5:$F$13,$L7)))&gt;0,0)),"Other named sources")</f>
        <v>State of Seniors Housing (SOSH) 2025</v>
      </c>
    </row>
    <row r="8" spans="1:17" ht="45.95" customHeight="1">
      <c r="A8" s="12" t="s">
        <v>107</v>
      </c>
      <c r="B8" s="13" t="s">
        <v>81</v>
      </c>
      <c r="C8" s="13" t="s">
        <v>108</v>
      </c>
      <c r="D8" s="13" t="s">
        <v>109</v>
      </c>
      <c r="E8" s="14" t="s">
        <v>110</v>
      </c>
      <c r="F8" s="14" t="s">
        <v>85</v>
      </c>
      <c r="G8" s="14" t="s">
        <v>85</v>
      </c>
      <c r="H8" s="14" t="s">
        <v>85</v>
      </c>
      <c r="I8" s="14" t="s">
        <v>85</v>
      </c>
      <c r="J8" s="14"/>
      <c r="K8" s="13" t="s">
        <v>86</v>
      </c>
      <c r="L8" s="13" t="s">
        <v>111</v>
      </c>
      <c r="M8" s="13" t="s">
        <v>112</v>
      </c>
      <c r="N8" s="13" t="s">
        <v>113</v>
      </c>
      <c r="O8" s="13" t="s">
        <v>114</v>
      </c>
      <c r="P8" s="37" t="s">
        <v>115</v>
      </c>
      <c r="Q8" t="str" cm="1">
        <f t="array" ref="Q8">IFERROR(INDEX('Benchmark Source Map'!$A$5:$A$13,MATCH(TRUE,(ISNUMBER(SEARCH('Benchmark Source Map'!$E$5:$E$13,$L8))+ISNUMBER(SEARCH('Benchmark Source Map'!$F$5:$F$13,$L8)))&gt;0,0)),"Other named sources")</f>
        <v>State of Seniors Housing (SOSH) 2025</v>
      </c>
    </row>
    <row r="9" spans="1:17" ht="45.95" customHeight="1">
      <c r="A9" s="9" t="s">
        <v>116</v>
      </c>
      <c r="B9" s="10" t="s">
        <v>81</v>
      </c>
      <c r="C9" s="10" t="s">
        <v>117</v>
      </c>
      <c r="D9" s="10" t="s">
        <v>118</v>
      </c>
      <c r="E9" s="11" t="s">
        <v>84</v>
      </c>
      <c r="F9" s="11" t="s">
        <v>85</v>
      </c>
      <c r="G9" s="11" t="s">
        <v>85</v>
      </c>
      <c r="H9" s="11" t="s">
        <v>85</v>
      </c>
      <c r="I9" s="11" t="s">
        <v>85</v>
      </c>
      <c r="J9" s="11"/>
      <c r="K9" s="10" t="s">
        <v>94</v>
      </c>
      <c r="L9" s="10" t="s">
        <v>119</v>
      </c>
      <c r="M9" s="10" t="s">
        <v>120</v>
      </c>
      <c r="N9" s="10" t="s">
        <v>121</v>
      </c>
      <c r="O9" s="10" t="s">
        <v>122</v>
      </c>
      <c r="P9" s="36" t="s">
        <v>123</v>
      </c>
      <c r="Q9" t="str" cm="1">
        <f t="array" ref="Q9">IFERROR(INDEX('Benchmark Source Map'!$A$5:$A$13,MATCH(TRUE,(ISNUMBER(SEARCH('Benchmark Source Map'!$E$5:$E$13,$L9))+ISNUMBER(SEARCH('Benchmark Source Map'!$F$5:$F$13,$L9)))&gt;0,0)),"Other named sources")</f>
        <v>Rob Clark - 2025 CCRC Performance Benchmarks and advisor internal standards</v>
      </c>
    </row>
    <row r="10" spans="1:17" ht="45.95" customHeight="1">
      <c r="A10" s="9" t="s">
        <v>124</v>
      </c>
      <c r="B10" s="10" t="s">
        <v>81</v>
      </c>
      <c r="C10" s="10" t="s">
        <v>125</v>
      </c>
      <c r="D10" s="10" t="s">
        <v>126</v>
      </c>
      <c r="E10" s="11" t="s">
        <v>84</v>
      </c>
      <c r="F10" s="11" t="s">
        <v>85</v>
      </c>
      <c r="G10" s="11" t="s">
        <v>85</v>
      </c>
      <c r="H10" s="11" t="s">
        <v>85</v>
      </c>
      <c r="I10" s="11" t="s">
        <v>85</v>
      </c>
      <c r="J10" s="11"/>
      <c r="K10" s="10" t="s">
        <v>94</v>
      </c>
      <c r="L10" s="10" t="s">
        <v>119</v>
      </c>
      <c r="M10" s="10" t="s">
        <v>127</v>
      </c>
      <c r="N10" s="10" t="s">
        <v>121</v>
      </c>
      <c r="O10" s="10" t="s">
        <v>128</v>
      </c>
      <c r="P10" s="36" t="s">
        <v>129</v>
      </c>
      <c r="Q10" t="str" cm="1">
        <f t="array" ref="Q10">IFERROR(INDEX('Benchmark Source Map'!$A$5:$A$13,MATCH(TRUE,(ISNUMBER(SEARCH('Benchmark Source Map'!$E$5:$E$13,$L10))+ISNUMBER(SEARCH('Benchmark Source Map'!$F$5:$F$13,$L10)))&gt;0,0)),"Other named sources")</f>
        <v>Rob Clark - 2025 CCRC Performance Benchmarks and advisor internal standards</v>
      </c>
    </row>
    <row r="11" spans="1:17" ht="45.95" customHeight="1">
      <c r="A11" s="9" t="s">
        <v>130</v>
      </c>
      <c r="B11" s="10" t="s">
        <v>81</v>
      </c>
      <c r="C11" s="10" t="s">
        <v>131</v>
      </c>
      <c r="D11" s="10" t="s">
        <v>132</v>
      </c>
      <c r="E11" s="11" t="s">
        <v>102</v>
      </c>
      <c r="F11" s="11" t="s">
        <v>85</v>
      </c>
      <c r="G11" s="11" t="s">
        <v>85</v>
      </c>
      <c r="H11" s="11" t="s">
        <v>85</v>
      </c>
      <c r="I11" s="11" t="s">
        <v>85</v>
      </c>
      <c r="J11" s="11"/>
      <c r="K11" s="10" t="s">
        <v>94</v>
      </c>
      <c r="L11" s="10" t="s">
        <v>95</v>
      </c>
      <c r="M11" s="10" t="s">
        <v>133</v>
      </c>
      <c r="N11" s="10" t="s">
        <v>134</v>
      </c>
      <c r="O11" s="10" t="s">
        <v>135</v>
      </c>
      <c r="P11" s="36" t="s">
        <v>136</v>
      </c>
      <c r="Q11" t="str" cm="1">
        <f t="array" ref="Q11">IFERROR(INDEX('Benchmark Source Map'!$A$5:$A$13,MATCH(TRUE,(ISNUMBER(SEARCH('Benchmark Source Map'!$E$5:$E$13,$L11))+ISNUMBER(SEARCH('Benchmark Source Map'!$F$5:$F$13,$L11)))&gt;0,0)),"Other named sources")</f>
        <v>Rob Clark - 2025 CCRC Performance Benchmarks and advisor internal standards</v>
      </c>
    </row>
    <row r="12" spans="1:17" ht="45.95" customHeight="1">
      <c r="A12" s="9" t="s">
        <v>137</v>
      </c>
      <c r="B12" s="10" t="s">
        <v>81</v>
      </c>
      <c r="C12" s="10" t="s">
        <v>138</v>
      </c>
      <c r="D12" s="10" t="s">
        <v>139</v>
      </c>
      <c r="E12" s="11" t="s">
        <v>102</v>
      </c>
      <c r="F12" s="11" t="s">
        <v>85</v>
      </c>
      <c r="G12" s="11" t="s">
        <v>85</v>
      </c>
      <c r="H12" s="11" t="s">
        <v>85</v>
      </c>
      <c r="I12" s="11" t="s">
        <v>85</v>
      </c>
      <c r="J12" s="11"/>
      <c r="K12" s="10" t="s">
        <v>94</v>
      </c>
      <c r="L12" s="10" t="s">
        <v>140</v>
      </c>
      <c r="M12" s="10" t="s">
        <v>141</v>
      </c>
      <c r="N12" s="10" t="s">
        <v>134</v>
      </c>
      <c r="O12" s="10"/>
      <c r="P12" s="36" t="s">
        <v>142</v>
      </c>
      <c r="Q12" t="str" cm="1">
        <f t="array" ref="Q12">IFERROR(INDEX('Benchmark Source Map'!$A$5:$A$13,MATCH(TRUE,(ISNUMBER(SEARCH('Benchmark Source Map'!$E$5:$E$13,$L12))+ISNUMBER(SEARCH('Benchmark Source Map'!$F$5:$F$13,$L12)))&gt;0,0)),"Other named sources")</f>
        <v>CMS and regulatory requirements (Five-Star Technical Users' Guide, RAI Manual, 42 CFR, Life Safety Code, state regulation)</v>
      </c>
    </row>
    <row r="13" spans="1:17" ht="45.95" customHeight="1">
      <c r="A13" s="6" t="s">
        <v>143</v>
      </c>
      <c r="B13" s="7" t="s">
        <v>25</v>
      </c>
      <c r="C13" s="7" t="s">
        <v>144</v>
      </c>
      <c r="D13" s="7" t="s">
        <v>145</v>
      </c>
      <c r="E13" s="8" t="s">
        <v>84</v>
      </c>
      <c r="F13" s="8" t="s">
        <v>85</v>
      </c>
      <c r="G13" s="8" t="s">
        <v>85</v>
      </c>
      <c r="H13" s="8" t="s">
        <v>85</v>
      </c>
      <c r="I13" s="8"/>
      <c r="J13" s="8"/>
      <c r="K13" s="7" t="s">
        <v>86</v>
      </c>
      <c r="L13" s="7" t="s">
        <v>146</v>
      </c>
      <c r="M13" s="81" t="s">
        <v>147</v>
      </c>
      <c r="N13" s="7" t="s">
        <v>148</v>
      </c>
      <c r="O13" s="7" t="s">
        <v>149</v>
      </c>
      <c r="P13" s="35" t="s">
        <v>150</v>
      </c>
      <c r="Q13" t="str" cm="1">
        <f t="array" ref="Q13">IFERROR(INDEX('Benchmark Source Map'!$A$5:$A$13,MATCH(TRUE,(ISNUMBER(SEARCH('Benchmark Source Map'!$E$5:$E$13,$L13))+ISNUMBER(SEARCH('Benchmark Source Map'!$F$5:$F$13,$L13)))&gt;0,0)),"Other named sources")</f>
        <v>Aline Sales and Marketing Benchmark Report</v>
      </c>
    </row>
    <row r="14" spans="1:17" ht="45.95" customHeight="1">
      <c r="A14" s="12" t="s">
        <v>151</v>
      </c>
      <c r="B14" s="13" t="s">
        <v>25</v>
      </c>
      <c r="C14" s="13" t="s">
        <v>152</v>
      </c>
      <c r="D14" s="13" t="s">
        <v>153</v>
      </c>
      <c r="E14" s="14" t="s">
        <v>84</v>
      </c>
      <c r="F14" s="14" t="s">
        <v>85</v>
      </c>
      <c r="G14" s="14" t="s">
        <v>85</v>
      </c>
      <c r="H14" s="14" t="s">
        <v>85</v>
      </c>
      <c r="I14" s="14"/>
      <c r="J14" s="14"/>
      <c r="K14" s="13" t="s">
        <v>86</v>
      </c>
      <c r="L14" s="13" t="s">
        <v>146</v>
      </c>
      <c r="M14" s="81" t="s">
        <v>154</v>
      </c>
      <c r="N14" s="13" t="s">
        <v>155</v>
      </c>
      <c r="O14" s="13" t="s">
        <v>156</v>
      </c>
      <c r="P14" s="37" t="s">
        <v>157</v>
      </c>
      <c r="Q14" t="str" cm="1">
        <f t="array" ref="Q14">IFERROR(INDEX('Benchmark Source Map'!$A$5:$A$13,MATCH(TRUE,(ISNUMBER(SEARCH('Benchmark Source Map'!$E$5:$E$13,$L14))+ISNUMBER(SEARCH('Benchmark Source Map'!$F$5:$F$13,$L14)))&gt;0,0)),"Other named sources")</f>
        <v>Aline Sales and Marketing Benchmark Report</v>
      </c>
    </row>
    <row r="15" spans="1:17" ht="45.95" customHeight="1">
      <c r="A15" s="6" t="s">
        <v>158</v>
      </c>
      <c r="B15" s="7" t="s">
        <v>25</v>
      </c>
      <c r="C15" s="7" t="s">
        <v>159</v>
      </c>
      <c r="D15" s="7" t="s">
        <v>160</v>
      </c>
      <c r="E15" s="8" t="s">
        <v>84</v>
      </c>
      <c r="F15" s="8" t="s">
        <v>85</v>
      </c>
      <c r="G15" s="8" t="s">
        <v>85</v>
      </c>
      <c r="H15" s="8" t="s">
        <v>85</v>
      </c>
      <c r="I15" s="8"/>
      <c r="J15" s="8"/>
      <c r="K15" s="7" t="s">
        <v>86</v>
      </c>
      <c r="L15" s="7" t="s">
        <v>146</v>
      </c>
      <c r="M15" s="81" t="s">
        <v>161</v>
      </c>
      <c r="N15" s="7" t="s">
        <v>155</v>
      </c>
      <c r="O15" s="7" t="s">
        <v>156</v>
      </c>
      <c r="P15" s="35" t="s">
        <v>162</v>
      </c>
      <c r="Q15" t="str" cm="1">
        <f t="array" ref="Q15">IFERROR(INDEX('Benchmark Source Map'!$A$5:$A$13,MATCH(TRUE,(ISNUMBER(SEARCH('Benchmark Source Map'!$E$5:$E$13,$L15))+ISNUMBER(SEARCH('Benchmark Source Map'!$F$5:$F$13,$L15)))&gt;0,0)),"Other named sources")</f>
        <v>Aline Sales and Marketing Benchmark Report</v>
      </c>
    </row>
    <row r="16" spans="1:17" ht="45.95" customHeight="1">
      <c r="A16" s="12" t="s">
        <v>163</v>
      </c>
      <c r="B16" s="13" t="s">
        <v>25</v>
      </c>
      <c r="C16" s="13" t="s">
        <v>164</v>
      </c>
      <c r="D16" s="13" t="s">
        <v>165</v>
      </c>
      <c r="E16" s="14" t="s">
        <v>84</v>
      </c>
      <c r="F16" s="14" t="s">
        <v>85</v>
      </c>
      <c r="G16" s="14" t="s">
        <v>85</v>
      </c>
      <c r="H16" s="14" t="s">
        <v>85</v>
      </c>
      <c r="I16" s="14"/>
      <c r="J16" s="14"/>
      <c r="K16" s="13" t="s">
        <v>86</v>
      </c>
      <c r="L16" s="13" t="s">
        <v>146</v>
      </c>
      <c r="M16" s="81" t="s">
        <v>166</v>
      </c>
      <c r="N16" s="13" t="s">
        <v>155</v>
      </c>
      <c r="O16" s="13" t="s">
        <v>156</v>
      </c>
      <c r="P16" s="37" t="s">
        <v>167</v>
      </c>
      <c r="Q16" t="str" cm="1">
        <f t="array" ref="Q16">IFERROR(INDEX('Benchmark Source Map'!$A$5:$A$13,MATCH(TRUE,(ISNUMBER(SEARCH('Benchmark Source Map'!$E$5:$E$13,$L16))+ISNUMBER(SEARCH('Benchmark Source Map'!$F$5:$F$13,$L16)))&gt;0,0)),"Other named sources")</f>
        <v>Aline Sales and Marketing Benchmark Report</v>
      </c>
    </row>
    <row r="17" spans="1:17" ht="45.95" customHeight="1">
      <c r="A17" s="6" t="s">
        <v>168</v>
      </c>
      <c r="B17" s="7" t="s">
        <v>25</v>
      </c>
      <c r="C17" s="7" t="s">
        <v>169</v>
      </c>
      <c r="D17" s="7" t="s">
        <v>170</v>
      </c>
      <c r="E17" s="8" t="s">
        <v>84</v>
      </c>
      <c r="F17" s="8" t="s">
        <v>85</v>
      </c>
      <c r="G17" s="8" t="s">
        <v>85</v>
      </c>
      <c r="H17" s="8" t="s">
        <v>85</v>
      </c>
      <c r="I17" s="8"/>
      <c r="J17" s="8"/>
      <c r="K17" s="7" t="s">
        <v>86</v>
      </c>
      <c r="L17" s="7" t="s">
        <v>146</v>
      </c>
      <c r="M17" s="81" t="s">
        <v>171</v>
      </c>
      <c r="N17" s="7" t="s">
        <v>155</v>
      </c>
      <c r="O17" s="7" t="s">
        <v>156</v>
      </c>
      <c r="P17" s="35" t="s">
        <v>172</v>
      </c>
      <c r="Q17" t="str" cm="1">
        <f t="array" ref="Q17">IFERROR(INDEX('Benchmark Source Map'!$A$5:$A$13,MATCH(TRUE,(ISNUMBER(SEARCH('Benchmark Source Map'!$E$5:$E$13,$L17))+ISNUMBER(SEARCH('Benchmark Source Map'!$F$5:$F$13,$L17)))&gt;0,0)),"Other named sources")</f>
        <v>Aline Sales and Marketing Benchmark Report</v>
      </c>
    </row>
    <row r="18" spans="1:17" ht="45.95" customHeight="1">
      <c r="A18" s="12" t="s">
        <v>173</v>
      </c>
      <c r="B18" s="13" t="s">
        <v>25</v>
      </c>
      <c r="C18" s="13" t="s">
        <v>174</v>
      </c>
      <c r="D18" s="13" t="s">
        <v>175</v>
      </c>
      <c r="E18" s="14" t="s">
        <v>176</v>
      </c>
      <c r="F18" s="14" t="s">
        <v>85</v>
      </c>
      <c r="G18" s="14" t="s">
        <v>85</v>
      </c>
      <c r="H18" s="14" t="s">
        <v>85</v>
      </c>
      <c r="I18" s="14"/>
      <c r="J18" s="14"/>
      <c r="K18" s="13" t="s">
        <v>86</v>
      </c>
      <c r="L18" s="13" t="s">
        <v>146</v>
      </c>
      <c r="M18" s="81" t="s">
        <v>177</v>
      </c>
      <c r="N18" s="13" t="s">
        <v>155</v>
      </c>
      <c r="O18" s="13" t="s">
        <v>156</v>
      </c>
      <c r="P18" s="37" t="s">
        <v>178</v>
      </c>
      <c r="Q18" t="str" cm="1">
        <f t="array" ref="Q18">IFERROR(INDEX('Benchmark Source Map'!$A$5:$A$13,MATCH(TRUE,(ISNUMBER(SEARCH('Benchmark Source Map'!$E$5:$E$13,$L18))+ISNUMBER(SEARCH('Benchmark Source Map'!$F$5:$F$13,$L18)))&gt;0,0)),"Other named sources")</f>
        <v>Aline Sales and Marketing Benchmark Report</v>
      </c>
    </row>
    <row r="19" spans="1:17" ht="45.95" customHeight="1">
      <c r="A19" s="6" t="s">
        <v>179</v>
      </c>
      <c r="B19" s="7" t="s">
        <v>25</v>
      </c>
      <c r="C19" s="7" t="s">
        <v>180</v>
      </c>
      <c r="D19" s="7" t="s">
        <v>181</v>
      </c>
      <c r="E19" s="8" t="s">
        <v>84</v>
      </c>
      <c r="F19" s="8" t="s">
        <v>85</v>
      </c>
      <c r="G19" s="8" t="s">
        <v>85</v>
      </c>
      <c r="H19" s="8" t="s">
        <v>85</v>
      </c>
      <c r="I19" s="8"/>
      <c r="J19" s="8"/>
      <c r="K19" s="7" t="s">
        <v>86</v>
      </c>
      <c r="L19" s="7" t="s">
        <v>146</v>
      </c>
      <c r="M19" s="81" t="s">
        <v>182</v>
      </c>
      <c r="N19" s="7" t="s">
        <v>155</v>
      </c>
      <c r="O19" s="7" t="s">
        <v>183</v>
      </c>
      <c r="P19" s="35" t="s">
        <v>184</v>
      </c>
      <c r="Q19" t="str" cm="1">
        <f t="array" ref="Q19">IFERROR(INDEX('Benchmark Source Map'!$A$5:$A$13,MATCH(TRUE,(ISNUMBER(SEARCH('Benchmark Source Map'!$E$5:$E$13,$L19))+ISNUMBER(SEARCH('Benchmark Source Map'!$F$5:$F$13,$L19)))&gt;0,0)),"Other named sources")</f>
        <v>Aline Sales and Marketing Benchmark Report</v>
      </c>
    </row>
    <row r="20" spans="1:17" ht="45.95" customHeight="1">
      <c r="A20" s="12" t="s">
        <v>185</v>
      </c>
      <c r="B20" s="13" t="s">
        <v>25</v>
      </c>
      <c r="C20" s="13" t="s">
        <v>186</v>
      </c>
      <c r="D20" s="13" t="s">
        <v>187</v>
      </c>
      <c r="E20" s="14" t="s">
        <v>84</v>
      </c>
      <c r="F20" s="14" t="s">
        <v>85</v>
      </c>
      <c r="G20" s="14" t="s">
        <v>85</v>
      </c>
      <c r="H20" s="14" t="s">
        <v>85</v>
      </c>
      <c r="I20" s="14"/>
      <c r="J20" s="14"/>
      <c r="K20" s="13" t="s">
        <v>86</v>
      </c>
      <c r="L20" s="13" t="s">
        <v>188</v>
      </c>
      <c r="M20" s="13" t="s">
        <v>189</v>
      </c>
      <c r="N20" s="13" t="s">
        <v>190</v>
      </c>
      <c r="O20" s="13"/>
      <c r="P20" s="37" t="s">
        <v>191</v>
      </c>
      <c r="Q20" t="str" cm="1">
        <f t="array" ref="Q20">IFERROR(INDEX('Benchmark Source Map'!$A$5:$A$13,MATCH(TRUE,(ISNUMBER(SEARCH('Benchmark Source Map'!$E$5:$E$13,$L20))+ISNUMBER(SEARCH('Benchmark Source Map'!$F$5:$F$13,$L20)))&gt;0,0)),"Other named sources")</f>
        <v>State of Seniors Housing (SOSH) 2025</v>
      </c>
    </row>
    <row r="21" spans="1:17" ht="45.95" customHeight="1">
      <c r="A21" s="9" t="s">
        <v>192</v>
      </c>
      <c r="B21" s="10" t="s">
        <v>25</v>
      </c>
      <c r="C21" s="10" t="s">
        <v>193</v>
      </c>
      <c r="D21" s="10" t="s">
        <v>194</v>
      </c>
      <c r="E21" s="11" t="s">
        <v>84</v>
      </c>
      <c r="F21" s="11" t="s">
        <v>85</v>
      </c>
      <c r="G21" s="11" t="s">
        <v>85</v>
      </c>
      <c r="H21" s="11" t="s">
        <v>85</v>
      </c>
      <c r="I21" s="11" t="s">
        <v>85</v>
      </c>
      <c r="J21" s="11"/>
      <c r="K21" s="10" t="s">
        <v>94</v>
      </c>
      <c r="L21" s="10" t="s">
        <v>119</v>
      </c>
      <c r="M21" s="10" t="s">
        <v>195</v>
      </c>
      <c r="N21" s="10" t="s">
        <v>196</v>
      </c>
      <c r="O21" s="10" t="s">
        <v>197</v>
      </c>
      <c r="P21" s="36" t="s">
        <v>198</v>
      </c>
      <c r="Q21" t="str" cm="1">
        <f t="array" ref="Q21">IFERROR(INDEX('Benchmark Source Map'!$A$5:$A$13,MATCH(TRUE,(ISNUMBER(SEARCH('Benchmark Source Map'!$E$5:$E$13,$L21))+ISNUMBER(SEARCH('Benchmark Source Map'!$F$5:$F$13,$L21)))&gt;0,0)),"Other named sources")</f>
        <v>Rob Clark - 2025 CCRC Performance Benchmarks and advisor internal standards</v>
      </c>
    </row>
    <row r="22" spans="1:17" ht="45.95" customHeight="1">
      <c r="A22" s="9" t="s">
        <v>199</v>
      </c>
      <c r="B22" s="10" t="s">
        <v>25</v>
      </c>
      <c r="C22" s="10" t="s">
        <v>200</v>
      </c>
      <c r="D22" s="10" t="s">
        <v>201</v>
      </c>
      <c r="E22" s="11" t="s">
        <v>84</v>
      </c>
      <c r="F22" s="11" t="s">
        <v>85</v>
      </c>
      <c r="G22" s="11" t="s">
        <v>85</v>
      </c>
      <c r="H22" s="11" t="s">
        <v>85</v>
      </c>
      <c r="I22" s="11" t="s">
        <v>85</v>
      </c>
      <c r="J22" s="11"/>
      <c r="K22" s="10" t="s">
        <v>94</v>
      </c>
      <c r="L22" s="10" t="s">
        <v>202</v>
      </c>
      <c r="M22" s="10" t="s">
        <v>203</v>
      </c>
      <c r="N22" s="59" t="s">
        <v>204</v>
      </c>
      <c r="O22" s="10" t="s">
        <v>205</v>
      </c>
      <c r="P22" s="36" t="s">
        <v>206</v>
      </c>
      <c r="Q22" s="33" t="str" cm="1">
        <f t="array" ref="Q22">IFERROR(INDEX('Benchmark Source Map'!$A$5:$A$13,MATCH(TRUE,(ISNUMBER(SEARCH('Benchmark Source Map'!$E$5:$E$13,$L22))+ISNUMBER(SEARCH('Benchmark Source Map'!$F$5:$F$13,$L22)))&gt;0,0)),"Other named sources")</f>
        <v>Rob Clark - 2025 CCRC Performance Benchmarks and advisor internal standards</v>
      </c>
    </row>
    <row r="23" spans="1:17" ht="45.95" customHeight="1">
      <c r="A23" s="9" t="s">
        <v>207</v>
      </c>
      <c r="B23" s="10" t="s">
        <v>25</v>
      </c>
      <c r="C23" s="10" t="s">
        <v>208</v>
      </c>
      <c r="D23" s="10" t="s">
        <v>209</v>
      </c>
      <c r="E23" s="11" t="s">
        <v>102</v>
      </c>
      <c r="F23" s="11" t="s">
        <v>85</v>
      </c>
      <c r="G23" s="11" t="s">
        <v>85</v>
      </c>
      <c r="H23" s="11" t="s">
        <v>85</v>
      </c>
      <c r="I23" s="11" t="s">
        <v>85</v>
      </c>
      <c r="J23" s="11"/>
      <c r="K23" s="10" t="s">
        <v>94</v>
      </c>
      <c r="L23" s="10" t="s">
        <v>210</v>
      </c>
      <c r="M23" s="10" t="s">
        <v>211</v>
      </c>
      <c r="N23" s="59" t="s">
        <v>204</v>
      </c>
      <c r="O23" s="10" t="s">
        <v>212</v>
      </c>
      <c r="P23" s="36" t="s">
        <v>213</v>
      </c>
      <c r="Q23" s="33" t="str" cm="1">
        <f t="array" ref="Q23">IFERROR(INDEX('Benchmark Source Map'!$A$5:$A$13,MATCH(TRUE,(ISNUMBER(SEARCH('Benchmark Source Map'!$E$5:$E$13,$L23))+ISNUMBER(SEARCH('Benchmark Source Map'!$F$5:$F$13,$L23)))&gt;0,0)),"Other named sources")</f>
        <v>Rob Clark - 2025 CCRC Performance Benchmarks and advisor internal standards</v>
      </c>
    </row>
    <row r="24" spans="1:17" ht="45.95" customHeight="1">
      <c r="A24" s="12" t="s">
        <v>214</v>
      </c>
      <c r="B24" s="13" t="s">
        <v>215</v>
      </c>
      <c r="C24" s="13" t="s">
        <v>216</v>
      </c>
      <c r="D24" s="13" t="s">
        <v>217</v>
      </c>
      <c r="E24" s="14" t="s">
        <v>102</v>
      </c>
      <c r="F24" s="14"/>
      <c r="G24" s="14" t="s">
        <v>85</v>
      </c>
      <c r="H24" s="14" t="s">
        <v>85</v>
      </c>
      <c r="I24" s="14" t="s">
        <v>85</v>
      </c>
      <c r="J24" s="14"/>
      <c r="K24" s="13" t="s">
        <v>218</v>
      </c>
      <c r="L24" s="13" t="s">
        <v>119</v>
      </c>
      <c r="M24" s="13" t="s">
        <v>219</v>
      </c>
      <c r="N24" s="13" t="s">
        <v>220</v>
      </c>
      <c r="O24" s="13" t="s">
        <v>221</v>
      </c>
      <c r="P24" s="37" t="s">
        <v>222</v>
      </c>
      <c r="Q24" t="str" cm="1">
        <f t="array" ref="Q24">IFERROR(INDEX('Benchmark Source Map'!$A$5:$A$13,MATCH(TRUE,(ISNUMBER(SEARCH('Benchmark Source Map'!$E$5:$E$13,$L24))+ISNUMBER(SEARCH('Benchmark Source Map'!$F$5:$F$13,$L24)))&gt;0,0)),"Other named sources")</f>
        <v>Rob Clark - 2025 CCRC Performance Benchmarks and advisor internal standards</v>
      </c>
    </row>
    <row r="25" spans="1:17" ht="45.95" customHeight="1">
      <c r="A25" s="6" t="s">
        <v>223</v>
      </c>
      <c r="B25" s="7" t="s">
        <v>215</v>
      </c>
      <c r="C25" s="7" t="s">
        <v>224</v>
      </c>
      <c r="D25" s="7" t="s">
        <v>225</v>
      </c>
      <c r="E25" s="8" t="s">
        <v>102</v>
      </c>
      <c r="F25" s="8"/>
      <c r="G25" s="8" t="s">
        <v>85</v>
      </c>
      <c r="H25" s="8" t="s">
        <v>85</v>
      </c>
      <c r="I25" s="8"/>
      <c r="J25" s="8"/>
      <c r="K25" s="7" t="s">
        <v>86</v>
      </c>
      <c r="L25" s="7" t="s">
        <v>95</v>
      </c>
      <c r="M25" s="7" t="s">
        <v>226</v>
      </c>
      <c r="N25" s="7" t="s">
        <v>227</v>
      </c>
      <c r="O25" s="7" t="s">
        <v>228</v>
      </c>
      <c r="P25" s="35" t="s">
        <v>229</v>
      </c>
      <c r="Q25" t="str" cm="1">
        <f t="array" ref="Q25">IFERROR(INDEX('Benchmark Source Map'!$A$5:$A$13,MATCH(TRUE,(ISNUMBER(SEARCH('Benchmark Source Map'!$E$5:$E$13,$L25))+ISNUMBER(SEARCH('Benchmark Source Map'!$F$5:$F$13,$L25)))&gt;0,0)),"Other named sources")</f>
        <v>Rob Clark - 2025 CCRC Performance Benchmarks and advisor internal standards</v>
      </c>
    </row>
    <row r="26" spans="1:17" ht="45.95" customHeight="1">
      <c r="A26" s="12" t="s">
        <v>230</v>
      </c>
      <c r="B26" s="13" t="s">
        <v>215</v>
      </c>
      <c r="C26" s="13" t="s">
        <v>231</v>
      </c>
      <c r="D26" s="13" t="s">
        <v>232</v>
      </c>
      <c r="E26" s="14" t="s">
        <v>102</v>
      </c>
      <c r="F26" s="14"/>
      <c r="G26" s="14" t="s">
        <v>85</v>
      </c>
      <c r="H26" s="14" t="s">
        <v>85</v>
      </c>
      <c r="I26" s="14"/>
      <c r="J26" s="14"/>
      <c r="K26" s="13" t="s">
        <v>86</v>
      </c>
      <c r="L26" s="13" t="s">
        <v>233</v>
      </c>
      <c r="M26" s="13" t="s">
        <v>234</v>
      </c>
      <c r="N26" s="13" t="s">
        <v>220</v>
      </c>
      <c r="O26" s="13" t="s">
        <v>235</v>
      </c>
      <c r="P26" s="37" t="s">
        <v>236</v>
      </c>
      <c r="Q26" t="str" cm="1">
        <f t="array" ref="Q26">IFERROR(INDEX('Benchmark Source Map'!$A$5:$A$13,MATCH(TRUE,(ISNUMBER(SEARCH('Benchmark Source Map'!$E$5:$E$13,$L26))+ISNUMBER(SEARCH('Benchmark Source Map'!$F$5:$F$13,$L26)))&gt;0,0)),"Other named sources")</f>
        <v>Rob Clark - 2025 CCRC Performance Benchmarks and advisor internal standards</v>
      </c>
    </row>
    <row r="27" spans="1:17" ht="45.95" customHeight="1">
      <c r="A27" s="6" t="s">
        <v>237</v>
      </c>
      <c r="B27" s="7" t="s">
        <v>215</v>
      </c>
      <c r="C27" s="7" t="s">
        <v>238</v>
      </c>
      <c r="D27" s="7" t="s">
        <v>239</v>
      </c>
      <c r="E27" s="8" t="s">
        <v>84</v>
      </c>
      <c r="F27" s="8"/>
      <c r="G27" s="8" t="s">
        <v>85</v>
      </c>
      <c r="H27" s="8" t="s">
        <v>85</v>
      </c>
      <c r="I27" s="8"/>
      <c r="J27" s="8"/>
      <c r="K27" s="7" t="s">
        <v>86</v>
      </c>
      <c r="L27" s="7" t="s">
        <v>240</v>
      </c>
      <c r="M27" s="7" t="s">
        <v>241</v>
      </c>
      <c r="N27" s="7" t="s">
        <v>220</v>
      </c>
      <c r="O27" s="7" t="s">
        <v>242</v>
      </c>
      <c r="P27" s="35" t="s">
        <v>243</v>
      </c>
      <c r="Q27" t="str" cm="1">
        <f t="array" ref="Q27">IFERROR(INDEX('Benchmark Source Map'!$A$5:$A$13,MATCH(TRUE,(ISNUMBER(SEARCH('Benchmark Source Map'!$E$5:$E$13,$L27))+ISNUMBER(SEARCH('Benchmark Source Map'!$F$5:$F$13,$L27)))&gt;0,0)),"Other named sources")</f>
        <v>CMS and regulatory requirements (Five-Star Technical Users' Guide, RAI Manual, 42 CFR, Life Safety Code, state regulation)</v>
      </c>
    </row>
    <row r="28" spans="1:17" ht="45.95" customHeight="1">
      <c r="A28" s="12" t="s">
        <v>244</v>
      </c>
      <c r="B28" s="13" t="s">
        <v>215</v>
      </c>
      <c r="C28" s="13" t="s">
        <v>245</v>
      </c>
      <c r="D28" s="13" t="s">
        <v>246</v>
      </c>
      <c r="E28" s="14" t="s">
        <v>247</v>
      </c>
      <c r="F28" s="14"/>
      <c r="G28" s="14" t="s">
        <v>85</v>
      </c>
      <c r="H28" s="14" t="s">
        <v>85</v>
      </c>
      <c r="I28" s="14"/>
      <c r="J28" s="14"/>
      <c r="K28" s="13" t="s">
        <v>86</v>
      </c>
      <c r="L28" s="13" t="s">
        <v>248</v>
      </c>
      <c r="M28" s="13" t="s">
        <v>249</v>
      </c>
      <c r="N28" s="13" t="s">
        <v>250</v>
      </c>
      <c r="O28" s="13" t="s">
        <v>251</v>
      </c>
      <c r="P28" s="37" t="s">
        <v>252</v>
      </c>
      <c r="Q28" t="str" cm="1">
        <f t="array" ref="Q28">IFERROR(INDEX('Benchmark Source Map'!$A$5:$A$13,MATCH(TRUE,(ISNUMBER(SEARCH('Benchmark Source Map'!$E$5:$E$13,$L28))+ISNUMBER(SEARCH('Benchmark Source Map'!$F$5:$F$13,$L28)))&gt;0,0)),"Other named sources")</f>
        <v>State of Seniors Housing (SOSH) 2025</v>
      </c>
    </row>
    <row r="29" spans="1:17" ht="45.95" customHeight="1">
      <c r="A29" s="6" t="s">
        <v>253</v>
      </c>
      <c r="B29" s="7" t="s">
        <v>215</v>
      </c>
      <c r="C29" s="7" t="s">
        <v>254</v>
      </c>
      <c r="D29" s="7" t="s">
        <v>255</v>
      </c>
      <c r="E29" s="8" t="s">
        <v>102</v>
      </c>
      <c r="F29" s="8"/>
      <c r="G29" s="8" t="s">
        <v>85</v>
      </c>
      <c r="H29" s="8" t="s">
        <v>85</v>
      </c>
      <c r="I29" s="8"/>
      <c r="J29" s="8"/>
      <c r="K29" s="7" t="s">
        <v>86</v>
      </c>
      <c r="L29" s="7" t="s">
        <v>256</v>
      </c>
      <c r="M29" s="7" t="s">
        <v>257</v>
      </c>
      <c r="N29" s="7" t="s">
        <v>220</v>
      </c>
      <c r="O29" s="7" t="s">
        <v>258</v>
      </c>
      <c r="P29" s="35" t="s">
        <v>259</v>
      </c>
      <c r="Q29" t="str" cm="1">
        <f t="array" ref="Q29">IFERROR(INDEX('Benchmark Source Map'!$A$5:$A$13,MATCH(TRUE,(ISNUMBER(SEARCH('Benchmark Source Map'!$E$5:$E$13,$L29))+ISNUMBER(SEARCH('Benchmark Source Map'!$F$5:$F$13,$L29)))&gt;0,0)),"Other named sources")</f>
        <v>CMS and regulatory requirements (Five-Star Technical Users' Guide, RAI Manual, 42 CFR, Life Safety Code, state regulation)</v>
      </c>
    </row>
    <row r="30" spans="1:17" ht="45.95" customHeight="1">
      <c r="A30" s="12" t="s">
        <v>260</v>
      </c>
      <c r="B30" s="13" t="s">
        <v>215</v>
      </c>
      <c r="C30" s="13" t="s">
        <v>261</v>
      </c>
      <c r="D30" s="13" t="s">
        <v>262</v>
      </c>
      <c r="E30" s="14" t="s">
        <v>102</v>
      </c>
      <c r="F30" s="14"/>
      <c r="G30" s="14" t="s">
        <v>85</v>
      </c>
      <c r="H30" s="14" t="s">
        <v>85</v>
      </c>
      <c r="I30" s="14"/>
      <c r="J30" s="14"/>
      <c r="K30" s="13" t="s">
        <v>86</v>
      </c>
      <c r="L30" s="13" t="s">
        <v>263</v>
      </c>
      <c r="M30" s="13" t="s">
        <v>264</v>
      </c>
      <c r="N30" s="13" t="s">
        <v>134</v>
      </c>
      <c r="O30" s="13" t="s">
        <v>265</v>
      </c>
      <c r="P30" s="37" t="s">
        <v>266</v>
      </c>
      <c r="Q30" t="str" cm="1">
        <f t="array" ref="Q30">IFERROR(INDEX('Benchmark Source Map'!$A$5:$A$13,MATCH(TRUE,(ISNUMBER(SEARCH('Benchmark Source Map'!$E$5:$E$13,$L30))+ISNUMBER(SEARCH('Benchmark Source Map'!$F$5:$F$13,$L30)))&gt;0,0)),"Other named sources")</f>
        <v>CMS and regulatory requirements (Five-Star Technical Users' Guide, RAI Manual, 42 CFR, Life Safety Code, state regulation)</v>
      </c>
    </row>
    <row r="31" spans="1:17" ht="45.95" customHeight="1">
      <c r="A31" s="6" t="s">
        <v>267</v>
      </c>
      <c r="B31" s="7" t="s">
        <v>215</v>
      </c>
      <c r="C31" s="7" t="s">
        <v>268</v>
      </c>
      <c r="D31" s="7" t="s">
        <v>269</v>
      </c>
      <c r="E31" s="8" t="s">
        <v>102</v>
      </c>
      <c r="F31" s="8"/>
      <c r="G31" s="8" t="s">
        <v>85</v>
      </c>
      <c r="H31" s="8" t="s">
        <v>85</v>
      </c>
      <c r="I31" s="8"/>
      <c r="J31" s="8"/>
      <c r="K31" s="7" t="s">
        <v>86</v>
      </c>
      <c r="L31" s="7" t="s">
        <v>270</v>
      </c>
      <c r="M31" s="7" t="s">
        <v>271</v>
      </c>
      <c r="N31" s="7" t="s">
        <v>220</v>
      </c>
      <c r="O31" s="7" t="s">
        <v>272</v>
      </c>
      <c r="P31" s="35" t="s">
        <v>273</v>
      </c>
      <c r="Q31" t="str" cm="1">
        <f t="array" ref="Q31">IFERROR(INDEX('Benchmark Source Map'!$A$5:$A$13,MATCH(TRUE,(ISNUMBER(SEARCH('Benchmark Source Map'!$E$5:$E$13,$L31))+ISNUMBER(SEARCH('Benchmark Source Map'!$F$5:$F$13,$L31)))&gt;0,0)),"Other named sources")</f>
        <v>CMS and regulatory requirements (Five-Star Technical Users' Guide, RAI Manual, 42 CFR, Life Safety Code, state regulation)</v>
      </c>
    </row>
    <row r="32" spans="1:17" ht="45.95" customHeight="1">
      <c r="A32" s="12" t="s">
        <v>274</v>
      </c>
      <c r="B32" s="13" t="s">
        <v>215</v>
      </c>
      <c r="C32" s="13" t="s">
        <v>275</v>
      </c>
      <c r="D32" s="13" t="s">
        <v>276</v>
      </c>
      <c r="E32" s="14" t="s">
        <v>84</v>
      </c>
      <c r="F32" s="14"/>
      <c r="G32" s="14"/>
      <c r="H32" s="14"/>
      <c r="I32" s="14" t="s">
        <v>85</v>
      </c>
      <c r="J32" s="14"/>
      <c r="K32" s="13" t="s">
        <v>277</v>
      </c>
      <c r="L32" s="13" t="s">
        <v>278</v>
      </c>
      <c r="M32" s="13" t="s">
        <v>279</v>
      </c>
      <c r="N32" s="13" t="s">
        <v>280</v>
      </c>
      <c r="O32" s="13" t="s">
        <v>281</v>
      </c>
      <c r="P32" s="37" t="s">
        <v>282</v>
      </c>
      <c r="Q32" t="str" cm="1">
        <f t="array" ref="Q32">IFERROR(INDEX('Benchmark Source Map'!$A$5:$A$13,MATCH(TRUE,(ISNUMBER(SEARCH('Benchmark Source Map'!$E$5:$E$13,$L32))+ISNUMBER(SEARCH('Benchmark Source Map'!$F$5:$F$13,$L32)))&gt;0,0)),"Other named sources")</f>
        <v>CMS and regulatory requirements (Five-Star Technical Users' Guide, RAI Manual, 42 CFR, Life Safety Code, state regulation)</v>
      </c>
    </row>
    <row r="33" spans="1:17" ht="45.95" customHeight="1">
      <c r="A33" s="6" t="s">
        <v>283</v>
      </c>
      <c r="B33" s="7" t="s">
        <v>215</v>
      </c>
      <c r="C33" s="7" t="s">
        <v>284</v>
      </c>
      <c r="D33" s="7" t="s">
        <v>285</v>
      </c>
      <c r="E33" s="8" t="s">
        <v>102</v>
      </c>
      <c r="F33" s="8"/>
      <c r="G33" s="8"/>
      <c r="H33" s="8"/>
      <c r="I33" s="8" t="s">
        <v>85</v>
      </c>
      <c r="J33" s="8"/>
      <c r="K33" s="7" t="s">
        <v>277</v>
      </c>
      <c r="L33" s="7" t="s">
        <v>286</v>
      </c>
      <c r="M33" s="7" t="s">
        <v>287</v>
      </c>
      <c r="N33" s="7" t="s">
        <v>280</v>
      </c>
      <c r="O33" s="7" t="s">
        <v>288</v>
      </c>
      <c r="P33" s="35" t="s">
        <v>289</v>
      </c>
      <c r="Q33" t="str" cm="1">
        <f t="array" ref="Q33">IFERROR(INDEX('Benchmark Source Map'!$A$5:$A$13,MATCH(TRUE,(ISNUMBER(SEARCH('Benchmark Source Map'!$E$5:$E$13,$L33))+ISNUMBER(SEARCH('Benchmark Source Map'!$F$5:$F$13,$L33)))&gt;0,0)),"Other named sources")</f>
        <v>CMS and regulatory requirements (Five-Star Technical Users' Guide, RAI Manual, 42 CFR, Life Safety Code, state regulation)</v>
      </c>
    </row>
    <row r="34" spans="1:17" ht="45.95" customHeight="1">
      <c r="A34" s="12" t="s">
        <v>290</v>
      </c>
      <c r="B34" s="13" t="s">
        <v>215</v>
      </c>
      <c r="C34" s="13" t="s">
        <v>291</v>
      </c>
      <c r="D34" s="13" t="s">
        <v>292</v>
      </c>
      <c r="E34" s="14" t="s">
        <v>247</v>
      </c>
      <c r="F34" s="14"/>
      <c r="G34" s="14"/>
      <c r="H34" s="14"/>
      <c r="I34" s="14" t="s">
        <v>85</v>
      </c>
      <c r="J34" s="14"/>
      <c r="K34" s="13" t="s">
        <v>277</v>
      </c>
      <c r="L34" s="13" t="s">
        <v>293</v>
      </c>
      <c r="M34" s="13" t="s">
        <v>294</v>
      </c>
      <c r="N34" s="13" t="s">
        <v>280</v>
      </c>
      <c r="O34" s="13" t="s">
        <v>295</v>
      </c>
      <c r="P34" s="37" t="s">
        <v>296</v>
      </c>
      <c r="Q34" t="str" cm="1">
        <f t="array" ref="Q34">IFERROR(INDEX('Benchmark Source Map'!$A$5:$A$13,MATCH(TRUE,(ISNUMBER(SEARCH('Benchmark Source Map'!$E$5:$E$13,$L34))+ISNUMBER(SEARCH('Benchmark Source Map'!$F$5:$F$13,$L34)))&gt;0,0)),"Other named sources")</f>
        <v>CMS and regulatory requirements (Five-Star Technical Users' Guide, RAI Manual, 42 CFR, Life Safety Code, state regulation)</v>
      </c>
    </row>
    <row r="35" spans="1:17" ht="45.95" customHeight="1">
      <c r="A35" s="6" t="s">
        <v>297</v>
      </c>
      <c r="B35" s="7" t="s">
        <v>215</v>
      </c>
      <c r="C35" s="7" t="s">
        <v>298</v>
      </c>
      <c r="D35" s="7" t="s">
        <v>299</v>
      </c>
      <c r="E35" s="8" t="s">
        <v>84</v>
      </c>
      <c r="F35" s="8"/>
      <c r="G35" s="8"/>
      <c r="H35" s="8"/>
      <c r="I35" s="8" t="s">
        <v>85</v>
      </c>
      <c r="J35" s="8"/>
      <c r="K35" s="7" t="s">
        <v>277</v>
      </c>
      <c r="L35" s="7" t="s">
        <v>300</v>
      </c>
      <c r="M35" s="7" t="s">
        <v>301</v>
      </c>
      <c r="N35" s="7" t="s">
        <v>220</v>
      </c>
      <c r="O35" s="7" t="s">
        <v>302</v>
      </c>
      <c r="P35" s="35" t="s">
        <v>303</v>
      </c>
      <c r="Q35" t="str" cm="1">
        <f t="array" ref="Q35">IFERROR(INDEX('Benchmark Source Map'!$A$5:$A$13,MATCH(TRUE,(ISNUMBER(SEARCH('Benchmark Source Map'!$E$5:$E$13,$L35))+ISNUMBER(SEARCH('Benchmark Source Map'!$F$5:$F$13,$L35)))&gt;0,0)),"Other named sources")</f>
        <v>CMS and regulatory requirements (Five-Star Technical Users' Guide, RAI Manual, 42 CFR, Life Safety Code, state regulation)</v>
      </c>
    </row>
    <row r="36" spans="1:17" ht="45.95" customHeight="1">
      <c r="A36" s="12" t="s">
        <v>304</v>
      </c>
      <c r="B36" s="13" t="s">
        <v>305</v>
      </c>
      <c r="C36" s="13" t="s">
        <v>306</v>
      </c>
      <c r="D36" s="13" t="s">
        <v>307</v>
      </c>
      <c r="E36" s="14" t="s">
        <v>84</v>
      </c>
      <c r="F36" s="14"/>
      <c r="G36" s="14"/>
      <c r="H36" s="14"/>
      <c r="I36" s="14" t="s">
        <v>85</v>
      </c>
      <c r="J36" s="14"/>
      <c r="K36" s="13" t="s">
        <v>277</v>
      </c>
      <c r="L36" s="13" t="s">
        <v>308</v>
      </c>
      <c r="M36" s="13" t="s">
        <v>309</v>
      </c>
      <c r="N36" s="13" t="s">
        <v>310</v>
      </c>
      <c r="O36" s="13"/>
      <c r="P36" s="37" t="s">
        <v>311</v>
      </c>
      <c r="Q36" t="str" cm="1">
        <f t="array" ref="Q36">IFERROR(INDEX('Benchmark Source Map'!$A$5:$A$13,MATCH(TRUE,(ISNUMBER(SEARCH('Benchmark Source Map'!$E$5:$E$13,$L36))+ISNUMBER(SEARCH('Benchmark Source Map'!$F$5:$F$13,$L36)))&gt;0,0)),"Other named sources")</f>
        <v>CMS and regulatory requirements (Five-Star Technical Users' Guide, RAI Manual, 42 CFR, Life Safety Code, state regulation)</v>
      </c>
    </row>
    <row r="37" spans="1:17" ht="45.95" customHeight="1">
      <c r="A37" s="6" t="s">
        <v>312</v>
      </c>
      <c r="B37" s="7" t="s">
        <v>305</v>
      </c>
      <c r="C37" s="7" t="s">
        <v>313</v>
      </c>
      <c r="D37" s="7" t="s">
        <v>314</v>
      </c>
      <c r="E37" s="8" t="s">
        <v>84</v>
      </c>
      <c r="F37" s="8"/>
      <c r="G37" s="8"/>
      <c r="H37" s="8"/>
      <c r="I37" s="8" t="s">
        <v>85</v>
      </c>
      <c r="J37" s="8"/>
      <c r="K37" s="7" t="s">
        <v>277</v>
      </c>
      <c r="L37" s="7" t="s">
        <v>315</v>
      </c>
      <c r="M37" s="7" t="s">
        <v>316</v>
      </c>
      <c r="N37" s="7" t="s">
        <v>317</v>
      </c>
      <c r="O37" s="7"/>
      <c r="P37" s="35" t="s">
        <v>318</v>
      </c>
      <c r="Q37" t="str" cm="1">
        <f t="array" ref="Q37">IFERROR(INDEX('Benchmark Source Map'!$A$5:$A$13,MATCH(TRUE,(ISNUMBER(SEARCH('Benchmark Source Map'!$E$5:$E$13,$L37))+ISNUMBER(SEARCH('Benchmark Source Map'!$F$5:$F$13,$L37)))&gt;0,0)),"Other named sources")</f>
        <v>CMS and regulatory requirements (Five-Star Technical Users' Guide, RAI Manual, 42 CFR, Life Safety Code, state regulation)</v>
      </c>
    </row>
    <row r="38" spans="1:17" ht="45.95" customHeight="1">
      <c r="A38" s="12" t="s">
        <v>319</v>
      </c>
      <c r="B38" s="13" t="s">
        <v>305</v>
      </c>
      <c r="C38" s="13" t="s">
        <v>320</v>
      </c>
      <c r="D38" s="13" t="s">
        <v>321</v>
      </c>
      <c r="E38" s="14" t="s">
        <v>84</v>
      </c>
      <c r="F38" s="14"/>
      <c r="G38" s="14"/>
      <c r="H38" s="14"/>
      <c r="I38" s="14" t="s">
        <v>85</v>
      </c>
      <c r="J38" s="14"/>
      <c r="K38" s="13" t="s">
        <v>277</v>
      </c>
      <c r="L38" s="13" t="s">
        <v>322</v>
      </c>
      <c r="M38" s="13" t="s">
        <v>323</v>
      </c>
      <c r="N38" s="13" t="s">
        <v>324</v>
      </c>
      <c r="O38" s="13"/>
      <c r="P38" s="37" t="s">
        <v>325</v>
      </c>
      <c r="Q38" t="str" cm="1">
        <f t="array" ref="Q38">IFERROR(INDEX('Benchmark Source Map'!$A$5:$A$13,MATCH(TRUE,(ISNUMBER(SEARCH('Benchmark Source Map'!$E$5:$E$13,$L38))+ISNUMBER(SEARCH('Benchmark Source Map'!$F$5:$F$13,$L38)))&gt;0,0)),"Other named sources")</f>
        <v>CMS and regulatory requirements (Five-Star Technical Users' Guide, RAI Manual, 42 CFR, Life Safety Code, state regulation)</v>
      </c>
    </row>
    <row r="39" spans="1:17" ht="45.95" customHeight="1">
      <c r="A39" s="6" t="s">
        <v>326</v>
      </c>
      <c r="B39" s="7" t="s">
        <v>305</v>
      </c>
      <c r="C39" s="7" t="s">
        <v>327</v>
      </c>
      <c r="D39" s="7" t="s">
        <v>328</v>
      </c>
      <c r="E39" s="8" t="s">
        <v>84</v>
      </c>
      <c r="F39" s="8"/>
      <c r="G39" s="8"/>
      <c r="H39" s="8"/>
      <c r="I39" s="8" t="s">
        <v>85</v>
      </c>
      <c r="J39" s="8"/>
      <c r="K39" s="7" t="s">
        <v>277</v>
      </c>
      <c r="L39" s="7" t="s">
        <v>329</v>
      </c>
      <c r="M39" s="7" t="s">
        <v>330</v>
      </c>
      <c r="N39" s="7" t="s">
        <v>317</v>
      </c>
      <c r="O39" s="7"/>
      <c r="P39" s="35" t="s">
        <v>331</v>
      </c>
      <c r="Q39" t="str" cm="1">
        <f t="array" ref="Q39">IFERROR(INDEX('Benchmark Source Map'!$A$5:$A$13,MATCH(TRUE,(ISNUMBER(SEARCH('Benchmark Source Map'!$E$5:$E$13,$L39))+ISNUMBER(SEARCH('Benchmark Source Map'!$F$5:$F$13,$L39)))&gt;0,0)),"Other named sources")</f>
        <v>CMS and regulatory requirements (Five-Star Technical Users' Guide, RAI Manual, 42 CFR, Life Safety Code, state regulation)</v>
      </c>
    </row>
    <row r="40" spans="1:17" ht="45.95" customHeight="1">
      <c r="A40" s="12" t="s">
        <v>332</v>
      </c>
      <c r="B40" s="13" t="s">
        <v>305</v>
      </c>
      <c r="C40" s="13" t="s">
        <v>333</v>
      </c>
      <c r="D40" s="13" t="s">
        <v>334</v>
      </c>
      <c r="E40" s="14" t="s">
        <v>102</v>
      </c>
      <c r="F40" s="14"/>
      <c r="G40" s="14"/>
      <c r="H40" s="14"/>
      <c r="I40" s="14" t="s">
        <v>85</v>
      </c>
      <c r="J40" s="14"/>
      <c r="K40" s="13" t="s">
        <v>277</v>
      </c>
      <c r="L40" s="13" t="s">
        <v>335</v>
      </c>
      <c r="M40" s="13" t="s">
        <v>336</v>
      </c>
      <c r="N40" s="13" t="s">
        <v>317</v>
      </c>
      <c r="O40" s="13" t="s">
        <v>337</v>
      </c>
      <c r="P40" s="37" t="s">
        <v>338</v>
      </c>
      <c r="Q40" t="str" cm="1">
        <f t="array" ref="Q40">IFERROR(INDEX('Benchmark Source Map'!$A$5:$A$13,MATCH(TRUE,(ISNUMBER(SEARCH('Benchmark Source Map'!$E$5:$E$13,$L40))+ISNUMBER(SEARCH('Benchmark Source Map'!$F$5:$F$13,$L40)))&gt;0,0)),"Other named sources")</f>
        <v>CMS and regulatory requirements (Five-Star Technical Users' Guide, RAI Manual, 42 CFR, Life Safety Code, state regulation)</v>
      </c>
    </row>
    <row r="41" spans="1:17" ht="45.95" customHeight="1">
      <c r="A41" s="6" t="s">
        <v>339</v>
      </c>
      <c r="B41" s="7" t="s">
        <v>305</v>
      </c>
      <c r="C41" s="7" t="s">
        <v>340</v>
      </c>
      <c r="D41" s="7" t="s">
        <v>341</v>
      </c>
      <c r="E41" s="8" t="s">
        <v>102</v>
      </c>
      <c r="F41" s="8"/>
      <c r="G41" s="8"/>
      <c r="H41" s="8"/>
      <c r="I41" s="8" t="s">
        <v>85</v>
      </c>
      <c r="J41" s="8"/>
      <c r="K41" s="7" t="s">
        <v>277</v>
      </c>
      <c r="L41" s="7" t="s">
        <v>342</v>
      </c>
      <c r="M41" s="7" t="s">
        <v>343</v>
      </c>
      <c r="N41" s="7" t="s">
        <v>317</v>
      </c>
      <c r="O41" s="7"/>
      <c r="P41" s="35" t="s">
        <v>344</v>
      </c>
      <c r="Q41" t="str" cm="1">
        <f t="array" ref="Q41">IFERROR(INDEX('Benchmark Source Map'!$A$5:$A$13,MATCH(TRUE,(ISNUMBER(SEARCH('Benchmark Source Map'!$E$5:$E$13,$L41))+ISNUMBER(SEARCH('Benchmark Source Map'!$F$5:$F$13,$L41)))&gt;0,0)),"Other named sources")</f>
        <v>CMS and regulatory requirements (Five-Star Technical Users' Guide, RAI Manual, 42 CFR, Life Safety Code, state regulation)</v>
      </c>
    </row>
    <row r="42" spans="1:17" ht="45.95" customHeight="1">
      <c r="A42" s="12" t="s">
        <v>345</v>
      </c>
      <c r="B42" s="13" t="s">
        <v>305</v>
      </c>
      <c r="C42" s="13" t="s">
        <v>346</v>
      </c>
      <c r="D42" s="13" t="s">
        <v>347</v>
      </c>
      <c r="E42" s="14" t="s">
        <v>102</v>
      </c>
      <c r="F42" s="14"/>
      <c r="G42" s="14"/>
      <c r="H42" s="14"/>
      <c r="I42" s="14" t="s">
        <v>85</v>
      </c>
      <c r="J42" s="14"/>
      <c r="K42" s="13" t="s">
        <v>277</v>
      </c>
      <c r="L42" s="13" t="s">
        <v>335</v>
      </c>
      <c r="M42" s="13" t="s">
        <v>348</v>
      </c>
      <c r="N42" s="13" t="s">
        <v>317</v>
      </c>
      <c r="O42" s="13"/>
      <c r="P42" s="37" t="s">
        <v>349</v>
      </c>
      <c r="Q42" t="str" cm="1">
        <f t="array" ref="Q42">IFERROR(INDEX('Benchmark Source Map'!$A$5:$A$13,MATCH(TRUE,(ISNUMBER(SEARCH('Benchmark Source Map'!$E$5:$E$13,$L42))+ISNUMBER(SEARCH('Benchmark Source Map'!$F$5:$F$13,$L42)))&gt;0,0)),"Other named sources")</f>
        <v>CMS and regulatory requirements (Five-Star Technical Users' Guide, RAI Manual, 42 CFR, Life Safety Code, state regulation)</v>
      </c>
    </row>
    <row r="43" spans="1:17" ht="45.95" customHeight="1">
      <c r="A43" s="6" t="s">
        <v>350</v>
      </c>
      <c r="B43" s="7" t="s">
        <v>305</v>
      </c>
      <c r="C43" s="7" t="s">
        <v>351</v>
      </c>
      <c r="D43" s="7" t="s">
        <v>352</v>
      </c>
      <c r="E43" s="8" t="s">
        <v>102</v>
      </c>
      <c r="F43" s="8"/>
      <c r="G43" s="8"/>
      <c r="H43" s="8"/>
      <c r="I43" s="8" t="s">
        <v>85</v>
      </c>
      <c r="J43" s="8"/>
      <c r="K43" s="7" t="s">
        <v>277</v>
      </c>
      <c r="L43" s="7" t="s">
        <v>335</v>
      </c>
      <c r="M43" s="7" t="s">
        <v>353</v>
      </c>
      <c r="N43" s="7" t="s">
        <v>317</v>
      </c>
      <c r="O43" s="7"/>
      <c r="P43" s="35" t="s">
        <v>354</v>
      </c>
      <c r="Q43" t="str" cm="1">
        <f t="array" ref="Q43">IFERROR(INDEX('Benchmark Source Map'!$A$5:$A$13,MATCH(TRUE,(ISNUMBER(SEARCH('Benchmark Source Map'!$E$5:$E$13,$L43))+ISNUMBER(SEARCH('Benchmark Source Map'!$F$5:$F$13,$L43)))&gt;0,0)),"Other named sources")</f>
        <v>CMS and regulatory requirements (Five-Star Technical Users' Guide, RAI Manual, 42 CFR, Life Safety Code, state regulation)</v>
      </c>
    </row>
    <row r="44" spans="1:17" ht="45.95" customHeight="1">
      <c r="A44" s="12" t="s">
        <v>355</v>
      </c>
      <c r="B44" s="13" t="s">
        <v>305</v>
      </c>
      <c r="C44" s="13" t="s">
        <v>356</v>
      </c>
      <c r="D44" s="13" t="s">
        <v>357</v>
      </c>
      <c r="E44" s="14" t="s">
        <v>102</v>
      </c>
      <c r="F44" s="14"/>
      <c r="G44" s="14"/>
      <c r="H44" s="14"/>
      <c r="I44" s="14" t="s">
        <v>85</v>
      </c>
      <c r="J44" s="14"/>
      <c r="K44" s="13" t="s">
        <v>277</v>
      </c>
      <c r="L44" s="13" t="s">
        <v>358</v>
      </c>
      <c r="M44" s="13" t="s">
        <v>359</v>
      </c>
      <c r="N44" s="13" t="s">
        <v>317</v>
      </c>
      <c r="O44" s="13"/>
      <c r="P44" s="37" t="s">
        <v>360</v>
      </c>
      <c r="Q44" t="str" cm="1">
        <f t="array" ref="Q44">IFERROR(INDEX('Benchmark Source Map'!$A$5:$A$13,MATCH(TRUE,(ISNUMBER(SEARCH('Benchmark Source Map'!$E$5:$E$13,$L44))+ISNUMBER(SEARCH('Benchmark Source Map'!$F$5:$F$13,$L44)))&gt;0,0)),"Other named sources")</f>
        <v>CMS and regulatory requirements (Five-Star Technical Users' Guide, RAI Manual, 42 CFR, Life Safety Code, state regulation)</v>
      </c>
    </row>
    <row r="45" spans="1:17" ht="45.95" customHeight="1">
      <c r="A45" s="6" t="s">
        <v>361</v>
      </c>
      <c r="B45" s="7" t="s">
        <v>305</v>
      </c>
      <c r="C45" s="7" t="s">
        <v>362</v>
      </c>
      <c r="D45" s="7" t="s">
        <v>363</v>
      </c>
      <c r="E45" s="8" t="s">
        <v>102</v>
      </c>
      <c r="F45" s="8"/>
      <c r="G45" s="8"/>
      <c r="H45" s="8"/>
      <c r="I45" s="8" t="s">
        <v>85</v>
      </c>
      <c r="J45" s="8"/>
      <c r="K45" s="7" t="s">
        <v>277</v>
      </c>
      <c r="L45" s="7" t="s">
        <v>335</v>
      </c>
      <c r="M45" s="7" t="s">
        <v>364</v>
      </c>
      <c r="N45" s="7" t="s">
        <v>317</v>
      </c>
      <c r="O45" s="7"/>
      <c r="P45" s="35" t="s">
        <v>365</v>
      </c>
      <c r="Q45" t="str" cm="1">
        <f t="array" ref="Q45">IFERROR(INDEX('Benchmark Source Map'!$A$5:$A$13,MATCH(TRUE,(ISNUMBER(SEARCH('Benchmark Source Map'!$E$5:$E$13,$L45))+ISNUMBER(SEARCH('Benchmark Source Map'!$F$5:$F$13,$L45)))&gt;0,0)),"Other named sources")</f>
        <v>CMS and regulatory requirements (Five-Star Technical Users' Guide, RAI Manual, 42 CFR, Life Safety Code, state regulation)</v>
      </c>
    </row>
    <row r="46" spans="1:17" ht="45.95" customHeight="1">
      <c r="A46" s="12" t="s">
        <v>366</v>
      </c>
      <c r="B46" s="13" t="s">
        <v>305</v>
      </c>
      <c r="C46" s="13" t="s">
        <v>367</v>
      </c>
      <c r="D46" s="13" t="s">
        <v>368</v>
      </c>
      <c r="E46" s="14" t="s">
        <v>102</v>
      </c>
      <c r="F46" s="14"/>
      <c r="G46" s="14"/>
      <c r="H46" s="14"/>
      <c r="I46" s="14" t="s">
        <v>85</v>
      </c>
      <c r="J46" s="14"/>
      <c r="K46" s="13" t="s">
        <v>277</v>
      </c>
      <c r="L46" s="13" t="s">
        <v>335</v>
      </c>
      <c r="M46" s="13" t="s">
        <v>369</v>
      </c>
      <c r="N46" s="13" t="s">
        <v>317</v>
      </c>
      <c r="O46" s="13"/>
      <c r="P46" s="37" t="s">
        <v>370</v>
      </c>
      <c r="Q46" t="str" cm="1">
        <f t="array" ref="Q46">IFERROR(INDEX('Benchmark Source Map'!$A$5:$A$13,MATCH(TRUE,(ISNUMBER(SEARCH('Benchmark Source Map'!$E$5:$E$13,$L46))+ISNUMBER(SEARCH('Benchmark Source Map'!$F$5:$F$13,$L46)))&gt;0,0)),"Other named sources")</f>
        <v>CMS and regulatory requirements (Five-Star Technical Users' Guide, RAI Manual, 42 CFR, Life Safety Code, state regulation)</v>
      </c>
    </row>
    <row r="47" spans="1:17" ht="45.95" customHeight="1">
      <c r="A47" s="6" t="s">
        <v>371</v>
      </c>
      <c r="B47" s="7" t="s">
        <v>305</v>
      </c>
      <c r="C47" s="7" t="s">
        <v>372</v>
      </c>
      <c r="D47" s="7" t="s">
        <v>373</v>
      </c>
      <c r="E47" s="8" t="s">
        <v>102</v>
      </c>
      <c r="F47" s="8"/>
      <c r="G47" s="8"/>
      <c r="H47" s="8"/>
      <c r="I47" s="8" t="s">
        <v>85</v>
      </c>
      <c r="J47" s="8"/>
      <c r="K47" s="7" t="s">
        <v>277</v>
      </c>
      <c r="L47" s="7" t="s">
        <v>335</v>
      </c>
      <c r="M47" s="7" t="s">
        <v>374</v>
      </c>
      <c r="N47" s="7" t="s">
        <v>317</v>
      </c>
      <c r="O47" s="7"/>
      <c r="P47" s="35" t="s">
        <v>375</v>
      </c>
      <c r="Q47" t="str" cm="1">
        <f t="array" ref="Q47">IFERROR(INDEX('Benchmark Source Map'!$A$5:$A$13,MATCH(TRUE,(ISNUMBER(SEARCH('Benchmark Source Map'!$E$5:$E$13,$L47))+ISNUMBER(SEARCH('Benchmark Source Map'!$F$5:$F$13,$L47)))&gt;0,0)),"Other named sources")</f>
        <v>CMS and regulatory requirements (Five-Star Technical Users' Guide, RAI Manual, 42 CFR, Life Safety Code, state regulation)</v>
      </c>
    </row>
    <row r="48" spans="1:17" ht="45.95" customHeight="1">
      <c r="A48" s="12" t="s">
        <v>376</v>
      </c>
      <c r="B48" s="13" t="s">
        <v>305</v>
      </c>
      <c r="C48" s="13" t="s">
        <v>377</v>
      </c>
      <c r="D48" s="13" t="s">
        <v>378</v>
      </c>
      <c r="E48" s="14" t="s">
        <v>102</v>
      </c>
      <c r="F48" s="14"/>
      <c r="G48" s="14"/>
      <c r="H48" s="14"/>
      <c r="I48" s="14" t="s">
        <v>85</v>
      </c>
      <c r="J48" s="14"/>
      <c r="K48" s="13" t="s">
        <v>277</v>
      </c>
      <c r="L48" s="13" t="s">
        <v>335</v>
      </c>
      <c r="M48" s="13" t="s">
        <v>379</v>
      </c>
      <c r="N48" s="13" t="s">
        <v>317</v>
      </c>
      <c r="O48" s="13"/>
      <c r="P48" s="37" t="s">
        <v>380</v>
      </c>
      <c r="Q48" t="str" cm="1">
        <f t="array" ref="Q48">IFERROR(INDEX('Benchmark Source Map'!$A$5:$A$13,MATCH(TRUE,(ISNUMBER(SEARCH('Benchmark Source Map'!$E$5:$E$13,$L48))+ISNUMBER(SEARCH('Benchmark Source Map'!$F$5:$F$13,$L48)))&gt;0,0)),"Other named sources")</f>
        <v>CMS and regulatory requirements (Five-Star Technical Users' Guide, RAI Manual, 42 CFR, Life Safety Code, state regulation)</v>
      </c>
    </row>
    <row r="49" spans="1:17" ht="45.95" customHeight="1">
      <c r="A49" s="6" t="s">
        <v>381</v>
      </c>
      <c r="B49" s="7" t="s">
        <v>305</v>
      </c>
      <c r="C49" s="7" t="s">
        <v>382</v>
      </c>
      <c r="D49" s="7" t="s">
        <v>383</v>
      </c>
      <c r="E49" s="8" t="s">
        <v>84</v>
      </c>
      <c r="F49" s="8"/>
      <c r="G49" s="8"/>
      <c r="H49" s="8"/>
      <c r="I49" s="8" t="s">
        <v>85</v>
      </c>
      <c r="J49" s="8"/>
      <c r="K49" s="7" t="s">
        <v>277</v>
      </c>
      <c r="L49" s="7" t="s">
        <v>384</v>
      </c>
      <c r="M49" s="7" t="s">
        <v>385</v>
      </c>
      <c r="N49" s="7" t="s">
        <v>324</v>
      </c>
      <c r="O49" s="7" t="s">
        <v>386</v>
      </c>
      <c r="P49" s="35" t="s">
        <v>387</v>
      </c>
      <c r="Q49" t="str" cm="1">
        <f t="array" ref="Q49">IFERROR(INDEX('Benchmark Source Map'!$A$5:$A$13,MATCH(TRUE,(ISNUMBER(SEARCH('Benchmark Source Map'!$E$5:$E$13,$L49))+ISNUMBER(SEARCH('Benchmark Source Map'!$F$5:$F$13,$L49)))&gt;0,0)),"Other named sources")</f>
        <v>CMS and regulatory requirements (Five-Star Technical Users' Guide, RAI Manual, 42 CFR, Life Safety Code, state regulation)</v>
      </c>
    </row>
    <row r="50" spans="1:17" ht="45.95" customHeight="1">
      <c r="A50" s="12" t="s">
        <v>388</v>
      </c>
      <c r="B50" s="13" t="s">
        <v>305</v>
      </c>
      <c r="C50" s="13" t="s">
        <v>389</v>
      </c>
      <c r="D50" s="13" t="s">
        <v>390</v>
      </c>
      <c r="E50" s="14" t="s">
        <v>84</v>
      </c>
      <c r="F50" s="14"/>
      <c r="G50" s="14"/>
      <c r="H50" s="14"/>
      <c r="I50" s="14" t="s">
        <v>85</v>
      </c>
      <c r="J50" s="14"/>
      <c r="K50" s="13" t="s">
        <v>277</v>
      </c>
      <c r="L50" s="13" t="s">
        <v>391</v>
      </c>
      <c r="M50" s="13" t="s">
        <v>392</v>
      </c>
      <c r="N50" s="13" t="s">
        <v>324</v>
      </c>
      <c r="O50" s="13" t="s">
        <v>393</v>
      </c>
      <c r="P50" s="37" t="s">
        <v>394</v>
      </c>
      <c r="Q50" t="str" cm="1">
        <f t="array" ref="Q50">IFERROR(INDEX('Benchmark Source Map'!$A$5:$A$13,MATCH(TRUE,(ISNUMBER(SEARCH('Benchmark Source Map'!$E$5:$E$13,$L50))+ISNUMBER(SEARCH('Benchmark Source Map'!$F$5:$F$13,$L50)))&gt;0,0)),"Other named sources")</f>
        <v>CMS and regulatory requirements (Five-Star Technical Users' Guide, RAI Manual, 42 CFR, Life Safety Code, state regulation)</v>
      </c>
    </row>
    <row r="51" spans="1:17" ht="45.95" customHeight="1">
      <c r="A51" s="6" t="s">
        <v>395</v>
      </c>
      <c r="B51" s="7" t="s">
        <v>305</v>
      </c>
      <c r="C51" s="7" t="s">
        <v>396</v>
      </c>
      <c r="D51" s="7" t="s">
        <v>397</v>
      </c>
      <c r="E51" s="8" t="s">
        <v>84</v>
      </c>
      <c r="F51" s="8"/>
      <c r="G51" s="8"/>
      <c r="H51" s="8"/>
      <c r="I51" s="8" t="s">
        <v>85</v>
      </c>
      <c r="J51" s="8"/>
      <c r="K51" s="7" t="s">
        <v>277</v>
      </c>
      <c r="L51" s="7" t="s">
        <v>391</v>
      </c>
      <c r="M51" s="7" t="s">
        <v>398</v>
      </c>
      <c r="N51" s="7" t="s">
        <v>324</v>
      </c>
      <c r="O51" s="7"/>
      <c r="P51" s="35" t="s">
        <v>399</v>
      </c>
      <c r="Q51" t="str" cm="1">
        <f t="array" ref="Q51">IFERROR(INDEX('Benchmark Source Map'!$A$5:$A$13,MATCH(TRUE,(ISNUMBER(SEARCH('Benchmark Source Map'!$E$5:$E$13,$L51))+ISNUMBER(SEARCH('Benchmark Source Map'!$F$5:$F$13,$L51)))&gt;0,0)),"Other named sources")</f>
        <v>CMS and regulatory requirements (Five-Star Technical Users' Guide, RAI Manual, 42 CFR, Life Safety Code, state regulation)</v>
      </c>
    </row>
    <row r="52" spans="1:17" ht="45.95" customHeight="1">
      <c r="A52" s="12" t="s">
        <v>400</v>
      </c>
      <c r="B52" s="13" t="s">
        <v>305</v>
      </c>
      <c r="C52" s="13" t="s">
        <v>401</v>
      </c>
      <c r="D52" s="13" t="s">
        <v>402</v>
      </c>
      <c r="E52" s="14" t="s">
        <v>102</v>
      </c>
      <c r="F52" s="14"/>
      <c r="G52" s="14"/>
      <c r="H52" s="14"/>
      <c r="I52" s="14" t="s">
        <v>85</v>
      </c>
      <c r="J52" s="14"/>
      <c r="K52" s="13" t="s">
        <v>277</v>
      </c>
      <c r="L52" s="13" t="s">
        <v>391</v>
      </c>
      <c r="M52" s="13" t="s">
        <v>403</v>
      </c>
      <c r="N52" s="13" t="s">
        <v>324</v>
      </c>
      <c r="O52" s="13" t="s">
        <v>404</v>
      </c>
      <c r="P52" s="37" t="s">
        <v>405</v>
      </c>
      <c r="Q52" t="str" cm="1">
        <f t="array" ref="Q52">IFERROR(INDEX('Benchmark Source Map'!$A$5:$A$13,MATCH(TRUE,(ISNUMBER(SEARCH('Benchmark Source Map'!$E$5:$E$13,$L52))+ISNUMBER(SEARCH('Benchmark Source Map'!$F$5:$F$13,$L52)))&gt;0,0)),"Other named sources")</f>
        <v>CMS and regulatory requirements (Five-Star Technical Users' Guide, RAI Manual, 42 CFR, Life Safety Code, state regulation)</v>
      </c>
    </row>
    <row r="53" spans="1:17" ht="45.95" customHeight="1">
      <c r="A53" s="6" t="s">
        <v>406</v>
      </c>
      <c r="B53" s="7" t="s">
        <v>305</v>
      </c>
      <c r="C53" s="7" t="s">
        <v>407</v>
      </c>
      <c r="D53" s="7" t="s">
        <v>408</v>
      </c>
      <c r="E53" s="8" t="s">
        <v>102</v>
      </c>
      <c r="F53" s="8"/>
      <c r="G53" s="8"/>
      <c r="H53" s="8"/>
      <c r="I53" s="8" t="s">
        <v>85</v>
      </c>
      <c r="J53" s="8"/>
      <c r="K53" s="7" t="s">
        <v>277</v>
      </c>
      <c r="L53" s="7" t="s">
        <v>391</v>
      </c>
      <c r="M53" s="7" t="s">
        <v>409</v>
      </c>
      <c r="N53" s="7" t="s">
        <v>324</v>
      </c>
      <c r="O53" s="7" t="s">
        <v>410</v>
      </c>
      <c r="P53" s="35" t="s">
        <v>411</v>
      </c>
      <c r="Q53" t="str" cm="1">
        <f t="array" ref="Q53">IFERROR(INDEX('Benchmark Source Map'!$A$5:$A$13,MATCH(TRUE,(ISNUMBER(SEARCH('Benchmark Source Map'!$E$5:$E$13,$L53))+ISNUMBER(SEARCH('Benchmark Source Map'!$F$5:$F$13,$L53)))&gt;0,0)),"Other named sources")</f>
        <v>CMS and regulatory requirements (Five-Star Technical Users' Guide, RAI Manual, 42 CFR, Life Safety Code, state regulation)</v>
      </c>
    </row>
    <row r="54" spans="1:17" ht="45.95" customHeight="1">
      <c r="A54" s="12" t="s">
        <v>412</v>
      </c>
      <c r="B54" s="13" t="s">
        <v>305</v>
      </c>
      <c r="C54" s="13" t="s">
        <v>413</v>
      </c>
      <c r="D54" s="13" t="s">
        <v>414</v>
      </c>
      <c r="E54" s="14" t="s">
        <v>102</v>
      </c>
      <c r="F54" s="14"/>
      <c r="G54" s="14"/>
      <c r="H54" s="14"/>
      <c r="I54" s="14" t="s">
        <v>85</v>
      </c>
      <c r="J54" s="14"/>
      <c r="K54" s="13" t="s">
        <v>277</v>
      </c>
      <c r="L54" s="13" t="s">
        <v>335</v>
      </c>
      <c r="M54" s="13" t="s">
        <v>415</v>
      </c>
      <c r="N54" s="13" t="s">
        <v>324</v>
      </c>
      <c r="O54" s="13"/>
      <c r="P54" s="37" t="s">
        <v>416</v>
      </c>
      <c r="Q54" t="str" cm="1">
        <f t="array" ref="Q54">IFERROR(INDEX('Benchmark Source Map'!$A$5:$A$13,MATCH(TRUE,(ISNUMBER(SEARCH('Benchmark Source Map'!$E$5:$E$13,$L54))+ISNUMBER(SEARCH('Benchmark Source Map'!$F$5:$F$13,$L54)))&gt;0,0)),"Other named sources")</f>
        <v>CMS and regulatory requirements (Five-Star Technical Users' Guide, RAI Manual, 42 CFR, Life Safety Code, state regulation)</v>
      </c>
    </row>
    <row r="55" spans="1:17" ht="45.95" customHeight="1">
      <c r="A55" s="6" t="s">
        <v>417</v>
      </c>
      <c r="B55" s="7" t="s">
        <v>305</v>
      </c>
      <c r="C55" s="7" t="s">
        <v>418</v>
      </c>
      <c r="D55" s="7" t="s">
        <v>419</v>
      </c>
      <c r="E55" s="8" t="s">
        <v>102</v>
      </c>
      <c r="F55" s="8"/>
      <c r="G55" s="8"/>
      <c r="H55" s="8"/>
      <c r="I55" s="8" t="s">
        <v>85</v>
      </c>
      <c r="J55" s="8"/>
      <c r="K55" s="7" t="s">
        <v>277</v>
      </c>
      <c r="L55" s="7" t="s">
        <v>420</v>
      </c>
      <c r="M55" s="7" t="s">
        <v>421</v>
      </c>
      <c r="N55" s="7" t="s">
        <v>324</v>
      </c>
      <c r="O55" s="7"/>
      <c r="P55" s="35" t="s">
        <v>422</v>
      </c>
      <c r="Q55" t="str" cm="1">
        <f t="array" ref="Q55">IFERROR(INDEX('Benchmark Source Map'!$A$5:$A$13,MATCH(TRUE,(ISNUMBER(SEARCH('Benchmark Source Map'!$E$5:$E$13,$L55))+ISNUMBER(SEARCH('Benchmark Source Map'!$F$5:$F$13,$L55)))&gt;0,0)),"Other named sources")</f>
        <v>CMS and regulatory requirements (Five-Star Technical Users' Guide, RAI Manual, 42 CFR, Life Safety Code, state regulation)</v>
      </c>
    </row>
    <row r="56" spans="1:17" ht="45.95" customHeight="1">
      <c r="A56" s="12" t="s">
        <v>423</v>
      </c>
      <c r="B56" s="13" t="s">
        <v>305</v>
      </c>
      <c r="C56" s="13" t="s">
        <v>424</v>
      </c>
      <c r="D56" s="13" t="s">
        <v>425</v>
      </c>
      <c r="E56" s="14" t="s">
        <v>102</v>
      </c>
      <c r="F56" s="14"/>
      <c r="G56" s="14"/>
      <c r="H56" s="14"/>
      <c r="I56" s="14" t="s">
        <v>85</v>
      </c>
      <c r="J56" s="14"/>
      <c r="K56" s="13" t="s">
        <v>277</v>
      </c>
      <c r="L56" s="13" t="s">
        <v>426</v>
      </c>
      <c r="M56" s="13" t="s">
        <v>427</v>
      </c>
      <c r="N56" s="13" t="s">
        <v>317</v>
      </c>
      <c r="O56" s="13"/>
      <c r="P56" s="37" t="s">
        <v>428</v>
      </c>
      <c r="Q56" t="str" cm="1">
        <f t="array" ref="Q56">IFERROR(INDEX('Benchmark Source Map'!$A$5:$A$13,MATCH(TRUE,(ISNUMBER(SEARCH('Benchmark Source Map'!$E$5:$E$13,$L56))+ISNUMBER(SEARCH('Benchmark Source Map'!$F$5:$F$13,$L56)))&gt;0,0)),"Other named sources")</f>
        <v>CMS and regulatory requirements (Five-Star Technical Users' Guide, RAI Manual, 42 CFR, Life Safety Code, state regulation)</v>
      </c>
    </row>
    <row r="57" spans="1:17" ht="45.95" customHeight="1">
      <c r="A57" s="6" t="s">
        <v>429</v>
      </c>
      <c r="B57" s="7" t="s">
        <v>305</v>
      </c>
      <c r="C57" s="7" t="s">
        <v>430</v>
      </c>
      <c r="D57" s="7" t="s">
        <v>431</v>
      </c>
      <c r="E57" s="8" t="s">
        <v>102</v>
      </c>
      <c r="F57" s="8"/>
      <c r="G57" s="8"/>
      <c r="H57" s="8"/>
      <c r="I57" s="8" t="s">
        <v>85</v>
      </c>
      <c r="J57" s="8"/>
      <c r="K57" s="7" t="s">
        <v>277</v>
      </c>
      <c r="L57" s="7" t="s">
        <v>432</v>
      </c>
      <c r="M57" s="7" t="s">
        <v>433</v>
      </c>
      <c r="N57" s="7" t="s">
        <v>317</v>
      </c>
      <c r="O57" s="7" t="s">
        <v>434</v>
      </c>
      <c r="P57" s="35" t="s">
        <v>435</v>
      </c>
      <c r="Q57" t="str" cm="1">
        <f t="array" ref="Q57">IFERROR(INDEX('Benchmark Source Map'!$A$5:$A$13,MATCH(TRUE,(ISNUMBER(SEARCH('Benchmark Source Map'!$E$5:$E$13,$L57))+ISNUMBER(SEARCH('Benchmark Source Map'!$F$5:$F$13,$L57)))&gt;0,0)),"Other named sources")</f>
        <v>CMS and regulatory requirements (Five-Star Technical Users' Guide, RAI Manual, 42 CFR, Life Safety Code, state regulation)</v>
      </c>
    </row>
    <row r="58" spans="1:17" ht="45.95" customHeight="1">
      <c r="A58" s="12" t="s">
        <v>436</v>
      </c>
      <c r="B58" s="13" t="s">
        <v>305</v>
      </c>
      <c r="C58" s="13" t="s">
        <v>437</v>
      </c>
      <c r="D58" s="13" t="s">
        <v>438</v>
      </c>
      <c r="E58" s="14" t="s">
        <v>102</v>
      </c>
      <c r="F58" s="14"/>
      <c r="G58" s="14"/>
      <c r="H58" s="14"/>
      <c r="I58" s="14" t="s">
        <v>85</v>
      </c>
      <c r="J58" s="14"/>
      <c r="K58" s="13" t="s">
        <v>277</v>
      </c>
      <c r="L58" s="13" t="s">
        <v>432</v>
      </c>
      <c r="M58" s="13" t="s">
        <v>439</v>
      </c>
      <c r="N58" s="13" t="s">
        <v>317</v>
      </c>
      <c r="O58" s="13" t="s">
        <v>440</v>
      </c>
      <c r="P58" s="37" t="s">
        <v>441</v>
      </c>
      <c r="Q58" t="str" cm="1">
        <f t="array" ref="Q58">IFERROR(INDEX('Benchmark Source Map'!$A$5:$A$13,MATCH(TRUE,(ISNUMBER(SEARCH('Benchmark Source Map'!$E$5:$E$13,$L58))+ISNUMBER(SEARCH('Benchmark Source Map'!$F$5:$F$13,$L58)))&gt;0,0)),"Other named sources")</f>
        <v>CMS and regulatory requirements (Five-Star Technical Users' Guide, RAI Manual, 42 CFR, Life Safety Code, state regulation)</v>
      </c>
    </row>
    <row r="59" spans="1:17" ht="45.95" customHeight="1">
      <c r="A59" s="6" t="s">
        <v>442</v>
      </c>
      <c r="B59" s="7" t="s">
        <v>305</v>
      </c>
      <c r="C59" s="7" t="s">
        <v>443</v>
      </c>
      <c r="D59" s="7" t="s">
        <v>444</v>
      </c>
      <c r="E59" s="8" t="s">
        <v>102</v>
      </c>
      <c r="F59" s="8"/>
      <c r="G59" s="8"/>
      <c r="H59" s="8"/>
      <c r="I59" s="8" t="s">
        <v>85</v>
      </c>
      <c r="J59" s="8"/>
      <c r="K59" s="7" t="s">
        <v>277</v>
      </c>
      <c r="L59" s="7" t="s">
        <v>432</v>
      </c>
      <c r="M59" s="7" t="s">
        <v>445</v>
      </c>
      <c r="N59" s="7" t="s">
        <v>317</v>
      </c>
      <c r="O59" s="7"/>
      <c r="P59" s="35" t="s">
        <v>446</v>
      </c>
      <c r="Q59" t="str" cm="1">
        <f t="array" ref="Q59">IFERROR(INDEX('Benchmark Source Map'!$A$5:$A$13,MATCH(TRUE,(ISNUMBER(SEARCH('Benchmark Source Map'!$E$5:$E$13,$L59))+ISNUMBER(SEARCH('Benchmark Source Map'!$F$5:$F$13,$L59)))&gt;0,0)),"Other named sources")</f>
        <v>CMS and regulatory requirements (Five-Star Technical Users' Guide, RAI Manual, 42 CFR, Life Safety Code, state regulation)</v>
      </c>
    </row>
    <row r="60" spans="1:17" ht="45.95" customHeight="1">
      <c r="A60" s="12" t="s">
        <v>447</v>
      </c>
      <c r="B60" s="13" t="s">
        <v>305</v>
      </c>
      <c r="C60" s="13" t="s">
        <v>448</v>
      </c>
      <c r="D60" s="13" t="s">
        <v>449</v>
      </c>
      <c r="E60" s="14" t="s">
        <v>102</v>
      </c>
      <c r="F60" s="14"/>
      <c r="G60" s="14"/>
      <c r="H60" s="14"/>
      <c r="I60" s="14" t="s">
        <v>85</v>
      </c>
      <c r="J60" s="14"/>
      <c r="K60" s="13" t="s">
        <v>277</v>
      </c>
      <c r="L60" s="13" t="s">
        <v>426</v>
      </c>
      <c r="M60" s="13" t="s">
        <v>445</v>
      </c>
      <c r="N60" s="13" t="s">
        <v>317</v>
      </c>
      <c r="O60" s="13"/>
      <c r="P60" s="37" t="s">
        <v>450</v>
      </c>
      <c r="Q60" t="str" cm="1">
        <f t="array" ref="Q60">IFERROR(INDEX('Benchmark Source Map'!$A$5:$A$13,MATCH(TRUE,(ISNUMBER(SEARCH('Benchmark Source Map'!$E$5:$E$13,$L60))+ISNUMBER(SEARCH('Benchmark Source Map'!$F$5:$F$13,$L60)))&gt;0,0)),"Other named sources")</f>
        <v>CMS and regulatory requirements (Five-Star Technical Users' Guide, RAI Manual, 42 CFR, Life Safety Code, state regulation)</v>
      </c>
    </row>
    <row r="61" spans="1:17" ht="45.95" customHeight="1">
      <c r="A61" s="6" t="s">
        <v>451</v>
      </c>
      <c r="B61" s="7" t="s">
        <v>305</v>
      </c>
      <c r="C61" s="7" t="s">
        <v>452</v>
      </c>
      <c r="D61" s="7" t="s">
        <v>453</v>
      </c>
      <c r="E61" s="8" t="s">
        <v>102</v>
      </c>
      <c r="F61" s="8"/>
      <c r="G61" s="8"/>
      <c r="H61" s="8"/>
      <c r="I61" s="8" t="s">
        <v>85</v>
      </c>
      <c r="J61" s="8"/>
      <c r="K61" s="7" t="s">
        <v>277</v>
      </c>
      <c r="L61" s="7" t="s">
        <v>426</v>
      </c>
      <c r="M61" s="7" t="s">
        <v>445</v>
      </c>
      <c r="N61" s="7" t="s">
        <v>317</v>
      </c>
      <c r="O61" s="7"/>
      <c r="P61" s="35" t="s">
        <v>454</v>
      </c>
      <c r="Q61" t="str" cm="1">
        <f t="array" ref="Q61">IFERROR(INDEX('Benchmark Source Map'!$A$5:$A$13,MATCH(TRUE,(ISNUMBER(SEARCH('Benchmark Source Map'!$E$5:$E$13,$L61))+ISNUMBER(SEARCH('Benchmark Source Map'!$F$5:$F$13,$L61)))&gt;0,0)),"Other named sources")</f>
        <v>CMS and regulatory requirements (Five-Star Technical Users' Guide, RAI Manual, 42 CFR, Life Safety Code, state regulation)</v>
      </c>
    </row>
    <row r="62" spans="1:17" ht="45.95" customHeight="1">
      <c r="A62" s="12" t="s">
        <v>455</v>
      </c>
      <c r="B62" s="13" t="s">
        <v>305</v>
      </c>
      <c r="C62" s="13" t="s">
        <v>456</v>
      </c>
      <c r="D62" s="13" t="s">
        <v>457</v>
      </c>
      <c r="E62" s="14" t="s">
        <v>102</v>
      </c>
      <c r="F62" s="14"/>
      <c r="G62" s="14"/>
      <c r="H62" s="14"/>
      <c r="I62" s="14" t="s">
        <v>85</v>
      </c>
      <c r="J62" s="14"/>
      <c r="K62" s="13" t="s">
        <v>277</v>
      </c>
      <c r="L62" s="13" t="s">
        <v>335</v>
      </c>
      <c r="M62" s="13" t="s">
        <v>458</v>
      </c>
      <c r="N62" s="13" t="s">
        <v>317</v>
      </c>
      <c r="O62" s="13" t="s">
        <v>459</v>
      </c>
      <c r="P62" s="37" t="s">
        <v>460</v>
      </c>
      <c r="Q62" t="str" cm="1">
        <f t="array" ref="Q62">IFERROR(INDEX('Benchmark Source Map'!$A$5:$A$13,MATCH(TRUE,(ISNUMBER(SEARCH('Benchmark Source Map'!$E$5:$E$13,$L62))+ISNUMBER(SEARCH('Benchmark Source Map'!$F$5:$F$13,$L62)))&gt;0,0)),"Other named sources")</f>
        <v>CMS and regulatory requirements (Five-Star Technical Users' Guide, RAI Manual, 42 CFR, Life Safety Code, state regulation)</v>
      </c>
    </row>
    <row r="63" spans="1:17" ht="45.95" customHeight="1">
      <c r="A63" s="6" t="s">
        <v>461</v>
      </c>
      <c r="B63" s="7" t="s">
        <v>305</v>
      </c>
      <c r="C63" s="7" t="s">
        <v>462</v>
      </c>
      <c r="D63" s="7" t="s">
        <v>463</v>
      </c>
      <c r="E63" s="8" t="s">
        <v>102</v>
      </c>
      <c r="F63" s="8"/>
      <c r="G63" s="8"/>
      <c r="H63" s="8"/>
      <c r="I63" s="8" t="s">
        <v>85</v>
      </c>
      <c r="J63" s="8"/>
      <c r="K63" s="7" t="s">
        <v>277</v>
      </c>
      <c r="L63" s="7" t="s">
        <v>464</v>
      </c>
      <c r="M63" s="7" t="s">
        <v>465</v>
      </c>
      <c r="N63" s="7" t="s">
        <v>317</v>
      </c>
      <c r="O63" s="7"/>
      <c r="P63" s="35" t="s">
        <v>466</v>
      </c>
      <c r="Q63" t="str" cm="1">
        <f t="array" ref="Q63">IFERROR(INDEX('Benchmark Source Map'!$A$5:$A$13,MATCH(TRUE,(ISNUMBER(SEARCH('Benchmark Source Map'!$E$5:$E$13,$L63))+ISNUMBER(SEARCH('Benchmark Source Map'!$F$5:$F$13,$L63)))&gt;0,0)),"Other named sources")</f>
        <v>CMS and regulatory requirements (Five-Star Technical Users' Guide, RAI Manual, 42 CFR, Life Safety Code, state regulation)</v>
      </c>
    </row>
    <row r="64" spans="1:17" ht="45.95" customHeight="1">
      <c r="A64" s="12" t="s">
        <v>467</v>
      </c>
      <c r="B64" s="13" t="s">
        <v>305</v>
      </c>
      <c r="C64" s="13" t="s">
        <v>468</v>
      </c>
      <c r="D64" s="13" t="s">
        <v>469</v>
      </c>
      <c r="E64" s="14" t="s">
        <v>102</v>
      </c>
      <c r="F64" s="14"/>
      <c r="G64" s="14"/>
      <c r="H64" s="14"/>
      <c r="I64" s="14" t="s">
        <v>85</v>
      </c>
      <c r="J64" s="14"/>
      <c r="K64" s="13" t="s">
        <v>277</v>
      </c>
      <c r="L64" s="13" t="s">
        <v>464</v>
      </c>
      <c r="M64" s="13" t="s">
        <v>470</v>
      </c>
      <c r="N64" s="13" t="s">
        <v>317</v>
      </c>
      <c r="O64" s="13"/>
      <c r="P64" s="37" t="s">
        <v>471</v>
      </c>
      <c r="Q64" t="str" cm="1">
        <f t="array" ref="Q64">IFERROR(INDEX('Benchmark Source Map'!$A$5:$A$13,MATCH(TRUE,(ISNUMBER(SEARCH('Benchmark Source Map'!$E$5:$E$13,$L64))+ISNUMBER(SEARCH('Benchmark Source Map'!$F$5:$F$13,$L64)))&gt;0,0)),"Other named sources")</f>
        <v>CMS and regulatory requirements (Five-Star Technical Users' Guide, RAI Manual, 42 CFR, Life Safety Code, state regulation)</v>
      </c>
    </row>
    <row r="65" spans="1:17" ht="45.95" customHeight="1">
      <c r="A65" s="6" t="s">
        <v>472</v>
      </c>
      <c r="B65" s="7" t="s">
        <v>305</v>
      </c>
      <c r="C65" s="7" t="s">
        <v>473</v>
      </c>
      <c r="D65" s="7" t="s">
        <v>474</v>
      </c>
      <c r="E65" s="8" t="s">
        <v>84</v>
      </c>
      <c r="F65" s="8"/>
      <c r="G65" s="8"/>
      <c r="H65" s="8"/>
      <c r="I65" s="8" t="s">
        <v>85</v>
      </c>
      <c r="J65" s="8"/>
      <c r="K65" s="7" t="s">
        <v>277</v>
      </c>
      <c r="L65" s="7" t="s">
        <v>432</v>
      </c>
      <c r="M65" s="7" t="s">
        <v>475</v>
      </c>
      <c r="N65" s="7" t="s">
        <v>317</v>
      </c>
      <c r="O65" s="7" t="s">
        <v>476</v>
      </c>
      <c r="P65" s="35" t="s">
        <v>477</v>
      </c>
      <c r="Q65" t="str" cm="1">
        <f t="array" ref="Q65">IFERROR(INDEX('Benchmark Source Map'!$A$5:$A$13,MATCH(TRUE,(ISNUMBER(SEARCH('Benchmark Source Map'!$E$5:$E$13,$L65))+ISNUMBER(SEARCH('Benchmark Source Map'!$F$5:$F$13,$L65)))&gt;0,0)),"Other named sources")</f>
        <v>CMS and regulatory requirements (Five-Star Technical Users' Guide, RAI Manual, 42 CFR, Life Safety Code, state regulation)</v>
      </c>
    </row>
    <row r="66" spans="1:17" ht="45.95" customHeight="1">
      <c r="A66" s="12" t="s">
        <v>478</v>
      </c>
      <c r="B66" s="13" t="s">
        <v>305</v>
      </c>
      <c r="C66" s="13" t="s">
        <v>479</v>
      </c>
      <c r="D66" s="13" t="s">
        <v>480</v>
      </c>
      <c r="E66" s="14" t="s">
        <v>102</v>
      </c>
      <c r="F66" s="14"/>
      <c r="G66" s="14"/>
      <c r="H66" s="14"/>
      <c r="I66" s="14" t="s">
        <v>85</v>
      </c>
      <c r="J66" s="14"/>
      <c r="K66" s="13" t="s">
        <v>277</v>
      </c>
      <c r="L66" s="13" t="s">
        <v>481</v>
      </c>
      <c r="M66" s="13" t="s">
        <v>482</v>
      </c>
      <c r="N66" s="13" t="s">
        <v>317</v>
      </c>
      <c r="O66" s="13"/>
      <c r="P66" s="37" t="s">
        <v>483</v>
      </c>
      <c r="Q66" t="str" cm="1">
        <f t="array" ref="Q66">IFERROR(INDEX('Benchmark Source Map'!$A$5:$A$13,MATCH(TRUE,(ISNUMBER(SEARCH('Benchmark Source Map'!$E$5:$E$13,$L66))+ISNUMBER(SEARCH('Benchmark Source Map'!$F$5:$F$13,$L66)))&gt;0,0)),"Other named sources")</f>
        <v>CMS and regulatory requirements (Five-Star Technical Users' Guide, RAI Manual, 42 CFR, Life Safety Code, state regulation)</v>
      </c>
    </row>
    <row r="67" spans="1:17" ht="45.95" customHeight="1">
      <c r="A67" s="6" t="s">
        <v>484</v>
      </c>
      <c r="B67" s="7" t="s">
        <v>305</v>
      </c>
      <c r="C67" s="7" t="s">
        <v>485</v>
      </c>
      <c r="D67" s="7" t="s">
        <v>486</v>
      </c>
      <c r="E67" s="8" t="s">
        <v>102</v>
      </c>
      <c r="F67" s="8"/>
      <c r="G67" s="8"/>
      <c r="H67" s="8"/>
      <c r="I67" s="8" t="s">
        <v>85</v>
      </c>
      <c r="J67" s="8"/>
      <c r="K67" s="7" t="s">
        <v>277</v>
      </c>
      <c r="L67" s="7" t="s">
        <v>426</v>
      </c>
      <c r="M67" s="7" t="s">
        <v>487</v>
      </c>
      <c r="N67" s="7" t="s">
        <v>317</v>
      </c>
      <c r="O67" s="7"/>
      <c r="P67" s="35" t="s">
        <v>488</v>
      </c>
      <c r="Q67" t="str" cm="1">
        <f t="array" ref="Q67">IFERROR(INDEX('Benchmark Source Map'!$A$5:$A$13,MATCH(TRUE,(ISNUMBER(SEARCH('Benchmark Source Map'!$E$5:$E$13,$L67))+ISNUMBER(SEARCH('Benchmark Source Map'!$F$5:$F$13,$L67)))&gt;0,0)),"Other named sources")</f>
        <v>CMS and regulatory requirements (Five-Star Technical Users' Guide, RAI Manual, 42 CFR, Life Safety Code, state regulation)</v>
      </c>
    </row>
    <row r="68" spans="1:17" ht="45.95" customHeight="1">
      <c r="A68" s="12" t="s">
        <v>489</v>
      </c>
      <c r="B68" s="13" t="s">
        <v>305</v>
      </c>
      <c r="C68" s="13" t="s">
        <v>490</v>
      </c>
      <c r="D68" s="13" t="s">
        <v>491</v>
      </c>
      <c r="E68" s="14" t="s">
        <v>102</v>
      </c>
      <c r="F68" s="14"/>
      <c r="G68" s="14"/>
      <c r="H68" s="14"/>
      <c r="I68" s="14" t="s">
        <v>85</v>
      </c>
      <c r="J68" s="14"/>
      <c r="K68" s="13" t="s">
        <v>277</v>
      </c>
      <c r="L68" s="13" t="s">
        <v>464</v>
      </c>
      <c r="M68" s="13" t="s">
        <v>470</v>
      </c>
      <c r="N68" s="13" t="s">
        <v>317</v>
      </c>
      <c r="O68" s="13"/>
      <c r="P68" s="37" t="s">
        <v>492</v>
      </c>
      <c r="Q68" t="str" cm="1">
        <f t="array" ref="Q68">IFERROR(INDEX('Benchmark Source Map'!$A$5:$A$13,MATCH(TRUE,(ISNUMBER(SEARCH('Benchmark Source Map'!$E$5:$E$13,$L68))+ISNUMBER(SEARCH('Benchmark Source Map'!$F$5:$F$13,$L68)))&gt;0,0)),"Other named sources")</f>
        <v>CMS and regulatory requirements (Five-Star Technical Users' Guide, RAI Manual, 42 CFR, Life Safety Code, state regulation)</v>
      </c>
    </row>
    <row r="69" spans="1:17" ht="45.95" customHeight="1">
      <c r="A69" s="6" t="s">
        <v>493</v>
      </c>
      <c r="B69" s="7" t="s">
        <v>305</v>
      </c>
      <c r="C69" s="7" t="s">
        <v>494</v>
      </c>
      <c r="D69" s="7" t="s">
        <v>495</v>
      </c>
      <c r="E69" s="8" t="s">
        <v>102</v>
      </c>
      <c r="F69" s="8"/>
      <c r="G69" s="8"/>
      <c r="H69" s="8"/>
      <c r="I69" s="8" t="s">
        <v>85</v>
      </c>
      <c r="J69" s="8"/>
      <c r="K69" s="7" t="s">
        <v>277</v>
      </c>
      <c r="L69" s="7" t="s">
        <v>464</v>
      </c>
      <c r="M69" s="7" t="s">
        <v>470</v>
      </c>
      <c r="N69" s="7" t="s">
        <v>317</v>
      </c>
      <c r="O69" s="7"/>
      <c r="P69" s="35" t="s">
        <v>496</v>
      </c>
      <c r="Q69" t="str" cm="1">
        <f t="array" ref="Q69">IFERROR(INDEX('Benchmark Source Map'!$A$5:$A$13,MATCH(TRUE,(ISNUMBER(SEARCH('Benchmark Source Map'!$E$5:$E$13,$L69))+ISNUMBER(SEARCH('Benchmark Source Map'!$F$5:$F$13,$L69)))&gt;0,0)),"Other named sources")</f>
        <v>CMS and regulatory requirements (Five-Star Technical Users' Guide, RAI Manual, 42 CFR, Life Safety Code, state regulation)</v>
      </c>
    </row>
    <row r="70" spans="1:17" ht="45.95" customHeight="1">
      <c r="A70" s="12" t="s">
        <v>497</v>
      </c>
      <c r="B70" s="13" t="s">
        <v>305</v>
      </c>
      <c r="C70" s="13" t="s">
        <v>498</v>
      </c>
      <c r="D70" s="13" t="s">
        <v>499</v>
      </c>
      <c r="E70" s="14" t="s">
        <v>84</v>
      </c>
      <c r="F70" s="14"/>
      <c r="G70" s="14"/>
      <c r="H70" s="14"/>
      <c r="I70" s="14" t="s">
        <v>85</v>
      </c>
      <c r="J70" s="14"/>
      <c r="K70" s="13" t="s">
        <v>277</v>
      </c>
      <c r="L70" s="13" t="s">
        <v>464</v>
      </c>
      <c r="M70" s="13" t="s">
        <v>500</v>
      </c>
      <c r="N70" s="13" t="s">
        <v>317</v>
      </c>
      <c r="O70" s="13"/>
      <c r="P70" s="37" t="s">
        <v>501</v>
      </c>
      <c r="Q70" t="str" cm="1">
        <f t="array" ref="Q70">IFERROR(INDEX('Benchmark Source Map'!$A$5:$A$13,MATCH(TRUE,(ISNUMBER(SEARCH('Benchmark Source Map'!$E$5:$E$13,$L70))+ISNUMBER(SEARCH('Benchmark Source Map'!$F$5:$F$13,$L70)))&gt;0,0)),"Other named sources")</f>
        <v>CMS and regulatory requirements (Five-Star Technical Users' Guide, RAI Manual, 42 CFR, Life Safety Code, state regulation)</v>
      </c>
    </row>
    <row r="71" spans="1:17" ht="45.95" customHeight="1">
      <c r="A71" s="6" t="s">
        <v>502</v>
      </c>
      <c r="B71" s="7" t="s">
        <v>305</v>
      </c>
      <c r="C71" s="7" t="s">
        <v>503</v>
      </c>
      <c r="D71" s="7" t="s">
        <v>504</v>
      </c>
      <c r="E71" s="8" t="s">
        <v>102</v>
      </c>
      <c r="F71" s="8"/>
      <c r="G71" s="8"/>
      <c r="H71" s="8"/>
      <c r="I71" s="8" t="s">
        <v>85</v>
      </c>
      <c r="J71" s="8"/>
      <c r="K71" s="7" t="s">
        <v>277</v>
      </c>
      <c r="L71" s="7" t="s">
        <v>505</v>
      </c>
      <c r="M71" s="7" t="s">
        <v>506</v>
      </c>
      <c r="N71" s="7" t="s">
        <v>317</v>
      </c>
      <c r="O71" s="7"/>
      <c r="P71" s="35" t="s">
        <v>507</v>
      </c>
      <c r="Q71" t="str" cm="1">
        <f t="array" ref="Q71">IFERROR(INDEX('Benchmark Source Map'!$A$5:$A$13,MATCH(TRUE,(ISNUMBER(SEARCH('Benchmark Source Map'!$E$5:$E$13,$L71))+ISNUMBER(SEARCH('Benchmark Source Map'!$F$5:$F$13,$L71)))&gt;0,0)),"Other named sources")</f>
        <v>CMS and regulatory requirements (Five-Star Technical Users' Guide, RAI Manual, 42 CFR, Life Safety Code, state regulation)</v>
      </c>
    </row>
    <row r="72" spans="1:17" ht="45.95" customHeight="1">
      <c r="A72" s="12" t="s">
        <v>508</v>
      </c>
      <c r="B72" s="13" t="s">
        <v>509</v>
      </c>
      <c r="C72" s="13" t="s">
        <v>510</v>
      </c>
      <c r="D72" s="13" t="s">
        <v>511</v>
      </c>
      <c r="E72" s="14" t="s">
        <v>84</v>
      </c>
      <c r="F72" s="14" t="s">
        <v>85</v>
      </c>
      <c r="G72" s="14" t="s">
        <v>85</v>
      </c>
      <c r="H72" s="14" t="s">
        <v>85</v>
      </c>
      <c r="I72" s="14"/>
      <c r="J72" s="14"/>
      <c r="K72" s="13" t="s">
        <v>86</v>
      </c>
      <c r="L72" s="13" t="s">
        <v>512</v>
      </c>
      <c r="M72" s="13" t="s">
        <v>513</v>
      </c>
      <c r="N72" s="13" t="s">
        <v>514</v>
      </c>
      <c r="O72" s="13" t="s">
        <v>515</v>
      </c>
      <c r="P72" s="37" t="s">
        <v>516</v>
      </c>
      <c r="Q72" t="str" cm="1">
        <f t="array" ref="Q72">IFERROR(INDEX('Benchmark Source Map'!$A$5:$A$13,MATCH(TRUE,(ISNUMBER(SEARCH('Benchmark Source Map'!$E$5:$E$13,$L72))+ISNUMBER(SEARCH('Benchmark Source Map'!$F$5:$F$13,$L72)))&gt;0,0)),"Other named sources")</f>
        <v>State of Seniors Housing (SOSH) 2025</v>
      </c>
    </row>
    <row r="73" spans="1:17" ht="45.95" customHeight="1">
      <c r="A73" s="6" t="s">
        <v>517</v>
      </c>
      <c r="B73" s="7" t="s">
        <v>509</v>
      </c>
      <c r="C73" s="7" t="s">
        <v>518</v>
      </c>
      <c r="D73" s="7" t="s">
        <v>519</v>
      </c>
      <c r="E73" s="8" t="s">
        <v>84</v>
      </c>
      <c r="F73" s="8"/>
      <c r="G73" s="8"/>
      <c r="H73" s="8"/>
      <c r="I73" s="8"/>
      <c r="J73" s="8" t="s">
        <v>85</v>
      </c>
      <c r="K73" s="7" t="s">
        <v>520</v>
      </c>
      <c r="L73" s="7" t="s">
        <v>521</v>
      </c>
      <c r="M73" s="7" t="s">
        <v>522</v>
      </c>
      <c r="N73" s="7" t="s">
        <v>523</v>
      </c>
      <c r="O73" s="7" t="s">
        <v>524</v>
      </c>
      <c r="P73" s="35" t="s">
        <v>525</v>
      </c>
      <c r="Q73" t="str" cm="1">
        <f t="array" ref="Q73">IFERROR(INDEX('Benchmark Source Map'!$A$5:$A$13,MATCH(TRUE,(ISNUMBER(SEARCH('Benchmark Source Map'!$E$5:$E$13,$L73))+ISNUMBER(SEARCH('Benchmark Source Map'!$F$5:$F$13,$L73)))&gt;0,0)),"Other named sources")</f>
        <v>CARF 2025 Financial Ratios and Trend Analysis</v>
      </c>
    </row>
    <row r="74" spans="1:17" ht="45.95" customHeight="1">
      <c r="A74" s="12" t="s">
        <v>526</v>
      </c>
      <c r="B74" s="13" t="s">
        <v>509</v>
      </c>
      <c r="C74" s="13" t="s">
        <v>527</v>
      </c>
      <c r="D74" s="13" t="s">
        <v>528</v>
      </c>
      <c r="E74" s="14" t="s">
        <v>84</v>
      </c>
      <c r="F74" s="14" t="s">
        <v>85</v>
      </c>
      <c r="G74" s="14" t="s">
        <v>85</v>
      </c>
      <c r="H74" s="14" t="s">
        <v>85</v>
      </c>
      <c r="I74" s="14" t="s">
        <v>85</v>
      </c>
      <c r="J74" s="14"/>
      <c r="K74" s="13" t="s">
        <v>86</v>
      </c>
      <c r="L74" s="13" t="s">
        <v>529</v>
      </c>
      <c r="M74" s="13" t="s">
        <v>530</v>
      </c>
      <c r="N74" s="13" t="s">
        <v>531</v>
      </c>
      <c r="O74" s="13" t="s">
        <v>532</v>
      </c>
      <c r="P74" s="37" t="s">
        <v>533</v>
      </c>
      <c r="Q74" t="str" cm="1">
        <f t="array" ref="Q74">IFERROR(INDEX('Benchmark Source Map'!$A$5:$A$13,MATCH(TRUE,(ISNUMBER(SEARCH('Benchmark Source Map'!$E$5:$E$13,$L74))+ISNUMBER(SEARCH('Benchmark Source Map'!$F$5:$F$13,$L74)))&gt;0,0)),"Other named sources")</f>
        <v>State of Seniors Housing (SOSH) 2025</v>
      </c>
    </row>
    <row r="75" spans="1:17" ht="45.95" customHeight="1">
      <c r="A75" s="6" t="s">
        <v>534</v>
      </c>
      <c r="B75" s="7" t="s">
        <v>509</v>
      </c>
      <c r="C75" s="7" t="s">
        <v>535</v>
      </c>
      <c r="D75" s="7" t="s">
        <v>536</v>
      </c>
      <c r="E75" s="8" t="s">
        <v>102</v>
      </c>
      <c r="F75" s="8" t="s">
        <v>85</v>
      </c>
      <c r="G75" s="8" t="s">
        <v>85</v>
      </c>
      <c r="H75" s="8" t="s">
        <v>85</v>
      </c>
      <c r="I75" s="8" t="s">
        <v>85</v>
      </c>
      <c r="J75" s="8"/>
      <c r="K75" s="7" t="s">
        <v>86</v>
      </c>
      <c r="L75" s="7" t="s">
        <v>537</v>
      </c>
      <c r="M75" s="7" t="s">
        <v>538</v>
      </c>
      <c r="N75" s="7" t="s">
        <v>539</v>
      </c>
      <c r="O75" s="7"/>
      <c r="P75" s="35" t="s">
        <v>540</v>
      </c>
      <c r="Q75" t="str" cm="1">
        <f t="array" ref="Q75">IFERROR(INDEX('Benchmark Source Map'!$A$5:$A$13,MATCH(TRUE,(ISNUMBER(SEARCH('Benchmark Source Map'!$E$5:$E$13,$L75))+ISNUMBER(SEARCH('Benchmark Source Map'!$F$5:$F$13,$L75)))&gt;0,0)),"Other named sources")</f>
        <v>State of Seniors Housing (SOSH) 2025</v>
      </c>
    </row>
    <row r="76" spans="1:17" ht="45.95" customHeight="1">
      <c r="A76" s="9" t="s">
        <v>541</v>
      </c>
      <c r="B76" s="10" t="s">
        <v>509</v>
      </c>
      <c r="C76" s="10" t="s">
        <v>542</v>
      </c>
      <c r="D76" s="10" t="s">
        <v>543</v>
      </c>
      <c r="E76" s="11" t="s">
        <v>102</v>
      </c>
      <c r="F76" s="11" t="s">
        <v>85</v>
      </c>
      <c r="G76" s="11" t="s">
        <v>85</v>
      </c>
      <c r="H76" s="11" t="s">
        <v>85</v>
      </c>
      <c r="I76" s="11" t="s">
        <v>85</v>
      </c>
      <c r="J76" s="11"/>
      <c r="K76" s="10" t="s">
        <v>94</v>
      </c>
      <c r="L76" s="10" t="s">
        <v>544</v>
      </c>
      <c r="M76" s="10" t="s">
        <v>545</v>
      </c>
      <c r="N76" s="10" t="s">
        <v>546</v>
      </c>
      <c r="O76" s="10"/>
      <c r="P76" s="36" t="s">
        <v>547</v>
      </c>
      <c r="Q76" t="str" cm="1">
        <f t="array" ref="Q76">IFERROR(INDEX('Benchmark Source Map'!$A$5:$A$13,MATCH(TRUE,(ISNUMBER(SEARCH('Benchmark Source Map'!$E$5:$E$13,$L76))+ISNUMBER(SEARCH('Benchmark Source Map'!$F$5:$F$13,$L76)))&gt;0,0)),"Other named sources")</f>
        <v>State of Seniors Housing (SOSH) 2025</v>
      </c>
    </row>
    <row r="77" spans="1:17" ht="45.95" customHeight="1">
      <c r="A77" s="6" t="s">
        <v>548</v>
      </c>
      <c r="B77" s="7" t="s">
        <v>509</v>
      </c>
      <c r="C77" s="7" t="s">
        <v>549</v>
      </c>
      <c r="D77" s="7" t="s">
        <v>550</v>
      </c>
      <c r="E77" s="8" t="s">
        <v>176</v>
      </c>
      <c r="F77" s="8" t="s">
        <v>85</v>
      </c>
      <c r="G77" s="8" t="s">
        <v>85</v>
      </c>
      <c r="H77" s="8" t="s">
        <v>85</v>
      </c>
      <c r="I77" s="8" t="s">
        <v>85</v>
      </c>
      <c r="J77" s="8"/>
      <c r="K77" s="7" t="s">
        <v>86</v>
      </c>
      <c r="L77" s="7" t="s">
        <v>551</v>
      </c>
      <c r="M77" s="7" t="s">
        <v>552</v>
      </c>
      <c r="N77" s="7" t="s">
        <v>553</v>
      </c>
      <c r="O77" s="7" t="s">
        <v>554</v>
      </c>
      <c r="P77" s="35" t="s">
        <v>555</v>
      </c>
      <c r="Q77" t="str" cm="1">
        <f t="array" ref="Q77">IFERROR(INDEX('Benchmark Source Map'!$A$5:$A$13,MATCH(TRUE,(ISNUMBER(SEARCH('Benchmark Source Map'!$E$5:$E$13,$L77))+ISNUMBER(SEARCH('Benchmark Source Map'!$F$5:$F$13,$L77)))&gt;0,0)),"Other named sources")</f>
        <v>State of Seniors Housing (SOSH) 2025</v>
      </c>
    </row>
    <row r="78" spans="1:17" ht="45.95" customHeight="1">
      <c r="A78" s="12" t="s">
        <v>556</v>
      </c>
      <c r="B78" s="13" t="s">
        <v>509</v>
      </c>
      <c r="C78" s="13" t="s">
        <v>557</v>
      </c>
      <c r="D78" s="13" t="s">
        <v>558</v>
      </c>
      <c r="E78" s="14" t="s">
        <v>102</v>
      </c>
      <c r="F78" s="14"/>
      <c r="G78" s="14"/>
      <c r="H78" s="14"/>
      <c r="I78" s="14"/>
      <c r="J78" s="14" t="s">
        <v>85</v>
      </c>
      <c r="K78" s="13" t="s">
        <v>72</v>
      </c>
      <c r="L78" s="13" t="s">
        <v>559</v>
      </c>
      <c r="M78" s="13" t="s">
        <v>560</v>
      </c>
      <c r="N78" s="13" t="s">
        <v>523</v>
      </c>
      <c r="O78" s="13" t="s">
        <v>561</v>
      </c>
      <c r="P78" s="37" t="s">
        <v>562</v>
      </c>
      <c r="Q78" t="str" cm="1">
        <f t="array" ref="Q78">IFERROR(INDEX('Benchmark Source Map'!$A$5:$A$13,MATCH(TRUE,(ISNUMBER(SEARCH('Benchmark Source Map'!$E$5:$E$13,$L78))+ISNUMBER(SEARCH('Benchmark Source Map'!$F$5:$F$13,$L78)))&gt;0,0)),"Other named sources")</f>
        <v>CARF 2025 Financial Ratios and Trend Analysis</v>
      </c>
    </row>
    <row r="79" spans="1:17" ht="45.95" customHeight="1">
      <c r="A79" s="6" t="s">
        <v>563</v>
      </c>
      <c r="B79" s="7" t="s">
        <v>509</v>
      </c>
      <c r="C79" s="7" t="s">
        <v>564</v>
      </c>
      <c r="D79" s="7" t="s">
        <v>565</v>
      </c>
      <c r="E79" s="8" t="s">
        <v>84</v>
      </c>
      <c r="F79" s="8"/>
      <c r="G79" s="8"/>
      <c r="H79" s="8"/>
      <c r="I79" s="8"/>
      <c r="J79" s="8" t="s">
        <v>85</v>
      </c>
      <c r="K79" s="7" t="s">
        <v>520</v>
      </c>
      <c r="L79" s="7" t="s">
        <v>566</v>
      </c>
      <c r="M79" s="7" t="s">
        <v>567</v>
      </c>
      <c r="N79" s="7" t="s">
        <v>568</v>
      </c>
      <c r="O79" s="7" t="s">
        <v>569</v>
      </c>
      <c r="P79" s="35" t="s">
        <v>570</v>
      </c>
      <c r="Q79" t="str" cm="1">
        <f t="array" ref="Q79">IFERROR(INDEX('Benchmark Source Map'!$A$5:$A$13,MATCH(TRUE,(ISNUMBER(SEARCH('Benchmark Source Map'!$E$5:$E$13,$L79))+ISNUMBER(SEARCH('Benchmark Source Map'!$F$5:$F$13,$L79)))&gt;0,0)),"Other named sources")</f>
        <v>CARF 2025 Financial Ratios and Trend Analysis</v>
      </c>
    </row>
    <row r="80" spans="1:17" ht="45.95" customHeight="1">
      <c r="A80" s="12" t="s">
        <v>571</v>
      </c>
      <c r="B80" s="13" t="s">
        <v>509</v>
      </c>
      <c r="C80" s="13" t="s">
        <v>572</v>
      </c>
      <c r="D80" s="13" t="s">
        <v>573</v>
      </c>
      <c r="E80" s="14" t="s">
        <v>84</v>
      </c>
      <c r="F80" s="14"/>
      <c r="G80" s="14"/>
      <c r="H80" s="14"/>
      <c r="I80" s="14"/>
      <c r="J80" s="14" t="s">
        <v>85</v>
      </c>
      <c r="K80" s="13" t="s">
        <v>520</v>
      </c>
      <c r="L80" s="13" t="s">
        <v>566</v>
      </c>
      <c r="M80" s="13" t="s">
        <v>574</v>
      </c>
      <c r="N80" s="13" t="s">
        <v>575</v>
      </c>
      <c r="O80" s="13" t="s">
        <v>576</v>
      </c>
      <c r="P80" s="37" t="s">
        <v>577</v>
      </c>
      <c r="Q80" t="str" cm="1">
        <f t="array" ref="Q80">IFERROR(INDEX('Benchmark Source Map'!$A$5:$A$13,MATCH(TRUE,(ISNUMBER(SEARCH('Benchmark Source Map'!$E$5:$E$13,$L80))+ISNUMBER(SEARCH('Benchmark Source Map'!$F$5:$F$13,$L80)))&gt;0,0)),"Other named sources")</f>
        <v>CARF 2025 Financial Ratios and Trend Analysis</v>
      </c>
    </row>
    <row r="81" spans="1:17" ht="45.95" customHeight="1">
      <c r="A81" s="6" t="s">
        <v>578</v>
      </c>
      <c r="B81" s="7" t="s">
        <v>509</v>
      </c>
      <c r="C81" s="7" t="s">
        <v>579</v>
      </c>
      <c r="D81" s="7" t="s">
        <v>580</v>
      </c>
      <c r="E81" s="8" t="s">
        <v>84</v>
      </c>
      <c r="F81" s="8"/>
      <c r="G81" s="8"/>
      <c r="H81" s="8"/>
      <c r="I81" s="8"/>
      <c r="J81" s="8" t="s">
        <v>85</v>
      </c>
      <c r="K81" s="7" t="s">
        <v>520</v>
      </c>
      <c r="L81" s="7" t="s">
        <v>119</v>
      </c>
      <c r="M81" s="7" t="s">
        <v>581</v>
      </c>
      <c r="N81" s="7" t="s">
        <v>582</v>
      </c>
      <c r="O81" s="7" t="s">
        <v>583</v>
      </c>
      <c r="P81" s="35" t="s">
        <v>584</v>
      </c>
      <c r="Q81" t="str" cm="1">
        <f t="array" ref="Q81">IFERROR(INDEX('Benchmark Source Map'!$A$5:$A$13,MATCH(TRUE,(ISNUMBER(SEARCH('Benchmark Source Map'!$E$5:$E$13,$L81))+ISNUMBER(SEARCH('Benchmark Source Map'!$F$5:$F$13,$L81)))&gt;0,0)),"Other named sources")</f>
        <v>Rob Clark - 2025 CCRC Performance Benchmarks and advisor internal standards</v>
      </c>
    </row>
    <row r="82" spans="1:17" ht="45.95" customHeight="1">
      <c r="A82" s="6" t="s">
        <v>585</v>
      </c>
      <c r="B82" s="7" t="s">
        <v>509</v>
      </c>
      <c r="C82" s="7" t="s">
        <v>586</v>
      </c>
      <c r="D82" s="7" t="s">
        <v>587</v>
      </c>
      <c r="E82" s="8" t="s">
        <v>102</v>
      </c>
      <c r="F82" s="8" t="s">
        <v>85</v>
      </c>
      <c r="G82" s="8" t="s">
        <v>85</v>
      </c>
      <c r="H82" s="8" t="s">
        <v>85</v>
      </c>
      <c r="I82" s="8" t="s">
        <v>85</v>
      </c>
      <c r="J82" s="8"/>
      <c r="K82" s="7" t="s">
        <v>94</v>
      </c>
      <c r="L82" s="7" t="s">
        <v>588</v>
      </c>
      <c r="M82" s="7" t="s">
        <v>589</v>
      </c>
      <c r="N82" s="59" t="s">
        <v>204</v>
      </c>
      <c r="O82" s="7" t="s">
        <v>590</v>
      </c>
      <c r="P82" s="35" t="s">
        <v>591</v>
      </c>
      <c r="Q82" s="33" t="str" cm="1">
        <f t="array" ref="Q82">IFERROR(INDEX('Benchmark Source Map'!$A$5:$A$13,MATCH(TRUE,(ISNUMBER(SEARCH('Benchmark Source Map'!$E$5:$E$13,$L82))+ISNUMBER(SEARCH('Benchmark Source Map'!$F$5:$F$13,$L82)))&gt;0,0)),"Other named sources")</f>
        <v>Kushant Shah - internal standard</v>
      </c>
    </row>
    <row r="83" spans="1:17" ht="45.95" customHeight="1">
      <c r="A83" s="6" t="s">
        <v>592</v>
      </c>
      <c r="B83" s="7" t="s">
        <v>509</v>
      </c>
      <c r="C83" s="7" t="s">
        <v>593</v>
      </c>
      <c r="D83" s="7" t="s">
        <v>594</v>
      </c>
      <c r="E83" s="8" t="s">
        <v>102</v>
      </c>
      <c r="F83" s="8" t="s">
        <v>85</v>
      </c>
      <c r="G83" s="8" t="s">
        <v>85</v>
      </c>
      <c r="H83" s="8" t="s">
        <v>85</v>
      </c>
      <c r="I83" s="8" t="s">
        <v>85</v>
      </c>
      <c r="J83" s="8"/>
      <c r="K83" s="7" t="s">
        <v>94</v>
      </c>
      <c r="L83" s="7" t="s">
        <v>202</v>
      </c>
      <c r="M83" s="7" t="s">
        <v>595</v>
      </c>
      <c r="N83" s="59" t="s">
        <v>204</v>
      </c>
      <c r="O83" s="7" t="s">
        <v>596</v>
      </c>
      <c r="P83" s="35" t="s">
        <v>597</v>
      </c>
      <c r="Q83" s="33" t="str" cm="1">
        <f t="array" ref="Q83">IFERROR(INDEX('Benchmark Source Map'!$A$5:$A$13,MATCH(TRUE,(ISNUMBER(SEARCH('Benchmark Source Map'!$E$5:$E$13,$L83))+ISNUMBER(SEARCH('Benchmark Source Map'!$F$5:$F$13,$L83)))&gt;0,0)),"Other named sources")</f>
        <v>Rob Clark - 2025 CCRC Performance Benchmarks and advisor internal standards</v>
      </c>
    </row>
    <row r="84" spans="1:17" ht="45.95" customHeight="1">
      <c r="A84" s="9" t="s">
        <v>598</v>
      </c>
      <c r="B84" s="10" t="s">
        <v>599</v>
      </c>
      <c r="C84" s="10" t="s">
        <v>600</v>
      </c>
      <c r="D84" s="10" t="s">
        <v>601</v>
      </c>
      <c r="E84" s="11" t="s">
        <v>102</v>
      </c>
      <c r="F84" s="11" t="s">
        <v>85</v>
      </c>
      <c r="G84" s="11" t="s">
        <v>85</v>
      </c>
      <c r="H84" s="11" t="s">
        <v>85</v>
      </c>
      <c r="I84" s="11" t="s">
        <v>85</v>
      </c>
      <c r="J84" s="11"/>
      <c r="K84" s="10" t="s">
        <v>94</v>
      </c>
      <c r="L84" s="10" t="s">
        <v>119</v>
      </c>
      <c r="M84" s="10" t="s">
        <v>602</v>
      </c>
      <c r="N84" s="10" t="s">
        <v>603</v>
      </c>
      <c r="O84" s="10" t="s">
        <v>604</v>
      </c>
      <c r="P84" s="36" t="s">
        <v>605</v>
      </c>
      <c r="Q84" t="str" cm="1">
        <f t="array" ref="Q84">IFERROR(INDEX('Benchmark Source Map'!$A$5:$A$13,MATCH(TRUE,(ISNUMBER(SEARCH('Benchmark Source Map'!$E$5:$E$13,$L84))+ISNUMBER(SEARCH('Benchmark Source Map'!$F$5:$F$13,$L84)))&gt;0,0)),"Other named sources")</f>
        <v>Rob Clark - 2025 CCRC Performance Benchmarks and advisor internal standards</v>
      </c>
    </row>
    <row r="85" spans="1:17" ht="45.95" customHeight="1">
      <c r="A85" s="9" t="s">
        <v>606</v>
      </c>
      <c r="B85" s="10" t="s">
        <v>599</v>
      </c>
      <c r="C85" s="10" t="s">
        <v>607</v>
      </c>
      <c r="D85" s="10" t="s">
        <v>608</v>
      </c>
      <c r="E85" s="11" t="s">
        <v>102</v>
      </c>
      <c r="F85" s="11" t="s">
        <v>85</v>
      </c>
      <c r="G85" s="11" t="s">
        <v>85</v>
      </c>
      <c r="H85" s="11" t="s">
        <v>85</v>
      </c>
      <c r="I85" s="11" t="s">
        <v>85</v>
      </c>
      <c r="J85" s="11"/>
      <c r="K85" s="10" t="s">
        <v>94</v>
      </c>
      <c r="L85" s="10" t="s">
        <v>119</v>
      </c>
      <c r="M85" s="10" t="s">
        <v>609</v>
      </c>
      <c r="N85" s="10" t="s">
        <v>603</v>
      </c>
      <c r="O85" s="10" t="s">
        <v>610</v>
      </c>
      <c r="P85" s="36" t="s">
        <v>611</v>
      </c>
      <c r="Q85" t="str" cm="1">
        <f t="array" ref="Q85">IFERROR(INDEX('Benchmark Source Map'!$A$5:$A$13,MATCH(TRUE,(ISNUMBER(SEARCH('Benchmark Source Map'!$E$5:$E$13,$L85))+ISNUMBER(SEARCH('Benchmark Source Map'!$F$5:$F$13,$L85)))&gt;0,0)),"Other named sources")</f>
        <v>Rob Clark - 2025 CCRC Performance Benchmarks and advisor internal standards</v>
      </c>
    </row>
    <row r="86" spans="1:17" ht="45.95" customHeight="1">
      <c r="A86" s="9" t="s">
        <v>612</v>
      </c>
      <c r="B86" s="10" t="s">
        <v>599</v>
      </c>
      <c r="C86" s="10" t="s">
        <v>613</v>
      </c>
      <c r="D86" s="10" t="s">
        <v>614</v>
      </c>
      <c r="E86" s="11" t="s">
        <v>84</v>
      </c>
      <c r="F86" s="11" t="s">
        <v>85</v>
      </c>
      <c r="G86" s="11" t="s">
        <v>85</v>
      </c>
      <c r="H86" s="11" t="s">
        <v>85</v>
      </c>
      <c r="I86" s="11" t="s">
        <v>85</v>
      </c>
      <c r="J86" s="11"/>
      <c r="K86" s="10" t="s">
        <v>94</v>
      </c>
      <c r="L86" s="10" t="s">
        <v>95</v>
      </c>
      <c r="M86" s="10" t="s">
        <v>615</v>
      </c>
      <c r="N86" s="10" t="s">
        <v>603</v>
      </c>
      <c r="O86" s="10" t="s">
        <v>616</v>
      </c>
      <c r="P86" s="36" t="s">
        <v>617</v>
      </c>
      <c r="Q86" t="str" cm="1">
        <f t="array" ref="Q86">IFERROR(INDEX('Benchmark Source Map'!$A$5:$A$13,MATCH(TRUE,(ISNUMBER(SEARCH('Benchmark Source Map'!$E$5:$E$13,$L86))+ISNUMBER(SEARCH('Benchmark Source Map'!$F$5:$F$13,$L86)))&gt;0,0)),"Other named sources")</f>
        <v>Rob Clark - 2025 CCRC Performance Benchmarks and advisor internal standards</v>
      </c>
    </row>
    <row r="87" spans="1:17" ht="45.95" customHeight="1">
      <c r="A87" s="9" t="s">
        <v>618</v>
      </c>
      <c r="B87" s="10" t="s">
        <v>599</v>
      </c>
      <c r="C87" s="10" t="s">
        <v>619</v>
      </c>
      <c r="D87" s="10" t="s">
        <v>620</v>
      </c>
      <c r="E87" s="11" t="s">
        <v>102</v>
      </c>
      <c r="F87" s="11" t="s">
        <v>85</v>
      </c>
      <c r="G87" s="11" t="s">
        <v>85</v>
      </c>
      <c r="H87" s="11" t="s">
        <v>85</v>
      </c>
      <c r="I87" s="11" t="s">
        <v>85</v>
      </c>
      <c r="J87" s="11"/>
      <c r="K87" s="10" t="s">
        <v>94</v>
      </c>
      <c r="L87" s="10" t="s">
        <v>95</v>
      </c>
      <c r="M87" s="10" t="s">
        <v>621</v>
      </c>
      <c r="N87" s="10" t="s">
        <v>622</v>
      </c>
      <c r="O87" s="10" t="s">
        <v>623</v>
      </c>
      <c r="P87" s="36" t="s">
        <v>624</v>
      </c>
      <c r="Q87" t="str" cm="1">
        <f t="array" ref="Q87">IFERROR(INDEX('Benchmark Source Map'!$A$5:$A$13,MATCH(TRUE,(ISNUMBER(SEARCH('Benchmark Source Map'!$E$5:$E$13,$L87))+ISNUMBER(SEARCH('Benchmark Source Map'!$F$5:$F$13,$L87)))&gt;0,0)),"Other named sources")</f>
        <v>Rob Clark - 2025 CCRC Performance Benchmarks and advisor internal standards</v>
      </c>
    </row>
    <row r="88" spans="1:17" ht="45.95" customHeight="1">
      <c r="A88" s="9" t="s">
        <v>625</v>
      </c>
      <c r="B88" s="10" t="s">
        <v>599</v>
      </c>
      <c r="C88" s="10" t="s">
        <v>626</v>
      </c>
      <c r="D88" s="10" t="s">
        <v>627</v>
      </c>
      <c r="E88" s="11" t="s">
        <v>102</v>
      </c>
      <c r="F88" s="11" t="s">
        <v>85</v>
      </c>
      <c r="G88" s="11" t="s">
        <v>85</v>
      </c>
      <c r="H88" s="11" t="s">
        <v>85</v>
      </c>
      <c r="I88" s="11" t="s">
        <v>85</v>
      </c>
      <c r="J88" s="11"/>
      <c r="K88" s="10" t="s">
        <v>94</v>
      </c>
      <c r="L88" s="10" t="s">
        <v>628</v>
      </c>
      <c r="M88" s="10" t="s">
        <v>629</v>
      </c>
      <c r="N88" s="10" t="s">
        <v>630</v>
      </c>
      <c r="O88" s="10" t="s">
        <v>631</v>
      </c>
      <c r="P88" s="36" t="s">
        <v>632</v>
      </c>
      <c r="Q88" t="str" cm="1">
        <f t="array" ref="Q88">IFERROR(INDEX('Benchmark Source Map'!$A$5:$A$13,MATCH(TRUE,(ISNUMBER(SEARCH('Benchmark Source Map'!$E$5:$E$13,$L88))+ISNUMBER(SEARCH('Benchmark Source Map'!$F$5:$F$13,$L88)))&gt;0,0)),"Other named sources")</f>
        <v>State of Seniors Housing (SOSH) 2025</v>
      </c>
    </row>
    <row r="89" spans="1:17" ht="45.95" customHeight="1">
      <c r="A89" s="9" t="s">
        <v>633</v>
      </c>
      <c r="B89" s="10" t="s">
        <v>599</v>
      </c>
      <c r="C89" s="10" t="s">
        <v>634</v>
      </c>
      <c r="D89" s="10" t="s">
        <v>635</v>
      </c>
      <c r="E89" s="11" t="s">
        <v>102</v>
      </c>
      <c r="F89" s="11" t="s">
        <v>85</v>
      </c>
      <c r="G89" s="11" t="s">
        <v>85</v>
      </c>
      <c r="H89" s="11" t="s">
        <v>85</v>
      </c>
      <c r="I89" s="11" t="s">
        <v>85</v>
      </c>
      <c r="J89" s="11"/>
      <c r="K89" s="10" t="s">
        <v>94</v>
      </c>
      <c r="L89" s="10" t="s">
        <v>95</v>
      </c>
      <c r="M89" s="10" t="s">
        <v>636</v>
      </c>
      <c r="N89" s="10" t="s">
        <v>637</v>
      </c>
      <c r="O89" s="10" t="s">
        <v>638</v>
      </c>
      <c r="P89" s="36" t="s">
        <v>639</v>
      </c>
      <c r="Q89" t="str" cm="1">
        <f t="array" ref="Q89">IFERROR(INDEX('Benchmark Source Map'!$A$5:$A$13,MATCH(TRUE,(ISNUMBER(SEARCH('Benchmark Source Map'!$E$5:$E$13,$L89))+ISNUMBER(SEARCH('Benchmark Source Map'!$F$5:$F$13,$L89)))&gt;0,0)),"Other named sources")</f>
        <v>Rob Clark - 2025 CCRC Performance Benchmarks and advisor internal standards</v>
      </c>
    </row>
    <row r="90" spans="1:17" ht="45.95" customHeight="1">
      <c r="A90" s="9" t="s">
        <v>640</v>
      </c>
      <c r="B90" s="10" t="s">
        <v>599</v>
      </c>
      <c r="C90" s="10" t="s">
        <v>641</v>
      </c>
      <c r="D90" s="10" t="s">
        <v>642</v>
      </c>
      <c r="E90" s="11" t="s">
        <v>102</v>
      </c>
      <c r="F90" s="11" t="s">
        <v>85</v>
      </c>
      <c r="G90" s="11" t="s">
        <v>85</v>
      </c>
      <c r="H90" s="11" t="s">
        <v>85</v>
      </c>
      <c r="I90" s="11" t="s">
        <v>85</v>
      </c>
      <c r="J90" s="11"/>
      <c r="K90" s="10" t="s">
        <v>94</v>
      </c>
      <c r="L90" s="10" t="s">
        <v>95</v>
      </c>
      <c r="M90" s="10" t="s">
        <v>643</v>
      </c>
      <c r="N90" s="10" t="s">
        <v>637</v>
      </c>
      <c r="O90" s="10" t="s">
        <v>644</v>
      </c>
      <c r="P90" s="36" t="s">
        <v>645</v>
      </c>
      <c r="Q90" t="str" cm="1">
        <f t="array" ref="Q90">IFERROR(INDEX('Benchmark Source Map'!$A$5:$A$13,MATCH(TRUE,(ISNUMBER(SEARCH('Benchmark Source Map'!$E$5:$E$13,$L90))+ISNUMBER(SEARCH('Benchmark Source Map'!$F$5:$F$13,$L90)))&gt;0,0)),"Other named sources")</f>
        <v>Rob Clark - 2025 CCRC Performance Benchmarks and advisor internal standards</v>
      </c>
    </row>
    <row r="91" spans="1:17" ht="45.95" customHeight="1">
      <c r="A91" s="9" t="s">
        <v>646</v>
      </c>
      <c r="B91" s="10" t="s">
        <v>599</v>
      </c>
      <c r="C91" s="10" t="s">
        <v>647</v>
      </c>
      <c r="D91" s="10" t="s">
        <v>126</v>
      </c>
      <c r="E91" s="11" t="s">
        <v>84</v>
      </c>
      <c r="F91" s="11" t="s">
        <v>85</v>
      </c>
      <c r="G91" s="11" t="s">
        <v>85</v>
      </c>
      <c r="H91" s="11" t="s">
        <v>85</v>
      </c>
      <c r="I91" s="11" t="s">
        <v>85</v>
      </c>
      <c r="J91" s="11"/>
      <c r="K91" s="10" t="s">
        <v>94</v>
      </c>
      <c r="L91" s="10" t="s">
        <v>119</v>
      </c>
      <c r="M91" s="10" t="s">
        <v>648</v>
      </c>
      <c r="N91" s="10" t="s">
        <v>121</v>
      </c>
      <c r="O91" s="10" t="s">
        <v>649</v>
      </c>
      <c r="P91" s="36" t="s">
        <v>650</v>
      </c>
      <c r="Q91" t="str" cm="1">
        <f t="array" ref="Q91">IFERROR(INDEX('Benchmark Source Map'!$A$5:$A$13,MATCH(TRUE,(ISNUMBER(SEARCH('Benchmark Source Map'!$E$5:$E$13,$L91))+ISNUMBER(SEARCH('Benchmark Source Map'!$F$5:$F$13,$L91)))&gt;0,0)),"Other named sources")</f>
        <v>Rob Clark - 2025 CCRC Performance Benchmarks and advisor internal standards</v>
      </c>
    </row>
    <row r="92" spans="1:17" ht="45.95" customHeight="1">
      <c r="A92" s="9" t="s">
        <v>651</v>
      </c>
      <c r="B92" s="10" t="s">
        <v>599</v>
      </c>
      <c r="C92" s="10" t="s">
        <v>652</v>
      </c>
      <c r="D92" s="10" t="s">
        <v>653</v>
      </c>
      <c r="E92" s="11" t="s">
        <v>84</v>
      </c>
      <c r="F92" s="11" t="s">
        <v>85</v>
      </c>
      <c r="G92" s="11" t="s">
        <v>85</v>
      </c>
      <c r="H92" s="11" t="s">
        <v>85</v>
      </c>
      <c r="I92" s="11" t="s">
        <v>85</v>
      </c>
      <c r="J92" s="11"/>
      <c r="K92" s="10" t="s">
        <v>94</v>
      </c>
      <c r="L92" s="10" t="s">
        <v>654</v>
      </c>
      <c r="M92" s="10" t="s">
        <v>655</v>
      </c>
      <c r="N92" s="10" t="s">
        <v>656</v>
      </c>
      <c r="O92" s="10"/>
      <c r="P92" s="36" t="s">
        <v>657</v>
      </c>
      <c r="Q92" t="str" cm="1">
        <f t="array" ref="Q92">IFERROR(INDEX('Benchmark Source Map'!$A$5:$A$13,MATCH(TRUE,(ISNUMBER(SEARCH('Benchmark Source Map'!$E$5:$E$13,$L92))+ISNUMBER(SEARCH('Benchmark Source Map'!$F$5:$F$13,$L92)))&gt;0,0)),"Other named sources")</f>
        <v>Rob Clark - 2025 CCRC Performance Benchmarks and advisor internal standards</v>
      </c>
    </row>
    <row r="93" spans="1:17" ht="45.95" customHeight="1">
      <c r="A93" s="9" t="s">
        <v>658</v>
      </c>
      <c r="B93" s="10" t="s">
        <v>599</v>
      </c>
      <c r="C93" s="10" t="s">
        <v>659</v>
      </c>
      <c r="D93" s="10" t="s">
        <v>660</v>
      </c>
      <c r="E93" s="11" t="s">
        <v>102</v>
      </c>
      <c r="F93" s="11" t="s">
        <v>85</v>
      </c>
      <c r="G93" s="11" t="s">
        <v>85</v>
      </c>
      <c r="H93" s="11" t="s">
        <v>85</v>
      </c>
      <c r="I93" s="11" t="s">
        <v>85</v>
      </c>
      <c r="J93" s="11"/>
      <c r="K93" s="10" t="s">
        <v>94</v>
      </c>
      <c r="L93" s="10" t="s">
        <v>661</v>
      </c>
      <c r="M93" s="10" t="s">
        <v>662</v>
      </c>
      <c r="N93" s="10" t="s">
        <v>663</v>
      </c>
      <c r="O93" s="10" t="s">
        <v>664</v>
      </c>
      <c r="P93" s="36" t="s">
        <v>665</v>
      </c>
      <c r="Q93" t="str" cm="1">
        <f t="array" ref="Q93">IFERROR(INDEX('Benchmark Source Map'!$A$5:$A$13,MATCH(TRUE,(ISNUMBER(SEARCH('Benchmark Source Map'!$E$5:$E$13,$L93))+ISNUMBER(SEARCH('Benchmark Source Map'!$F$5:$F$13,$L93)))&gt;0,0)),"Other named sources")</f>
        <v>State of Seniors Housing (SOSH) 2025</v>
      </c>
    </row>
    <row r="94" spans="1:17" ht="45.95" customHeight="1">
      <c r="A94" s="9" t="s">
        <v>666</v>
      </c>
      <c r="B94" s="10" t="s">
        <v>599</v>
      </c>
      <c r="C94" s="10" t="s">
        <v>667</v>
      </c>
      <c r="D94" s="10" t="s">
        <v>668</v>
      </c>
      <c r="E94" s="11" t="s">
        <v>102</v>
      </c>
      <c r="F94" s="11" t="s">
        <v>85</v>
      </c>
      <c r="G94" s="11" t="s">
        <v>85</v>
      </c>
      <c r="H94" s="11" t="s">
        <v>85</v>
      </c>
      <c r="I94" s="11" t="s">
        <v>85</v>
      </c>
      <c r="J94" s="11"/>
      <c r="K94" s="10" t="s">
        <v>94</v>
      </c>
      <c r="L94" s="10" t="s">
        <v>669</v>
      </c>
      <c r="M94" s="10" t="s">
        <v>670</v>
      </c>
      <c r="N94" s="59" t="s">
        <v>204</v>
      </c>
      <c r="O94" s="10" t="s">
        <v>671</v>
      </c>
      <c r="P94" s="36" t="s">
        <v>672</v>
      </c>
      <c r="Q94" s="33" t="str" cm="1">
        <f t="array" ref="Q94">IFERROR(INDEX('Benchmark Source Map'!$A$5:$A$13,MATCH(TRUE,(ISNUMBER(SEARCH('Benchmark Source Map'!$E$5:$E$13,$L94))+ISNUMBER(SEARCH('Benchmark Source Map'!$F$5:$F$13,$L94)))&gt;0,0)),"Other named sources")</f>
        <v>Rob Clark - 2025 CCRC Performance Benchmarks and advisor internal standards</v>
      </c>
    </row>
    <row r="95" spans="1:17" ht="45.95" customHeight="1">
      <c r="A95" s="9" t="s">
        <v>673</v>
      </c>
      <c r="B95" s="10" t="s">
        <v>27</v>
      </c>
      <c r="C95" s="10" t="s">
        <v>674</v>
      </c>
      <c r="D95" s="10" t="s">
        <v>675</v>
      </c>
      <c r="E95" s="11" t="s">
        <v>247</v>
      </c>
      <c r="F95" s="11" t="s">
        <v>85</v>
      </c>
      <c r="G95" s="11" t="s">
        <v>85</v>
      </c>
      <c r="H95" s="11" t="s">
        <v>85</v>
      </c>
      <c r="I95" s="11" t="s">
        <v>85</v>
      </c>
      <c r="J95" s="11"/>
      <c r="K95" s="10" t="s">
        <v>94</v>
      </c>
      <c r="L95" s="10" t="s">
        <v>676</v>
      </c>
      <c r="M95" s="10" t="s">
        <v>677</v>
      </c>
      <c r="N95" s="10" t="s">
        <v>678</v>
      </c>
      <c r="O95" s="10"/>
      <c r="P95" s="36" t="s">
        <v>679</v>
      </c>
      <c r="Q95" t="str" cm="1">
        <f t="array" ref="Q95">IFERROR(INDEX('Benchmark Source Map'!$A$5:$A$13,MATCH(TRUE,(ISNUMBER(SEARCH('Benchmark Source Map'!$E$5:$E$13,$L95))+ISNUMBER(SEARCH('Benchmark Source Map'!$F$5:$F$13,$L95)))&gt;0,0)),"Other named sources")</f>
        <v>Siemens / Brightly Senior Living Maintenance Benchmarks</v>
      </c>
    </row>
    <row r="96" spans="1:17" ht="45.95" customHeight="1">
      <c r="A96" s="9" t="s">
        <v>680</v>
      </c>
      <c r="B96" s="10" t="s">
        <v>27</v>
      </c>
      <c r="C96" s="10" t="s">
        <v>681</v>
      </c>
      <c r="D96" s="10" t="s">
        <v>682</v>
      </c>
      <c r="E96" s="11" t="s">
        <v>84</v>
      </c>
      <c r="F96" s="11" t="s">
        <v>85</v>
      </c>
      <c r="G96" s="11" t="s">
        <v>85</v>
      </c>
      <c r="H96" s="11" t="s">
        <v>85</v>
      </c>
      <c r="I96" s="11" t="s">
        <v>85</v>
      </c>
      <c r="J96" s="11"/>
      <c r="K96" s="10" t="s">
        <v>94</v>
      </c>
      <c r="L96" s="10" t="s">
        <v>683</v>
      </c>
      <c r="M96" s="10" t="s">
        <v>684</v>
      </c>
      <c r="N96" s="10" t="s">
        <v>678</v>
      </c>
      <c r="O96" s="10" t="s">
        <v>685</v>
      </c>
      <c r="P96" s="36" t="s">
        <v>686</v>
      </c>
      <c r="Q96" t="str" cm="1">
        <f t="array" ref="Q96">IFERROR(INDEX('Benchmark Source Map'!$A$5:$A$13,MATCH(TRUE,(ISNUMBER(SEARCH('Benchmark Source Map'!$E$5:$E$13,$L96))+ISNUMBER(SEARCH('Benchmark Source Map'!$F$5:$F$13,$L96)))&gt;0,0)),"Other named sources")</f>
        <v>Siemens / Brightly Senior Living Maintenance Benchmarks</v>
      </c>
    </row>
    <row r="97" spans="1:17" ht="45.95" customHeight="1">
      <c r="A97" s="9" t="s">
        <v>687</v>
      </c>
      <c r="B97" s="10" t="s">
        <v>27</v>
      </c>
      <c r="C97" s="10" t="s">
        <v>688</v>
      </c>
      <c r="D97" s="10" t="s">
        <v>689</v>
      </c>
      <c r="E97" s="11" t="s">
        <v>247</v>
      </c>
      <c r="F97" s="11" t="s">
        <v>85</v>
      </c>
      <c r="G97" s="11" t="s">
        <v>85</v>
      </c>
      <c r="H97" s="11" t="s">
        <v>85</v>
      </c>
      <c r="I97" s="11" t="s">
        <v>85</v>
      </c>
      <c r="J97" s="11"/>
      <c r="K97" s="10" t="s">
        <v>94</v>
      </c>
      <c r="L97" s="10" t="s">
        <v>683</v>
      </c>
      <c r="M97" s="10" t="s">
        <v>690</v>
      </c>
      <c r="N97" s="10" t="s">
        <v>678</v>
      </c>
      <c r="O97" s="10" t="s">
        <v>691</v>
      </c>
      <c r="P97" s="36" t="s">
        <v>692</v>
      </c>
      <c r="Q97" t="str" cm="1">
        <f t="array" ref="Q97">IFERROR(INDEX('Benchmark Source Map'!$A$5:$A$13,MATCH(TRUE,(ISNUMBER(SEARCH('Benchmark Source Map'!$E$5:$E$13,$L97))+ISNUMBER(SEARCH('Benchmark Source Map'!$F$5:$F$13,$L97)))&gt;0,0)),"Other named sources")</f>
        <v>Siemens / Brightly Senior Living Maintenance Benchmarks</v>
      </c>
    </row>
    <row r="98" spans="1:17" ht="45.95" customHeight="1">
      <c r="A98" s="9" t="s">
        <v>693</v>
      </c>
      <c r="B98" s="10" t="s">
        <v>27</v>
      </c>
      <c r="C98" s="10" t="s">
        <v>694</v>
      </c>
      <c r="D98" s="10" t="s">
        <v>695</v>
      </c>
      <c r="E98" s="11" t="s">
        <v>102</v>
      </c>
      <c r="F98" s="11" t="s">
        <v>85</v>
      </c>
      <c r="G98" s="11" t="s">
        <v>85</v>
      </c>
      <c r="H98" s="11" t="s">
        <v>85</v>
      </c>
      <c r="I98" s="11" t="s">
        <v>85</v>
      </c>
      <c r="J98" s="11"/>
      <c r="K98" s="10" t="s">
        <v>94</v>
      </c>
      <c r="L98" s="10" t="s">
        <v>683</v>
      </c>
      <c r="M98" s="10" t="s">
        <v>696</v>
      </c>
      <c r="N98" s="10" t="s">
        <v>678</v>
      </c>
      <c r="O98" s="10"/>
      <c r="P98" s="36" t="s">
        <v>697</v>
      </c>
      <c r="Q98" t="str" cm="1">
        <f t="array" ref="Q98">IFERROR(INDEX('Benchmark Source Map'!$A$5:$A$13,MATCH(TRUE,(ISNUMBER(SEARCH('Benchmark Source Map'!$E$5:$E$13,$L98))+ISNUMBER(SEARCH('Benchmark Source Map'!$F$5:$F$13,$L98)))&gt;0,0)),"Other named sources")</f>
        <v>Siemens / Brightly Senior Living Maintenance Benchmarks</v>
      </c>
    </row>
    <row r="99" spans="1:17" ht="45.95" customHeight="1">
      <c r="A99" s="9" t="s">
        <v>698</v>
      </c>
      <c r="B99" s="10" t="s">
        <v>27</v>
      </c>
      <c r="C99" s="10" t="s">
        <v>699</v>
      </c>
      <c r="D99" s="10" t="s">
        <v>700</v>
      </c>
      <c r="E99" s="11" t="s">
        <v>102</v>
      </c>
      <c r="F99" s="11" t="s">
        <v>85</v>
      </c>
      <c r="G99" s="11" t="s">
        <v>85</v>
      </c>
      <c r="H99" s="11" t="s">
        <v>85</v>
      </c>
      <c r="I99" s="11" t="s">
        <v>85</v>
      </c>
      <c r="J99" s="11"/>
      <c r="K99" s="10" t="s">
        <v>94</v>
      </c>
      <c r="L99" s="10" t="s">
        <v>683</v>
      </c>
      <c r="M99" s="10" t="s">
        <v>701</v>
      </c>
      <c r="N99" s="10" t="s">
        <v>678</v>
      </c>
      <c r="O99" s="10" t="s">
        <v>702</v>
      </c>
      <c r="P99" s="36" t="s">
        <v>703</v>
      </c>
      <c r="Q99" t="str" cm="1">
        <f t="array" ref="Q99">IFERROR(INDEX('Benchmark Source Map'!$A$5:$A$13,MATCH(TRUE,(ISNUMBER(SEARCH('Benchmark Source Map'!$E$5:$E$13,$L99))+ISNUMBER(SEARCH('Benchmark Source Map'!$F$5:$F$13,$L99)))&gt;0,0)),"Other named sources")</f>
        <v>Siemens / Brightly Senior Living Maintenance Benchmarks</v>
      </c>
    </row>
    <row r="100" spans="1:17" ht="45.95" customHeight="1">
      <c r="A100" s="9" t="s">
        <v>704</v>
      </c>
      <c r="B100" s="10" t="s">
        <v>27</v>
      </c>
      <c r="C100" s="10" t="s">
        <v>705</v>
      </c>
      <c r="D100" s="10" t="s">
        <v>706</v>
      </c>
      <c r="E100" s="11" t="s">
        <v>247</v>
      </c>
      <c r="F100" s="11" t="s">
        <v>85</v>
      </c>
      <c r="G100" s="11" t="s">
        <v>85</v>
      </c>
      <c r="H100" s="11" t="s">
        <v>85</v>
      </c>
      <c r="I100" s="11" t="s">
        <v>85</v>
      </c>
      <c r="J100" s="11"/>
      <c r="K100" s="10" t="s">
        <v>94</v>
      </c>
      <c r="L100" s="10" t="s">
        <v>683</v>
      </c>
      <c r="M100" s="10" t="s">
        <v>707</v>
      </c>
      <c r="N100" s="10" t="s">
        <v>708</v>
      </c>
      <c r="O100" s="10" t="s">
        <v>709</v>
      </c>
      <c r="P100" s="36" t="s">
        <v>710</v>
      </c>
      <c r="Q100" t="str" cm="1">
        <f t="array" ref="Q100">IFERROR(INDEX('Benchmark Source Map'!$A$5:$A$13,MATCH(TRUE,(ISNUMBER(SEARCH('Benchmark Source Map'!$E$5:$E$13,$L100))+ISNUMBER(SEARCH('Benchmark Source Map'!$F$5:$F$13,$L100)))&gt;0,0)),"Other named sources")</f>
        <v>Siemens / Brightly Senior Living Maintenance Benchmarks</v>
      </c>
    </row>
    <row r="101" spans="1:17" ht="45.95" customHeight="1">
      <c r="A101" s="9" t="s">
        <v>711</v>
      </c>
      <c r="B101" s="10" t="s">
        <v>27</v>
      </c>
      <c r="C101" s="10" t="s">
        <v>712</v>
      </c>
      <c r="D101" s="10" t="s">
        <v>713</v>
      </c>
      <c r="E101" s="11" t="s">
        <v>84</v>
      </c>
      <c r="F101" s="11" t="s">
        <v>85</v>
      </c>
      <c r="G101" s="11" t="s">
        <v>85</v>
      </c>
      <c r="H101" s="11" t="s">
        <v>85</v>
      </c>
      <c r="I101" s="11" t="s">
        <v>85</v>
      </c>
      <c r="J101" s="11"/>
      <c r="K101" s="10" t="s">
        <v>94</v>
      </c>
      <c r="L101" s="10" t="s">
        <v>714</v>
      </c>
      <c r="M101" s="10" t="s">
        <v>715</v>
      </c>
      <c r="N101" s="10" t="s">
        <v>678</v>
      </c>
      <c r="O101" s="10" t="s">
        <v>716</v>
      </c>
      <c r="P101" s="36" t="s">
        <v>717</v>
      </c>
      <c r="Q101" t="str" cm="1">
        <f t="array" ref="Q101">IFERROR(INDEX('Benchmark Source Map'!$A$5:$A$13,MATCH(TRUE,(ISNUMBER(SEARCH('Benchmark Source Map'!$E$5:$E$13,$L101))+ISNUMBER(SEARCH('Benchmark Source Map'!$F$5:$F$13,$L101)))&gt;0,0)),"Other named sources")</f>
        <v>Siemens / Brightly Senior Living Maintenance Benchmarks</v>
      </c>
    </row>
    <row r="102" spans="1:17" ht="45.95" customHeight="1">
      <c r="A102" s="9" t="s">
        <v>718</v>
      </c>
      <c r="B102" s="10" t="s">
        <v>27</v>
      </c>
      <c r="C102" s="10" t="s">
        <v>719</v>
      </c>
      <c r="D102" s="10" t="s">
        <v>720</v>
      </c>
      <c r="E102" s="11" t="s">
        <v>102</v>
      </c>
      <c r="F102" s="11" t="s">
        <v>85</v>
      </c>
      <c r="G102" s="11" t="s">
        <v>85</v>
      </c>
      <c r="H102" s="11" t="s">
        <v>85</v>
      </c>
      <c r="I102" s="11" t="s">
        <v>85</v>
      </c>
      <c r="J102" s="11"/>
      <c r="K102" s="10" t="s">
        <v>94</v>
      </c>
      <c r="L102" s="10" t="s">
        <v>721</v>
      </c>
      <c r="M102" s="10" t="s">
        <v>722</v>
      </c>
      <c r="N102" s="10" t="s">
        <v>723</v>
      </c>
      <c r="O102" s="10" t="s">
        <v>724</v>
      </c>
      <c r="P102" s="36" t="s">
        <v>725</v>
      </c>
      <c r="Q102" t="str" cm="1">
        <f t="array" ref="Q102">IFERROR(INDEX('Benchmark Source Map'!$A$5:$A$13,MATCH(TRUE,(ISNUMBER(SEARCH('Benchmark Source Map'!$E$5:$E$13,$L102))+ISNUMBER(SEARCH('Benchmark Source Map'!$F$5:$F$13,$L102)))&gt;0,0)),"Other named sources")</f>
        <v>CMS and regulatory requirements (Five-Star Technical Users' Guide, RAI Manual, 42 CFR, Life Safety Code, state regulation)</v>
      </c>
    </row>
    <row r="103" spans="1:17" ht="45.95" customHeight="1">
      <c r="A103" s="12" t="s">
        <v>726</v>
      </c>
      <c r="B103" s="13" t="s">
        <v>27</v>
      </c>
      <c r="C103" s="13" t="s">
        <v>727</v>
      </c>
      <c r="D103" s="13" t="s">
        <v>728</v>
      </c>
      <c r="E103" s="14" t="s">
        <v>102</v>
      </c>
      <c r="F103" s="14"/>
      <c r="G103" s="14"/>
      <c r="H103" s="14"/>
      <c r="I103" s="14"/>
      <c r="J103" s="14" t="s">
        <v>85</v>
      </c>
      <c r="K103" s="13" t="s">
        <v>72</v>
      </c>
      <c r="L103" s="13" t="s">
        <v>559</v>
      </c>
      <c r="M103" s="13" t="s">
        <v>729</v>
      </c>
      <c r="N103" s="13" t="s">
        <v>568</v>
      </c>
      <c r="O103" s="13" t="s">
        <v>730</v>
      </c>
      <c r="P103" s="37" t="s">
        <v>731</v>
      </c>
      <c r="Q103" t="str" cm="1">
        <f t="array" ref="Q103">IFERROR(INDEX('Benchmark Source Map'!$A$5:$A$13,MATCH(TRUE,(ISNUMBER(SEARCH('Benchmark Source Map'!$E$5:$E$13,$L103))+ISNUMBER(SEARCH('Benchmark Source Map'!$F$5:$F$13,$L103)))&gt;0,0)),"Other named sources")</f>
        <v>CARF 2025 Financial Ratios and Trend Analysis</v>
      </c>
    </row>
    <row r="104" spans="1:17" ht="45.95" customHeight="1">
      <c r="A104" s="9" t="s">
        <v>732</v>
      </c>
      <c r="B104" s="10" t="s">
        <v>27</v>
      </c>
      <c r="C104" s="10" t="s">
        <v>733</v>
      </c>
      <c r="D104" s="10" t="s">
        <v>734</v>
      </c>
      <c r="E104" s="11" t="s">
        <v>102</v>
      </c>
      <c r="F104" s="11" t="s">
        <v>85</v>
      </c>
      <c r="G104" s="11" t="s">
        <v>85</v>
      </c>
      <c r="H104" s="11" t="s">
        <v>85</v>
      </c>
      <c r="I104" s="11" t="s">
        <v>85</v>
      </c>
      <c r="J104" s="11"/>
      <c r="K104" s="10" t="s">
        <v>94</v>
      </c>
      <c r="L104" s="10" t="s">
        <v>735</v>
      </c>
      <c r="M104" s="10" t="s">
        <v>736</v>
      </c>
      <c r="N104" s="10" t="s">
        <v>737</v>
      </c>
      <c r="O104" s="10"/>
      <c r="P104" s="36" t="s">
        <v>738</v>
      </c>
      <c r="Q104" t="str" cm="1">
        <f t="array" ref="Q104">IFERROR(INDEX('Benchmark Source Map'!$A$5:$A$13,MATCH(TRUE,(ISNUMBER(SEARCH('Benchmark Source Map'!$E$5:$E$13,$L104))+ISNUMBER(SEARCH('Benchmark Source Map'!$F$5:$F$13,$L104)))&gt;0,0)),"Other named sources")</f>
        <v>EPA ENERGY STAR Portfolio Manager</v>
      </c>
    </row>
    <row r="105" spans="1:17" ht="45.95" customHeight="1">
      <c r="A105" s="9" t="s">
        <v>739</v>
      </c>
      <c r="B105" s="10" t="s">
        <v>740</v>
      </c>
      <c r="C105" s="10" t="s">
        <v>741</v>
      </c>
      <c r="D105" s="10" t="s">
        <v>742</v>
      </c>
      <c r="E105" s="11" t="s">
        <v>84</v>
      </c>
      <c r="F105" s="11" t="s">
        <v>85</v>
      </c>
      <c r="G105" s="11" t="s">
        <v>85</v>
      </c>
      <c r="H105" s="11" t="s">
        <v>85</v>
      </c>
      <c r="I105" s="11" t="s">
        <v>85</v>
      </c>
      <c r="J105" s="11"/>
      <c r="K105" s="10" t="s">
        <v>94</v>
      </c>
      <c r="L105" s="10" t="s">
        <v>95</v>
      </c>
      <c r="M105" s="10" t="s">
        <v>743</v>
      </c>
      <c r="N105" s="10" t="s">
        <v>744</v>
      </c>
      <c r="O105" s="10" t="s">
        <v>745</v>
      </c>
      <c r="P105" s="36" t="s">
        <v>746</v>
      </c>
      <c r="Q105" t="str" cm="1">
        <f t="array" ref="Q105">IFERROR(INDEX('Benchmark Source Map'!$A$5:$A$13,MATCH(TRUE,(ISNUMBER(SEARCH('Benchmark Source Map'!$E$5:$E$13,$L105))+ISNUMBER(SEARCH('Benchmark Source Map'!$F$5:$F$13,$L105)))&gt;0,0)),"Other named sources")</f>
        <v>Rob Clark - 2025 CCRC Performance Benchmarks and advisor internal standards</v>
      </c>
    </row>
    <row r="106" spans="1:17" ht="45.95" customHeight="1">
      <c r="A106" s="9" t="s">
        <v>747</v>
      </c>
      <c r="B106" s="10" t="s">
        <v>740</v>
      </c>
      <c r="C106" s="10" t="s">
        <v>748</v>
      </c>
      <c r="D106" s="10" t="s">
        <v>749</v>
      </c>
      <c r="E106" s="11" t="s">
        <v>247</v>
      </c>
      <c r="F106" s="11" t="s">
        <v>85</v>
      </c>
      <c r="G106" s="11" t="s">
        <v>85</v>
      </c>
      <c r="H106" s="11" t="s">
        <v>85</v>
      </c>
      <c r="I106" s="11" t="s">
        <v>85</v>
      </c>
      <c r="J106" s="11"/>
      <c r="K106" s="10" t="s">
        <v>94</v>
      </c>
      <c r="L106" s="10" t="s">
        <v>95</v>
      </c>
      <c r="M106" s="10" t="s">
        <v>750</v>
      </c>
      <c r="N106" s="10" t="s">
        <v>751</v>
      </c>
      <c r="O106" s="10" t="s">
        <v>752</v>
      </c>
      <c r="P106" s="36" t="s">
        <v>753</v>
      </c>
      <c r="Q106" t="str" cm="1">
        <f t="array" ref="Q106">IFERROR(INDEX('Benchmark Source Map'!$A$5:$A$13,MATCH(TRUE,(ISNUMBER(SEARCH('Benchmark Source Map'!$E$5:$E$13,$L106))+ISNUMBER(SEARCH('Benchmark Source Map'!$F$5:$F$13,$L106)))&gt;0,0)),"Other named sources")</f>
        <v>Rob Clark - 2025 CCRC Performance Benchmarks and advisor internal standards</v>
      </c>
    </row>
    <row r="107" spans="1:17" ht="45.95" customHeight="1">
      <c r="A107" s="9" t="s">
        <v>754</v>
      </c>
      <c r="B107" s="10" t="s">
        <v>740</v>
      </c>
      <c r="C107" s="10" t="s">
        <v>755</v>
      </c>
      <c r="D107" s="10" t="s">
        <v>126</v>
      </c>
      <c r="E107" s="11" t="s">
        <v>84</v>
      </c>
      <c r="F107" s="11" t="s">
        <v>85</v>
      </c>
      <c r="G107" s="11" t="s">
        <v>85</v>
      </c>
      <c r="H107" s="11" t="s">
        <v>85</v>
      </c>
      <c r="I107" s="11" t="s">
        <v>85</v>
      </c>
      <c r="J107" s="11"/>
      <c r="K107" s="10" t="s">
        <v>94</v>
      </c>
      <c r="L107" s="10" t="s">
        <v>756</v>
      </c>
      <c r="M107" s="10" t="s">
        <v>757</v>
      </c>
      <c r="N107" s="10" t="s">
        <v>121</v>
      </c>
      <c r="O107" s="10" t="s">
        <v>758</v>
      </c>
      <c r="P107" s="36" t="s">
        <v>759</v>
      </c>
      <c r="Q107" t="str" cm="1">
        <f t="array" ref="Q107">IFERROR(INDEX('Benchmark Source Map'!$A$5:$A$13,MATCH(TRUE,(ISNUMBER(SEARCH('Benchmark Source Map'!$E$5:$E$13,$L107))+ISNUMBER(SEARCH('Benchmark Source Map'!$F$5:$F$13,$L107)))&gt;0,0)),"Other named sources")</f>
        <v>Rob Clark - 2025 CCRC Performance Benchmarks and advisor internal standards</v>
      </c>
    </row>
    <row r="108" spans="1:17" ht="45.95" customHeight="1">
      <c r="A108" s="12" t="s">
        <v>760</v>
      </c>
      <c r="B108" s="13" t="s">
        <v>740</v>
      </c>
      <c r="C108" s="13" t="s">
        <v>761</v>
      </c>
      <c r="D108" s="13" t="s">
        <v>762</v>
      </c>
      <c r="E108" s="14" t="s">
        <v>84</v>
      </c>
      <c r="F108" s="14" t="s">
        <v>85</v>
      </c>
      <c r="G108" s="14" t="s">
        <v>85</v>
      </c>
      <c r="H108" s="14" t="s">
        <v>85</v>
      </c>
      <c r="I108" s="14"/>
      <c r="J108" s="14"/>
      <c r="K108" s="13" t="s">
        <v>86</v>
      </c>
      <c r="L108" s="13" t="s">
        <v>119</v>
      </c>
      <c r="M108" s="13" t="s">
        <v>763</v>
      </c>
      <c r="N108" s="13" t="s">
        <v>764</v>
      </c>
      <c r="O108" s="13"/>
      <c r="P108" s="37" t="s">
        <v>765</v>
      </c>
      <c r="Q108" t="str" cm="1">
        <f t="array" ref="Q108">IFERROR(INDEX('Benchmark Source Map'!$A$5:$A$13,MATCH(TRUE,(ISNUMBER(SEARCH('Benchmark Source Map'!$E$5:$E$13,$L108))+ISNUMBER(SEARCH('Benchmark Source Map'!$F$5:$F$13,$L108)))&gt;0,0)),"Other named sources")</f>
        <v>Rob Clark - 2025 CCRC Performance Benchmarks and advisor internal standards</v>
      </c>
    </row>
    <row r="109" spans="1:17" ht="45.95" customHeight="1">
      <c r="A109" s="9" t="s">
        <v>766</v>
      </c>
      <c r="B109" s="10" t="s">
        <v>740</v>
      </c>
      <c r="C109" s="10" t="s">
        <v>767</v>
      </c>
      <c r="D109" s="10" t="s">
        <v>768</v>
      </c>
      <c r="E109" s="11" t="s">
        <v>176</v>
      </c>
      <c r="F109" s="11" t="s">
        <v>85</v>
      </c>
      <c r="G109" s="11" t="s">
        <v>85</v>
      </c>
      <c r="H109" s="11" t="s">
        <v>85</v>
      </c>
      <c r="I109" s="11" t="s">
        <v>85</v>
      </c>
      <c r="J109" s="11"/>
      <c r="K109" s="10" t="s">
        <v>94</v>
      </c>
      <c r="L109" s="10" t="s">
        <v>95</v>
      </c>
      <c r="M109" s="10" t="s">
        <v>769</v>
      </c>
      <c r="N109" s="10" t="s">
        <v>751</v>
      </c>
      <c r="O109" s="10" t="s">
        <v>770</v>
      </c>
      <c r="P109" s="36" t="s">
        <v>771</v>
      </c>
      <c r="Q109" t="str" cm="1">
        <f t="array" ref="Q109">IFERROR(INDEX('Benchmark Source Map'!$A$5:$A$13,MATCH(TRUE,(ISNUMBER(SEARCH('Benchmark Source Map'!$E$5:$E$13,$L109))+ISNUMBER(SEARCH('Benchmark Source Map'!$F$5:$F$13,$L109)))&gt;0,0)),"Other named sources")</f>
        <v>Rob Clark - 2025 CCRC Performance Benchmarks and advisor internal standards</v>
      </c>
    </row>
    <row r="110" spans="1:17" ht="45.95" customHeight="1">
      <c r="A110" s="9" t="s">
        <v>772</v>
      </c>
      <c r="B110" s="10" t="s">
        <v>740</v>
      </c>
      <c r="C110" s="10" t="s">
        <v>773</v>
      </c>
      <c r="D110" s="10" t="s">
        <v>774</v>
      </c>
      <c r="E110" s="11" t="s">
        <v>84</v>
      </c>
      <c r="F110" s="11" t="s">
        <v>85</v>
      </c>
      <c r="G110" s="11" t="s">
        <v>85</v>
      </c>
      <c r="H110" s="11" t="s">
        <v>85</v>
      </c>
      <c r="I110" s="11" t="s">
        <v>85</v>
      </c>
      <c r="J110" s="11"/>
      <c r="K110" s="10" t="s">
        <v>94</v>
      </c>
      <c r="L110" s="10" t="s">
        <v>95</v>
      </c>
      <c r="M110" s="10" t="s">
        <v>775</v>
      </c>
      <c r="N110" s="59" t="s">
        <v>776</v>
      </c>
      <c r="O110" s="10" t="s">
        <v>777</v>
      </c>
      <c r="P110" s="36" t="s">
        <v>778</v>
      </c>
      <c r="Q110" s="33" t="str" cm="1">
        <f t="array" ref="Q110">IFERROR(INDEX('Benchmark Source Map'!$A$5:$A$13,MATCH(TRUE,(ISNUMBER(SEARCH('Benchmark Source Map'!$E$5:$E$13,$L110))+ISNUMBER(SEARCH('Benchmark Source Map'!$F$5:$F$13,$L110)))&gt;0,0)),"Other named sources")</f>
        <v>Rob Clark - 2025 CCRC Performance Benchmarks and advisor internal standards</v>
      </c>
    </row>
    <row r="111" spans="1:17" ht="45.95" customHeight="1">
      <c r="A111" s="12" t="s">
        <v>779</v>
      </c>
      <c r="B111" s="13" t="s">
        <v>780</v>
      </c>
      <c r="C111" s="13" t="s">
        <v>781</v>
      </c>
      <c r="D111" s="13" t="s">
        <v>782</v>
      </c>
      <c r="E111" s="14" t="s">
        <v>102</v>
      </c>
      <c r="F111" s="14" t="s">
        <v>85</v>
      </c>
      <c r="G111" s="14" t="s">
        <v>85</v>
      </c>
      <c r="H111" s="14" t="s">
        <v>85</v>
      </c>
      <c r="I111" s="14" t="s">
        <v>85</v>
      </c>
      <c r="J111" s="14"/>
      <c r="K111" s="13" t="s">
        <v>86</v>
      </c>
      <c r="L111" s="13" t="s">
        <v>783</v>
      </c>
      <c r="M111" s="13" t="s">
        <v>784</v>
      </c>
      <c r="N111" s="13" t="s">
        <v>785</v>
      </c>
      <c r="O111" s="13" t="s">
        <v>786</v>
      </c>
      <c r="P111" s="37" t="s">
        <v>787</v>
      </c>
      <c r="Q111" t="str" cm="1">
        <f t="array" ref="Q111">IFERROR(INDEX('Benchmark Source Map'!$A$5:$A$13,MATCH(TRUE,(ISNUMBER(SEARCH('Benchmark Source Map'!$E$5:$E$13,$L111))+ISNUMBER(SEARCH('Benchmark Source Map'!$F$5:$F$13,$L111)))&gt;0,0)),"Other named sources")</f>
        <v>State of Seniors Housing (SOSH) 2025</v>
      </c>
    </row>
    <row r="112" spans="1:17" ht="45.95" customHeight="1">
      <c r="A112" s="6" t="s">
        <v>788</v>
      </c>
      <c r="B112" s="7" t="s">
        <v>780</v>
      </c>
      <c r="C112" s="7" t="s">
        <v>789</v>
      </c>
      <c r="D112" s="7" t="s">
        <v>790</v>
      </c>
      <c r="E112" s="8" t="s">
        <v>102</v>
      </c>
      <c r="F112" s="8" t="s">
        <v>85</v>
      </c>
      <c r="G112" s="8" t="s">
        <v>85</v>
      </c>
      <c r="H112" s="8" t="s">
        <v>85</v>
      </c>
      <c r="I112" s="8" t="s">
        <v>85</v>
      </c>
      <c r="J112" s="8"/>
      <c r="K112" s="7" t="s">
        <v>86</v>
      </c>
      <c r="L112" s="7" t="s">
        <v>791</v>
      </c>
      <c r="M112" s="7" t="s">
        <v>792</v>
      </c>
      <c r="N112" s="7" t="s">
        <v>793</v>
      </c>
      <c r="O112" s="7" t="s">
        <v>794</v>
      </c>
      <c r="P112" s="35" t="s">
        <v>795</v>
      </c>
      <c r="Q112" t="str" cm="1">
        <f t="array" ref="Q112">IFERROR(INDEX('Benchmark Source Map'!$A$5:$A$13,MATCH(TRUE,(ISNUMBER(SEARCH('Benchmark Source Map'!$E$5:$E$13,$L112))+ISNUMBER(SEARCH('Benchmark Source Map'!$F$5:$F$13,$L112)))&gt;0,0)),"Other named sources")</f>
        <v>State of Seniors Housing (SOSH) 2025</v>
      </c>
    </row>
    <row r="113" spans="1:17" ht="45.95" customHeight="1">
      <c r="A113" s="12" t="s">
        <v>796</v>
      </c>
      <c r="B113" s="13" t="s">
        <v>780</v>
      </c>
      <c r="C113" s="13" t="s">
        <v>797</v>
      </c>
      <c r="D113" s="13" t="s">
        <v>798</v>
      </c>
      <c r="E113" s="14" t="s">
        <v>84</v>
      </c>
      <c r="F113" s="14" t="s">
        <v>85</v>
      </c>
      <c r="G113" s="14" t="s">
        <v>85</v>
      </c>
      <c r="H113" s="14" t="s">
        <v>85</v>
      </c>
      <c r="I113" s="14"/>
      <c r="J113" s="14"/>
      <c r="K113" s="13" t="s">
        <v>86</v>
      </c>
      <c r="L113" s="13" t="s">
        <v>95</v>
      </c>
      <c r="M113" s="13" t="s">
        <v>799</v>
      </c>
      <c r="N113" s="13" t="s">
        <v>800</v>
      </c>
      <c r="O113" s="13" t="s">
        <v>801</v>
      </c>
      <c r="P113" s="37" t="s">
        <v>802</v>
      </c>
      <c r="Q113" t="str" cm="1">
        <f t="array" ref="Q113">IFERROR(INDEX('Benchmark Source Map'!$A$5:$A$13,MATCH(TRUE,(ISNUMBER(SEARCH('Benchmark Source Map'!$E$5:$E$13,$L113))+ISNUMBER(SEARCH('Benchmark Source Map'!$F$5:$F$13,$L113)))&gt;0,0)),"Other named sources")</f>
        <v>Rob Clark - 2025 CCRC Performance Benchmarks and advisor internal standards</v>
      </c>
    </row>
    <row r="114" spans="1:17" ht="45.95" customHeight="1">
      <c r="A114" s="9" t="s">
        <v>803</v>
      </c>
      <c r="B114" s="10" t="s">
        <v>780</v>
      </c>
      <c r="C114" s="10" t="s">
        <v>804</v>
      </c>
      <c r="D114" s="10" t="s">
        <v>126</v>
      </c>
      <c r="E114" s="11" t="s">
        <v>84</v>
      </c>
      <c r="F114" s="11" t="s">
        <v>85</v>
      </c>
      <c r="G114" s="11" t="s">
        <v>85</v>
      </c>
      <c r="H114" s="11" t="s">
        <v>85</v>
      </c>
      <c r="I114" s="11" t="s">
        <v>85</v>
      </c>
      <c r="J114" s="11"/>
      <c r="K114" s="10" t="s">
        <v>94</v>
      </c>
      <c r="L114" s="10" t="s">
        <v>805</v>
      </c>
      <c r="M114" s="10" t="s">
        <v>806</v>
      </c>
      <c r="N114" s="10" t="s">
        <v>121</v>
      </c>
      <c r="O114" s="10" t="s">
        <v>807</v>
      </c>
      <c r="P114" s="36" t="s">
        <v>808</v>
      </c>
      <c r="Q114" t="str" cm="1">
        <f t="array" ref="Q114">IFERROR(INDEX('Benchmark Source Map'!$A$5:$A$13,MATCH(TRUE,(ISNUMBER(SEARCH('Benchmark Source Map'!$E$5:$E$13,$L114))+ISNUMBER(SEARCH('Benchmark Source Map'!$F$5:$F$13,$L114)))&gt;0,0)),"Other named sources")</f>
        <v>Rob Clark - 2025 CCRC Performance Benchmarks and advisor internal standards</v>
      </c>
    </row>
    <row r="115" spans="1:17" ht="45.95" customHeight="1">
      <c r="A115" s="12" t="s">
        <v>809</v>
      </c>
      <c r="B115" s="13" t="s">
        <v>780</v>
      </c>
      <c r="C115" s="13" t="s">
        <v>810</v>
      </c>
      <c r="D115" s="13" t="s">
        <v>811</v>
      </c>
      <c r="E115" s="14" t="s">
        <v>84</v>
      </c>
      <c r="F115" s="14"/>
      <c r="G115" s="14" t="s">
        <v>85</v>
      </c>
      <c r="H115" s="14" t="s">
        <v>85</v>
      </c>
      <c r="I115" s="14" t="s">
        <v>85</v>
      </c>
      <c r="J115" s="14"/>
      <c r="K115" s="13" t="s">
        <v>218</v>
      </c>
      <c r="L115" s="13" t="s">
        <v>812</v>
      </c>
      <c r="M115" s="13" t="s">
        <v>813</v>
      </c>
      <c r="N115" s="13" t="s">
        <v>814</v>
      </c>
      <c r="O115" s="13" t="s">
        <v>815</v>
      </c>
      <c r="P115" s="37" t="s">
        <v>816</v>
      </c>
      <c r="Q115" t="str" cm="1">
        <f t="array" ref="Q115">IFERROR(INDEX('Benchmark Source Map'!$A$5:$A$13,MATCH(TRUE,(ISNUMBER(SEARCH('Benchmark Source Map'!$E$5:$E$13,$L115))+ISNUMBER(SEARCH('Benchmark Source Map'!$F$5:$F$13,$L115)))&gt;0,0)),"Other named sources")</f>
        <v>CMS and regulatory requirements (Five-Star Technical Users' Guide, RAI Manual, 42 CFR, Life Safety Code, state regulation)</v>
      </c>
    </row>
    <row r="116" spans="1:17" ht="45.95" customHeight="1">
      <c r="A116" s="6" t="s">
        <v>817</v>
      </c>
      <c r="B116" s="7" t="s">
        <v>780</v>
      </c>
      <c r="C116" s="7" t="s">
        <v>818</v>
      </c>
      <c r="D116" s="7" t="s">
        <v>819</v>
      </c>
      <c r="E116" s="8" t="s">
        <v>102</v>
      </c>
      <c r="F116" s="8"/>
      <c r="G116" s="8" t="s">
        <v>85</v>
      </c>
      <c r="H116" s="8" t="s">
        <v>85</v>
      </c>
      <c r="I116" s="8" t="s">
        <v>85</v>
      </c>
      <c r="J116" s="8"/>
      <c r="K116" s="7" t="s">
        <v>218</v>
      </c>
      <c r="L116" s="7" t="s">
        <v>820</v>
      </c>
      <c r="M116" s="7" t="s">
        <v>821</v>
      </c>
      <c r="N116" s="7" t="s">
        <v>822</v>
      </c>
      <c r="O116" s="7" t="s">
        <v>823</v>
      </c>
      <c r="P116" s="35" t="s">
        <v>824</v>
      </c>
      <c r="Q116" t="str" cm="1">
        <f t="array" ref="Q116">IFERROR(INDEX('Benchmark Source Map'!$A$5:$A$13,MATCH(TRUE,(ISNUMBER(SEARCH('Benchmark Source Map'!$E$5:$E$13,$L116))+ISNUMBER(SEARCH('Benchmark Source Map'!$F$5:$F$13,$L116)))&gt;0,0)),"Other named sources")</f>
        <v>CMS and regulatory requirements (Five-Star Technical Users' Guide, RAI Manual, 42 CFR, Life Safety Code, state regulation)</v>
      </c>
    </row>
    <row r="117" spans="1:17" ht="45.95" customHeight="1">
      <c r="A117" t="s">
        <v>825</v>
      </c>
      <c r="B117" t="s">
        <v>780</v>
      </c>
      <c r="C117" t="s">
        <v>826</v>
      </c>
      <c r="D117" t="s">
        <v>827</v>
      </c>
      <c r="E117" t="s">
        <v>84</v>
      </c>
      <c r="F117" t="s">
        <v>85</v>
      </c>
      <c r="G117" t="s">
        <v>85</v>
      </c>
      <c r="H117" t="s">
        <v>85</v>
      </c>
      <c r="I117" t="s">
        <v>85</v>
      </c>
      <c r="K117" t="s">
        <v>94</v>
      </c>
      <c r="L117" t="s">
        <v>828</v>
      </c>
      <c r="M117" t="s">
        <v>829</v>
      </c>
      <c r="N117" t="s">
        <v>830</v>
      </c>
      <c r="P117" t="s">
        <v>831</v>
      </c>
      <c r="Q117" t="str" cm="1">
        <f t="array" ref="Q117">IFERROR(INDEX('Benchmark Source Map'!$A$5:$A$13,MATCH(TRUE,(ISNUMBER(SEARCH('Benchmark Source Map'!$E$5:$E$13,$L117))+ISNUMBER(SEARCH('Benchmark Source Map'!$F$5:$F$13,$L117)))&gt;0,0)),"Other named sources")</f>
        <v>CMS and regulatory requirements (Five-Star Technical Users' Guide, RAI Manual, 42 CFR, Life Safety Code, state regulation)</v>
      </c>
    </row>
    <row r="118" spans="1:17" ht="96">
      <c r="A118" s="33" t="s">
        <v>832</v>
      </c>
      <c r="B118" s="33" t="s">
        <v>780</v>
      </c>
      <c r="C118" s="33" t="s">
        <v>833</v>
      </c>
      <c r="D118" s="33" t="s">
        <v>834</v>
      </c>
      <c r="E118" s="33" t="s">
        <v>84</v>
      </c>
      <c r="F118" s="33"/>
      <c r="G118" s="33"/>
      <c r="H118" s="33"/>
      <c r="I118" s="33" t="s">
        <v>85</v>
      </c>
      <c r="J118" s="33"/>
      <c r="K118" s="33" t="s">
        <v>277</v>
      </c>
      <c r="L118" s="33" t="s">
        <v>669</v>
      </c>
      <c r="M118" s="33" t="s">
        <v>835</v>
      </c>
      <c r="N118" s="60" t="s">
        <v>204</v>
      </c>
      <c r="O118" s="33" t="s">
        <v>836</v>
      </c>
      <c r="P118" s="61" t="s">
        <v>837</v>
      </c>
      <c r="Q118" s="33" t="str" cm="1">
        <f t="array" ref="Q118">IFERROR(INDEX('Benchmark Source Map'!$A$5:$A$13,MATCH(TRUE,(ISNUMBER(SEARCH('Benchmark Source Map'!$E$5:$E$13,$L118))+ISNUMBER(SEARCH('Benchmark Source Map'!$F$5:$F$13,$L118)))&gt;0,0)),"Other named sources")</f>
        <v>Rob Clark - 2025 CCRC Performance Benchmarks and advisor internal standards</v>
      </c>
    </row>
    <row r="119" spans="1:17" ht="48">
      <c r="A119" s="33" t="s">
        <v>838</v>
      </c>
      <c r="B119" s="33" t="s">
        <v>780</v>
      </c>
      <c r="C119" s="33" t="s">
        <v>839</v>
      </c>
      <c r="D119" s="33" t="s">
        <v>840</v>
      </c>
      <c r="E119" s="33" t="s">
        <v>102</v>
      </c>
      <c r="F119" s="33" t="s">
        <v>85</v>
      </c>
      <c r="G119" s="33" t="s">
        <v>85</v>
      </c>
      <c r="H119" s="33" t="s">
        <v>85</v>
      </c>
      <c r="I119" s="33" t="s">
        <v>85</v>
      </c>
      <c r="J119" s="33"/>
      <c r="K119" s="33" t="s">
        <v>94</v>
      </c>
      <c r="L119" s="33" t="s">
        <v>588</v>
      </c>
      <c r="M119" s="33" t="s">
        <v>841</v>
      </c>
      <c r="N119" s="60" t="s">
        <v>204</v>
      </c>
      <c r="O119" s="33" t="s">
        <v>842</v>
      </c>
      <c r="P119" s="61" t="s">
        <v>843</v>
      </c>
      <c r="Q119" s="33" t="str" cm="1">
        <f t="array" ref="Q119">IFERROR(INDEX('Benchmark Source Map'!$A$5:$A$13,MATCH(TRUE,(ISNUMBER(SEARCH('Benchmark Source Map'!$E$5:$E$13,$L119))+ISNUMBER(SEARCH('Benchmark Source Map'!$F$5:$F$13,$L119)))&gt;0,0)),"Other named sources")</f>
        <v>Kushant Shah - internal standard</v>
      </c>
    </row>
  </sheetData>
  <autoFilter ref="A4:O117" xr:uid="{00000000-0009-0000-0000-000001000000}"/>
  <mergeCells count="2">
    <mergeCell ref="A1:O1"/>
    <mergeCell ref="A2:O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5"/>
  <sheetViews>
    <sheetView workbookViewId="0">
      <pane xSplit="3" ySplit="4" topLeftCell="D35" activePane="bottomRight" state="frozen"/>
      <selection pane="bottomRight" sqref="A1:E1"/>
      <selection pane="bottomLeft"/>
      <selection pane="topRight"/>
    </sheetView>
  </sheetViews>
  <sheetFormatPr defaultColWidth="8.85546875" defaultRowHeight="15"/>
  <cols>
    <col min="1" max="1" width="30" customWidth="1"/>
    <col min="2" max="2" width="62" customWidth="1"/>
    <col min="3" max="3" width="12" customWidth="1"/>
    <col min="4" max="4" width="46" customWidth="1"/>
    <col min="5" max="5" width="72" customWidth="1"/>
  </cols>
  <sheetData>
    <row r="1" spans="1:5" ht="26.1" customHeight="1">
      <c r="A1" s="86" t="s">
        <v>844</v>
      </c>
      <c r="B1" s="89"/>
      <c r="C1" s="89"/>
      <c r="D1" s="89"/>
      <c r="E1" s="89"/>
    </row>
    <row r="2" spans="1:5" ht="18" customHeight="1">
      <c r="A2" s="87" t="s">
        <v>845</v>
      </c>
      <c r="B2" s="89"/>
      <c r="C2" s="89"/>
      <c r="D2" s="89"/>
      <c r="E2" s="89"/>
    </row>
    <row r="4" spans="1:5" ht="30" customHeight="1">
      <c r="A4" s="5" t="s">
        <v>846</v>
      </c>
      <c r="B4" s="5" t="s">
        <v>847</v>
      </c>
      <c r="C4" s="5" t="s">
        <v>848</v>
      </c>
      <c r="D4" s="5" t="s">
        <v>849</v>
      </c>
      <c r="E4" s="5" t="s">
        <v>850</v>
      </c>
    </row>
    <row r="5" spans="1:5" ht="30" customHeight="1">
      <c r="A5" s="15" t="s">
        <v>851</v>
      </c>
      <c r="B5" s="15" t="s">
        <v>852</v>
      </c>
      <c r="C5" s="16" t="s">
        <v>304</v>
      </c>
      <c r="D5" s="15" t="s">
        <v>853</v>
      </c>
      <c r="E5" s="15" t="s">
        <v>854</v>
      </c>
    </row>
    <row r="6" spans="1:5" ht="30" customHeight="1">
      <c r="A6" s="17" t="s">
        <v>855</v>
      </c>
      <c r="B6" s="17" t="s">
        <v>856</v>
      </c>
      <c r="C6" s="18" t="s">
        <v>312</v>
      </c>
      <c r="D6" s="17" t="s">
        <v>857</v>
      </c>
      <c r="E6" s="17" t="s">
        <v>858</v>
      </c>
    </row>
    <row r="7" spans="1:5" ht="30" customHeight="1">
      <c r="A7" s="15" t="s">
        <v>855</v>
      </c>
      <c r="B7" s="15" t="s">
        <v>859</v>
      </c>
      <c r="C7" s="16" t="s">
        <v>332</v>
      </c>
      <c r="D7" s="15" t="s">
        <v>860</v>
      </c>
      <c r="E7" s="15" t="s">
        <v>861</v>
      </c>
    </row>
    <row r="8" spans="1:5" ht="30" customHeight="1">
      <c r="A8" s="17" t="s">
        <v>855</v>
      </c>
      <c r="B8" s="17" t="s">
        <v>862</v>
      </c>
      <c r="C8" s="18" t="s">
        <v>339</v>
      </c>
      <c r="D8" s="17" t="s">
        <v>863</v>
      </c>
      <c r="E8" s="17" t="s">
        <v>864</v>
      </c>
    </row>
    <row r="9" spans="1:5" ht="30" customHeight="1">
      <c r="A9" s="15" t="s">
        <v>855</v>
      </c>
      <c r="B9" s="15" t="s">
        <v>865</v>
      </c>
      <c r="C9" s="16" t="s">
        <v>345</v>
      </c>
      <c r="D9" s="15" t="s">
        <v>866</v>
      </c>
      <c r="E9" s="15" t="s">
        <v>867</v>
      </c>
    </row>
    <row r="10" spans="1:5" ht="30" customHeight="1">
      <c r="A10" s="17" t="s">
        <v>855</v>
      </c>
      <c r="B10" s="17" t="s">
        <v>868</v>
      </c>
      <c r="C10" s="18" t="s">
        <v>350</v>
      </c>
      <c r="D10" s="17" t="s">
        <v>869</v>
      </c>
      <c r="E10" s="17" t="s">
        <v>870</v>
      </c>
    </row>
    <row r="11" spans="1:5" ht="30" customHeight="1">
      <c r="A11" s="15" t="s">
        <v>855</v>
      </c>
      <c r="B11" s="15" t="s">
        <v>871</v>
      </c>
      <c r="C11" s="16" t="s">
        <v>355</v>
      </c>
      <c r="D11" s="15" t="s">
        <v>872</v>
      </c>
      <c r="E11" s="15"/>
    </row>
    <row r="12" spans="1:5" ht="30" customHeight="1">
      <c r="A12" s="17" t="s">
        <v>855</v>
      </c>
      <c r="B12" s="17" t="s">
        <v>873</v>
      </c>
      <c r="C12" s="18" t="s">
        <v>361</v>
      </c>
      <c r="D12" s="17" t="s">
        <v>874</v>
      </c>
      <c r="E12" s="17" t="s">
        <v>875</v>
      </c>
    </row>
    <row r="13" spans="1:5" ht="30" customHeight="1">
      <c r="A13" s="15" t="s">
        <v>855</v>
      </c>
      <c r="B13" s="15" t="s">
        <v>876</v>
      </c>
      <c r="C13" s="16" t="s">
        <v>366</v>
      </c>
      <c r="D13" s="15" t="s">
        <v>877</v>
      </c>
      <c r="E13" s="15" t="s">
        <v>878</v>
      </c>
    </row>
    <row r="14" spans="1:5" ht="30" customHeight="1">
      <c r="A14" s="17" t="s">
        <v>855</v>
      </c>
      <c r="B14" s="17" t="s">
        <v>879</v>
      </c>
      <c r="C14" s="18" t="s">
        <v>371</v>
      </c>
      <c r="D14" s="17" t="s">
        <v>880</v>
      </c>
      <c r="E14" s="17" t="s">
        <v>881</v>
      </c>
    </row>
    <row r="15" spans="1:5" ht="30" customHeight="1">
      <c r="A15" s="15" t="s">
        <v>855</v>
      </c>
      <c r="B15" s="15" t="s">
        <v>882</v>
      </c>
      <c r="C15" s="16" t="s">
        <v>376</v>
      </c>
      <c r="D15" s="15" t="s">
        <v>883</v>
      </c>
      <c r="E15" s="15" t="s">
        <v>884</v>
      </c>
    </row>
    <row r="16" spans="1:5" ht="30" customHeight="1">
      <c r="A16" s="17" t="s">
        <v>885</v>
      </c>
      <c r="B16" s="17" t="s">
        <v>856</v>
      </c>
      <c r="C16" s="18" t="s">
        <v>319</v>
      </c>
      <c r="D16" s="17" t="s">
        <v>886</v>
      </c>
      <c r="E16" s="17"/>
    </row>
    <row r="17" spans="1:5" ht="30" customHeight="1">
      <c r="A17" s="15" t="s">
        <v>885</v>
      </c>
      <c r="B17" s="15" t="s">
        <v>887</v>
      </c>
      <c r="C17" s="16" t="s">
        <v>381</v>
      </c>
      <c r="D17" s="15" t="s">
        <v>888</v>
      </c>
      <c r="E17" s="15" t="s">
        <v>889</v>
      </c>
    </row>
    <row r="18" spans="1:5" ht="30" customHeight="1">
      <c r="A18" s="17" t="s">
        <v>885</v>
      </c>
      <c r="B18" s="17" t="s">
        <v>890</v>
      </c>
      <c r="C18" s="18" t="s">
        <v>388</v>
      </c>
      <c r="D18" s="17" t="s">
        <v>888</v>
      </c>
      <c r="E18" s="17" t="s">
        <v>891</v>
      </c>
    </row>
    <row r="19" spans="1:5" ht="30" customHeight="1">
      <c r="A19" s="15" t="s">
        <v>885</v>
      </c>
      <c r="B19" s="15" t="s">
        <v>892</v>
      </c>
      <c r="C19" s="16" t="s">
        <v>395</v>
      </c>
      <c r="D19" s="15" t="s">
        <v>893</v>
      </c>
      <c r="E19" s="15" t="s">
        <v>894</v>
      </c>
    </row>
    <row r="20" spans="1:5" ht="30" customHeight="1">
      <c r="A20" s="17" t="s">
        <v>885</v>
      </c>
      <c r="B20" s="17" t="s">
        <v>895</v>
      </c>
      <c r="C20" s="18" t="s">
        <v>400</v>
      </c>
      <c r="D20" s="17" t="s">
        <v>893</v>
      </c>
      <c r="E20" s="17" t="s">
        <v>896</v>
      </c>
    </row>
    <row r="21" spans="1:5" ht="30" customHeight="1">
      <c r="A21" s="15" t="s">
        <v>885</v>
      </c>
      <c r="B21" s="15" t="s">
        <v>897</v>
      </c>
      <c r="C21" s="16" t="s">
        <v>406</v>
      </c>
      <c r="D21" s="15" t="s">
        <v>893</v>
      </c>
      <c r="E21" s="15" t="s">
        <v>898</v>
      </c>
    </row>
    <row r="22" spans="1:5" ht="30" customHeight="1">
      <c r="A22" s="17" t="s">
        <v>885</v>
      </c>
      <c r="B22" s="17" t="s">
        <v>899</v>
      </c>
      <c r="C22" s="18" t="s">
        <v>412</v>
      </c>
      <c r="D22" s="17" t="s">
        <v>900</v>
      </c>
      <c r="E22" s="17" t="s">
        <v>901</v>
      </c>
    </row>
    <row r="23" spans="1:5" ht="30" customHeight="1">
      <c r="A23" s="15" t="s">
        <v>885</v>
      </c>
      <c r="B23" s="15" t="s">
        <v>902</v>
      </c>
      <c r="C23" s="16" t="s">
        <v>417</v>
      </c>
      <c r="D23" s="15" t="s">
        <v>903</v>
      </c>
      <c r="E23" s="15" t="s">
        <v>904</v>
      </c>
    </row>
    <row r="24" spans="1:5" ht="30" customHeight="1">
      <c r="A24" s="17" t="s">
        <v>905</v>
      </c>
      <c r="B24" s="17" t="s">
        <v>856</v>
      </c>
      <c r="C24" s="18" t="s">
        <v>326</v>
      </c>
      <c r="D24" s="17" t="s">
        <v>906</v>
      </c>
      <c r="E24" s="17" t="s">
        <v>907</v>
      </c>
    </row>
    <row r="25" spans="1:5" ht="30" customHeight="1">
      <c r="A25" s="15" t="s">
        <v>908</v>
      </c>
      <c r="B25" s="15" t="s">
        <v>909</v>
      </c>
      <c r="C25" s="16" t="s">
        <v>423</v>
      </c>
      <c r="D25" s="15" t="s">
        <v>910</v>
      </c>
      <c r="E25" s="15" t="s">
        <v>911</v>
      </c>
    </row>
    <row r="26" spans="1:5" ht="30" customHeight="1">
      <c r="A26" s="17" t="s">
        <v>908</v>
      </c>
      <c r="B26" s="17" t="s">
        <v>912</v>
      </c>
      <c r="C26" s="18" t="s">
        <v>429</v>
      </c>
      <c r="D26" s="17" t="s">
        <v>910</v>
      </c>
      <c r="E26" s="17" t="s">
        <v>913</v>
      </c>
    </row>
    <row r="27" spans="1:5" ht="30" customHeight="1">
      <c r="A27" s="15" t="s">
        <v>908</v>
      </c>
      <c r="B27" s="15" t="s">
        <v>914</v>
      </c>
      <c r="C27" s="16" t="s">
        <v>436</v>
      </c>
      <c r="D27" s="15" t="s">
        <v>445</v>
      </c>
      <c r="E27" s="15" t="s">
        <v>915</v>
      </c>
    </row>
    <row r="28" spans="1:5" ht="30" customHeight="1">
      <c r="A28" s="17" t="s">
        <v>908</v>
      </c>
      <c r="B28" s="17" t="s">
        <v>916</v>
      </c>
      <c r="C28" s="18" t="s">
        <v>442</v>
      </c>
      <c r="D28" s="17" t="s">
        <v>445</v>
      </c>
      <c r="E28" s="17" t="s">
        <v>917</v>
      </c>
    </row>
    <row r="29" spans="1:5" ht="30" customHeight="1">
      <c r="A29" s="15" t="s">
        <v>908</v>
      </c>
      <c r="B29" s="15" t="s">
        <v>918</v>
      </c>
      <c r="C29" s="16" t="s">
        <v>447</v>
      </c>
      <c r="D29" s="15" t="s">
        <v>445</v>
      </c>
      <c r="E29" s="15" t="s">
        <v>911</v>
      </c>
    </row>
    <row r="30" spans="1:5" ht="30" customHeight="1">
      <c r="A30" s="17" t="s">
        <v>908</v>
      </c>
      <c r="B30" s="17" t="s">
        <v>919</v>
      </c>
      <c r="C30" s="18" t="s">
        <v>451</v>
      </c>
      <c r="D30" s="17" t="s">
        <v>445</v>
      </c>
      <c r="E30" s="17" t="s">
        <v>911</v>
      </c>
    </row>
    <row r="31" spans="1:5" ht="30" customHeight="1">
      <c r="A31" s="15" t="s">
        <v>908</v>
      </c>
      <c r="B31" s="15" t="s">
        <v>920</v>
      </c>
      <c r="C31" s="16" t="s">
        <v>455</v>
      </c>
      <c r="D31" s="15" t="s">
        <v>910</v>
      </c>
      <c r="E31" s="15" t="s">
        <v>921</v>
      </c>
    </row>
    <row r="32" spans="1:5" ht="30" customHeight="1">
      <c r="A32" s="17" t="s">
        <v>908</v>
      </c>
      <c r="B32" s="17" t="s">
        <v>922</v>
      </c>
      <c r="C32" s="18" t="s">
        <v>461</v>
      </c>
      <c r="D32" s="17" t="s">
        <v>910</v>
      </c>
      <c r="E32" s="17" t="s">
        <v>923</v>
      </c>
    </row>
    <row r="33" spans="1:5" ht="30" customHeight="1">
      <c r="A33" s="15" t="s">
        <v>908</v>
      </c>
      <c r="B33" s="15" t="s">
        <v>924</v>
      </c>
      <c r="C33" s="16" t="s">
        <v>467</v>
      </c>
      <c r="D33" s="15" t="s">
        <v>910</v>
      </c>
      <c r="E33" s="15" t="s">
        <v>925</v>
      </c>
    </row>
    <row r="34" spans="1:5" ht="30" customHeight="1">
      <c r="A34" s="17" t="s">
        <v>926</v>
      </c>
      <c r="B34" s="17" t="s">
        <v>927</v>
      </c>
      <c r="C34" s="18" t="s">
        <v>472</v>
      </c>
      <c r="D34" s="17" t="s">
        <v>910</v>
      </c>
      <c r="E34" s="17" t="s">
        <v>928</v>
      </c>
    </row>
    <row r="35" spans="1:5" ht="30" customHeight="1">
      <c r="A35" s="15" t="s">
        <v>926</v>
      </c>
      <c r="B35" s="15" t="s">
        <v>929</v>
      </c>
      <c r="C35" s="16" t="s">
        <v>478</v>
      </c>
      <c r="D35" s="15" t="s">
        <v>445</v>
      </c>
      <c r="E35" s="15" t="s">
        <v>930</v>
      </c>
    </row>
    <row r="36" spans="1:5" ht="30" customHeight="1">
      <c r="A36" s="17" t="s">
        <v>926</v>
      </c>
      <c r="B36" s="17" t="s">
        <v>931</v>
      </c>
      <c r="C36" s="18" t="s">
        <v>484</v>
      </c>
      <c r="D36" s="17" t="s">
        <v>445</v>
      </c>
      <c r="E36" s="17" t="s">
        <v>932</v>
      </c>
    </row>
    <row r="37" spans="1:5" ht="30" customHeight="1">
      <c r="A37" s="15" t="s">
        <v>926</v>
      </c>
      <c r="B37" s="15" t="s">
        <v>933</v>
      </c>
      <c r="C37" s="16" t="s">
        <v>489</v>
      </c>
      <c r="D37" s="15" t="s">
        <v>910</v>
      </c>
      <c r="E37" s="15" t="s">
        <v>925</v>
      </c>
    </row>
    <row r="38" spans="1:5" ht="30" customHeight="1">
      <c r="A38" s="17" t="s">
        <v>926</v>
      </c>
      <c r="B38" s="17" t="s">
        <v>934</v>
      </c>
      <c r="C38" s="18" t="s">
        <v>493</v>
      </c>
      <c r="D38" s="17" t="s">
        <v>910</v>
      </c>
      <c r="E38" s="17" t="s">
        <v>925</v>
      </c>
    </row>
    <row r="39" spans="1:5" ht="30" customHeight="1">
      <c r="A39" s="15" t="s">
        <v>926</v>
      </c>
      <c r="B39" s="15" t="s">
        <v>935</v>
      </c>
      <c r="C39" s="16" t="s">
        <v>497</v>
      </c>
      <c r="D39" s="15" t="s">
        <v>910</v>
      </c>
      <c r="E39" s="15" t="s">
        <v>936</v>
      </c>
    </row>
    <row r="40" spans="1:5" ht="30" customHeight="1">
      <c r="A40" s="17" t="s">
        <v>905</v>
      </c>
      <c r="B40" s="17" t="s">
        <v>937</v>
      </c>
      <c r="C40" s="18" t="s">
        <v>502</v>
      </c>
      <c r="D40" s="17" t="s">
        <v>938</v>
      </c>
      <c r="E40" s="17" t="s">
        <v>939</v>
      </c>
    </row>
    <row r="41" spans="1:5" ht="30" customHeight="1">
      <c r="A41" s="19" t="s">
        <v>940</v>
      </c>
      <c r="B41" s="19" t="s">
        <v>941</v>
      </c>
      <c r="C41" s="20" t="s">
        <v>718</v>
      </c>
      <c r="D41" s="19" t="s">
        <v>942</v>
      </c>
      <c r="E41" s="19" t="s">
        <v>943</v>
      </c>
    </row>
    <row r="42" spans="1:5" ht="30" customHeight="1">
      <c r="A42" s="19" t="s">
        <v>940</v>
      </c>
      <c r="B42" s="19" t="s">
        <v>944</v>
      </c>
      <c r="C42" s="20" t="s">
        <v>945</v>
      </c>
      <c r="D42" s="19" t="s">
        <v>942</v>
      </c>
      <c r="E42" s="19" t="s">
        <v>946</v>
      </c>
    </row>
    <row r="43" spans="1:5" ht="30" customHeight="1">
      <c r="A43" s="19" t="s">
        <v>940</v>
      </c>
      <c r="B43" s="19" t="s">
        <v>947</v>
      </c>
      <c r="C43" s="20" t="s">
        <v>817</v>
      </c>
      <c r="D43" s="19" t="s">
        <v>948</v>
      </c>
      <c r="E43" s="19" t="s">
        <v>949</v>
      </c>
    </row>
    <row r="44" spans="1:5" ht="30" customHeight="1">
      <c r="A44" s="19" t="s">
        <v>940</v>
      </c>
      <c r="B44" s="19" t="s">
        <v>950</v>
      </c>
      <c r="C44" s="20" t="s">
        <v>945</v>
      </c>
      <c r="D44" s="19" t="s">
        <v>948</v>
      </c>
      <c r="E44" s="19" t="s">
        <v>951</v>
      </c>
    </row>
    <row r="45" spans="1:5" ht="30" customHeight="1">
      <c r="A45" s="19" t="s">
        <v>952</v>
      </c>
      <c r="B45" s="19" t="s">
        <v>953</v>
      </c>
      <c r="C45" s="20" t="s">
        <v>945</v>
      </c>
      <c r="D45" s="19" t="s">
        <v>954</v>
      </c>
      <c r="E45" s="19" t="s">
        <v>955</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
  <sheetViews>
    <sheetView workbookViewId="0">
      <pane xSplit="3" ySplit="4" topLeftCell="D5" activePane="bottomRight" state="frozen"/>
      <selection pane="bottomRight" sqref="A1:C1"/>
      <selection pane="bottomLeft"/>
      <selection pane="topRight"/>
    </sheetView>
  </sheetViews>
  <sheetFormatPr defaultColWidth="8.85546875" defaultRowHeight="15"/>
  <cols>
    <col min="1" max="1" width="46" customWidth="1"/>
    <col min="2" max="2" width="74" customWidth="1"/>
    <col min="3" max="3" width="80" customWidth="1"/>
  </cols>
  <sheetData>
    <row r="1" spans="1:3" ht="26.1" customHeight="1">
      <c r="A1" s="86" t="s">
        <v>956</v>
      </c>
      <c r="B1" s="89"/>
      <c r="C1" s="89"/>
    </row>
    <row r="2" spans="1:3" ht="18" customHeight="1">
      <c r="A2" s="87" t="s">
        <v>957</v>
      </c>
      <c r="B2" s="89"/>
      <c r="C2" s="89"/>
    </row>
    <row r="4" spans="1:3" ht="30" customHeight="1">
      <c r="A4" s="5" t="s">
        <v>958</v>
      </c>
      <c r="B4" s="5" t="s">
        <v>959</v>
      </c>
      <c r="C4" s="5" t="s">
        <v>960</v>
      </c>
    </row>
    <row r="5" spans="1:3" ht="33.950000000000003" customHeight="1">
      <c r="A5" s="15" t="s">
        <v>961</v>
      </c>
      <c r="B5" s="15" t="s">
        <v>962</v>
      </c>
      <c r="C5" s="15" t="s">
        <v>963</v>
      </c>
    </row>
    <row r="6" spans="1:3" ht="33.950000000000003" customHeight="1">
      <c r="A6" s="17" t="s">
        <v>964</v>
      </c>
      <c r="B6" s="17" t="s">
        <v>965</v>
      </c>
      <c r="C6" s="17" t="s">
        <v>963</v>
      </c>
    </row>
    <row r="7" spans="1:3" ht="33.950000000000003" customHeight="1">
      <c r="A7" s="15" t="s">
        <v>966</v>
      </c>
      <c r="B7" s="15" t="s">
        <v>967</v>
      </c>
      <c r="C7" s="15" t="s">
        <v>968</v>
      </c>
    </row>
    <row r="8" spans="1:3" ht="33.950000000000003" customHeight="1">
      <c r="A8" s="17" t="s">
        <v>969</v>
      </c>
      <c r="B8" s="17" t="s">
        <v>970</v>
      </c>
      <c r="C8" s="17" t="s">
        <v>963</v>
      </c>
    </row>
    <row r="9" spans="1:3" ht="33.950000000000003" customHeight="1">
      <c r="A9" s="15" t="s">
        <v>971</v>
      </c>
      <c r="B9" s="15" t="s">
        <v>972</v>
      </c>
      <c r="C9" s="15" t="s">
        <v>963</v>
      </c>
    </row>
    <row r="10" spans="1:3" ht="33.950000000000003" customHeight="1">
      <c r="A10" s="17" t="s">
        <v>973</v>
      </c>
      <c r="B10" s="17" t="s">
        <v>974</v>
      </c>
      <c r="C10" s="17" t="s">
        <v>963</v>
      </c>
    </row>
    <row r="11" spans="1:3" ht="33.950000000000003" customHeight="1">
      <c r="A11" s="15" t="s">
        <v>975</v>
      </c>
      <c r="B11" s="15" t="s">
        <v>976</v>
      </c>
      <c r="C11" s="15" t="s">
        <v>977</v>
      </c>
    </row>
    <row r="12" spans="1:3" ht="33.950000000000003" customHeight="1">
      <c r="A12" s="17" t="s">
        <v>978</v>
      </c>
      <c r="B12" s="17" t="s">
        <v>979</v>
      </c>
      <c r="C12" s="17" t="s">
        <v>963</v>
      </c>
    </row>
    <row r="13" spans="1:3" ht="33.950000000000003" customHeight="1">
      <c r="A13" s="27" t="s">
        <v>980</v>
      </c>
      <c r="B13" s="27" t="s">
        <v>981</v>
      </c>
      <c r="C13" s="27" t="s">
        <v>982</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
  <sheetViews>
    <sheetView workbookViewId="0">
      <pane xSplit="3" ySplit="4" topLeftCell="D5" activePane="bottomRight" state="frozen"/>
      <selection pane="bottomRight" sqref="A1:K1"/>
      <selection pane="bottomLeft"/>
      <selection pane="topRight"/>
    </sheetView>
  </sheetViews>
  <sheetFormatPr defaultColWidth="8.85546875" defaultRowHeight="15"/>
  <cols>
    <col min="1" max="1" width="26" customWidth="1"/>
    <col min="2" max="10" width="15" customWidth="1"/>
    <col min="11" max="11" width="10" customWidth="1"/>
  </cols>
  <sheetData>
    <row r="1" spans="1:11" ht="26.1" customHeight="1">
      <c r="A1" s="86" t="s">
        <v>983</v>
      </c>
      <c r="B1" s="89"/>
      <c r="C1" s="89"/>
      <c r="D1" s="89"/>
      <c r="E1" s="89"/>
      <c r="F1" s="89"/>
      <c r="G1" s="89"/>
      <c r="H1" s="89"/>
      <c r="I1" s="89"/>
      <c r="J1" s="89"/>
      <c r="K1" s="89"/>
    </row>
    <row r="2" spans="1:11" ht="18" customHeight="1">
      <c r="A2" s="87" t="s">
        <v>984</v>
      </c>
      <c r="B2" s="89"/>
      <c r="C2" s="89"/>
      <c r="D2" s="89"/>
      <c r="E2" s="89"/>
      <c r="F2" s="89"/>
      <c r="G2" s="89"/>
      <c r="H2" s="89"/>
      <c r="I2" s="89"/>
      <c r="J2" s="89"/>
      <c r="K2" s="89"/>
    </row>
    <row r="4" spans="1:11" ht="30" customHeight="1">
      <c r="A4" s="5" t="s">
        <v>985</v>
      </c>
      <c r="B4" s="5" t="s">
        <v>81</v>
      </c>
      <c r="C4" s="5" t="s">
        <v>25</v>
      </c>
      <c r="D4" s="5" t="s">
        <v>215</v>
      </c>
      <c r="E4" s="5" t="s">
        <v>305</v>
      </c>
      <c r="F4" s="5" t="s">
        <v>509</v>
      </c>
      <c r="G4" s="5" t="s">
        <v>599</v>
      </c>
      <c r="H4" s="5" t="s">
        <v>27</v>
      </c>
      <c r="I4" s="5" t="s">
        <v>740</v>
      </c>
      <c r="J4" s="5" t="s">
        <v>780</v>
      </c>
      <c r="K4" s="5" t="s">
        <v>986</v>
      </c>
    </row>
    <row r="5" spans="1:11" ht="20.100000000000001" customHeight="1">
      <c r="A5" s="21" t="s">
        <v>987</v>
      </c>
      <c r="B5" s="22">
        <v>8</v>
      </c>
      <c r="C5" s="22">
        <v>9</v>
      </c>
      <c r="D5" s="22">
        <v>0</v>
      </c>
      <c r="E5" s="22">
        <v>0</v>
      </c>
      <c r="F5" s="22">
        <v>6</v>
      </c>
      <c r="G5" s="22">
        <v>10</v>
      </c>
      <c r="H5" s="22">
        <v>10</v>
      </c>
      <c r="I5" s="22">
        <v>5</v>
      </c>
      <c r="J5" s="22">
        <v>5</v>
      </c>
      <c r="K5" s="23">
        <v>53</v>
      </c>
    </row>
    <row r="6" spans="1:11" ht="20.100000000000001" customHeight="1">
      <c r="A6" s="24" t="s">
        <v>988</v>
      </c>
      <c r="B6" s="25">
        <v>8</v>
      </c>
      <c r="C6" s="25">
        <v>9</v>
      </c>
      <c r="D6" s="25">
        <v>8</v>
      </c>
      <c r="E6" s="25">
        <v>0</v>
      </c>
      <c r="F6" s="25">
        <v>6</v>
      </c>
      <c r="G6" s="25">
        <v>10</v>
      </c>
      <c r="H6" s="25">
        <v>10</v>
      </c>
      <c r="I6" s="25">
        <v>5</v>
      </c>
      <c r="J6" s="25">
        <v>7</v>
      </c>
      <c r="K6" s="26">
        <v>63</v>
      </c>
    </row>
    <row r="7" spans="1:11" ht="20.100000000000001" customHeight="1">
      <c r="A7" s="21" t="s">
        <v>989</v>
      </c>
      <c r="B7" s="22">
        <v>8</v>
      </c>
      <c r="C7" s="22">
        <v>9</v>
      </c>
      <c r="D7" s="22">
        <v>8</v>
      </c>
      <c r="E7" s="22">
        <v>0</v>
      </c>
      <c r="F7" s="22">
        <v>6</v>
      </c>
      <c r="G7" s="22">
        <v>10</v>
      </c>
      <c r="H7" s="22">
        <v>10</v>
      </c>
      <c r="I7" s="22">
        <v>6</v>
      </c>
      <c r="J7" s="22">
        <v>7</v>
      </c>
      <c r="K7" s="23">
        <v>64</v>
      </c>
    </row>
    <row r="8" spans="1:11" ht="20.100000000000001" customHeight="1">
      <c r="A8" s="24" t="s">
        <v>277</v>
      </c>
      <c r="B8" s="25">
        <v>7</v>
      </c>
      <c r="C8" s="25">
        <v>1</v>
      </c>
      <c r="D8" s="25">
        <v>5</v>
      </c>
      <c r="E8" s="25">
        <v>36</v>
      </c>
      <c r="F8" s="25">
        <v>4</v>
      </c>
      <c r="G8" s="25">
        <v>10</v>
      </c>
      <c r="H8" s="25">
        <v>9</v>
      </c>
      <c r="I8" s="25">
        <v>4</v>
      </c>
      <c r="J8" s="25">
        <v>6</v>
      </c>
      <c r="K8" s="26">
        <v>82</v>
      </c>
    </row>
    <row r="9" spans="1:11" ht="20.100000000000001" customHeight="1">
      <c r="A9" s="21" t="s">
        <v>990</v>
      </c>
      <c r="B9" s="22">
        <v>8</v>
      </c>
      <c r="C9" s="22">
        <v>9</v>
      </c>
      <c r="D9" s="22">
        <v>8</v>
      </c>
      <c r="E9" s="22">
        <v>0</v>
      </c>
      <c r="F9" s="22">
        <v>6</v>
      </c>
      <c r="G9" s="22">
        <v>10</v>
      </c>
      <c r="H9" s="22">
        <v>10</v>
      </c>
      <c r="I9" s="22">
        <v>6</v>
      </c>
      <c r="J9" s="22">
        <v>7</v>
      </c>
      <c r="K9" s="23">
        <v>64</v>
      </c>
    </row>
    <row r="10" spans="1:11" ht="20.100000000000001" customHeight="1">
      <c r="A10" s="24" t="s">
        <v>991</v>
      </c>
      <c r="B10" s="25">
        <v>8</v>
      </c>
      <c r="C10" s="25">
        <v>9</v>
      </c>
      <c r="D10" s="25">
        <v>8</v>
      </c>
      <c r="E10" s="25">
        <v>0</v>
      </c>
      <c r="F10" s="25">
        <v>6</v>
      </c>
      <c r="G10" s="25">
        <v>10</v>
      </c>
      <c r="H10" s="25">
        <v>10</v>
      </c>
      <c r="I10" s="25">
        <v>6</v>
      </c>
      <c r="J10" s="25">
        <v>7</v>
      </c>
      <c r="K10" s="26">
        <v>64</v>
      </c>
    </row>
    <row r="11" spans="1:11" ht="20.100000000000001" customHeight="1">
      <c r="A11" s="21" t="s">
        <v>992</v>
      </c>
      <c r="B11" s="22">
        <v>8</v>
      </c>
      <c r="C11" s="22">
        <v>9</v>
      </c>
      <c r="D11" s="22">
        <v>12</v>
      </c>
      <c r="E11" s="22">
        <v>36</v>
      </c>
      <c r="F11" s="22">
        <v>6</v>
      </c>
      <c r="G11" s="22">
        <v>10</v>
      </c>
      <c r="H11" s="22">
        <v>10</v>
      </c>
      <c r="I11" s="22">
        <v>6</v>
      </c>
      <c r="J11" s="22">
        <v>7</v>
      </c>
      <c r="K11" s="23">
        <v>104</v>
      </c>
    </row>
    <row r="12" spans="1:11" ht="20.100000000000001" customHeight="1">
      <c r="A12" s="24" t="s">
        <v>993</v>
      </c>
      <c r="B12" s="25">
        <v>8</v>
      </c>
      <c r="C12" s="25">
        <v>9</v>
      </c>
      <c r="D12" s="25">
        <v>12</v>
      </c>
      <c r="E12" s="25">
        <v>36</v>
      </c>
      <c r="F12" s="25">
        <v>6</v>
      </c>
      <c r="G12" s="25">
        <v>10</v>
      </c>
      <c r="H12" s="25">
        <v>10</v>
      </c>
      <c r="I12" s="25">
        <v>6</v>
      </c>
      <c r="J12" s="25">
        <v>7</v>
      </c>
      <c r="K12" s="26">
        <v>104</v>
      </c>
    </row>
    <row r="13" spans="1:11" ht="20.100000000000001" customHeight="1">
      <c r="A13" s="21" t="s">
        <v>994</v>
      </c>
      <c r="B13" s="22">
        <v>8</v>
      </c>
      <c r="C13" s="22">
        <v>9</v>
      </c>
      <c r="D13" s="22">
        <v>12</v>
      </c>
      <c r="E13" s="22">
        <v>36</v>
      </c>
      <c r="F13" s="22">
        <v>10</v>
      </c>
      <c r="G13" s="22">
        <v>10</v>
      </c>
      <c r="H13" s="22">
        <v>10</v>
      </c>
      <c r="I13" s="22">
        <v>6</v>
      </c>
      <c r="J13" s="22">
        <v>7</v>
      </c>
      <c r="K13" s="23">
        <v>108</v>
      </c>
    </row>
    <row r="15" spans="1:11" ht="26.1" customHeight="1">
      <c r="A15" s="88" t="s">
        <v>995</v>
      </c>
      <c r="B15" s="89"/>
      <c r="C15" s="89"/>
      <c r="D15" s="89"/>
      <c r="E15" s="89"/>
      <c r="F15" s="89"/>
      <c r="G15" s="89"/>
      <c r="H15" s="89"/>
      <c r="I15" s="89"/>
      <c r="J15" s="89"/>
      <c r="K15" s="89"/>
    </row>
    <row r="16" spans="1:11" ht="26.1" customHeight="1">
      <c r="A16" s="88" t="s">
        <v>996</v>
      </c>
      <c r="B16" s="89"/>
      <c r="C16" s="89"/>
      <c r="D16" s="89"/>
      <c r="E16" s="89"/>
      <c r="F16" s="89"/>
      <c r="G16" s="89"/>
      <c r="H16" s="89"/>
      <c r="I16" s="89"/>
      <c r="J16" s="89"/>
      <c r="K16" s="89"/>
    </row>
    <row r="17" spans="1:11" ht="26.1" customHeight="1">
      <c r="A17" s="88" t="s">
        <v>997</v>
      </c>
      <c r="B17" s="89"/>
      <c r="C17" s="89"/>
      <c r="D17" s="89"/>
      <c r="E17" s="89"/>
      <c r="F17" s="89"/>
      <c r="G17" s="89"/>
      <c r="H17" s="89"/>
      <c r="I17" s="89"/>
      <c r="J17" s="89"/>
      <c r="K17" s="89"/>
    </row>
    <row r="18" spans="1:11" ht="26.1" customHeight="1">
      <c r="A18" s="88" t="s">
        <v>998</v>
      </c>
      <c r="B18" s="89"/>
      <c r="C18" s="89"/>
      <c r="D18" s="89"/>
      <c r="E18" s="89"/>
      <c r="F18" s="89"/>
      <c r="G18" s="89"/>
      <c r="H18" s="89"/>
      <c r="I18" s="89"/>
      <c r="J18" s="89"/>
      <c r="K18" s="89"/>
    </row>
  </sheetData>
  <mergeCells count="6">
    <mergeCell ref="A18:K18"/>
    <mergeCell ref="A15:K15"/>
    <mergeCell ref="A2:K2"/>
    <mergeCell ref="A16:K16"/>
    <mergeCell ref="A1:K1"/>
    <mergeCell ref="A17:K1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5"/>
  <sheetViews>
    <sheetView workbookViewId="0">
      <pane xSplit="3" ySplit="4" topLeftCell="D5" activePane="bottomRight" state="frozen"/>
      <selection pane="bottomRight" sqref="A1:C1"/>
      <selection pane="bottomLeft"/>
      <selection pane="topRight"/>
    </sheetView>
  </sheetViews>
  <sheetFormatPr defaultColWidth="8.85546875" defaultRowHeight="15"/>
  <cols>
    <col min="1" max="1" width="12" customWidth="1"/>
    <col min="2" max="2" width="50" customWidth="1"/>
    <col min="3" max="3" width="70" customWidth="1"/>
  </cols>
  <sheetData>
    <row r="1" spans="1:3" ht="26.1" customHeight="1">
      <c r="A1" s="86" t="s">
        <v>999</v>
      </c>
      <c r="B1" s="89"/>
      <c r="C1" s="89"/>
    </row>
    <row r="2" spans="1:3" ht="18" customHeight="1">
      <c r="A2" s="87" t="s">
        <v>1000</v>
      </c>
      <c r="B2" s="89"/>
      <c r="C2" s="89"/>
    </row>
    <row r="4" spans="1:3" ht="30" customHeight="1">
      <c r="A4" s="5" t="s">
        <v>1001</v>
      </c>
      <c r="B4" s="5" t="s">
        <v>1002</v>
      </c>
      <c r="C4" s="5" t="s">
        <v>1003</v>
      </c>
    </row>
    <row r="5" spans="1:3" ht="27.95" customHeight="1">
      <c r="A5" s="16" t="s">
        <v>116</v>
      </c>
      <c r="B5" s="15" t="s">
        <v>1004</v>
      </c>
      <c r="C5" s="15" t="s">
        <v>1005</v>
      </c>
    </row>
    <row r="6" spans="1:3" ht="27.95" customHeight="1">
      <c r="A6" s="18" t="s">
        <v>1006</v>
      </c>
      <c r="B6" s="17" t="s">
        <v>1007</v>
      </c>
      <c r="C6" s="17" t="s">
        <v>1008</v>
      </c>
    </row>
    <row r="7" spans="1:3" ht="27.95" customHeight="1">
      <c r="A7" s="16" t="s">
        <v>143</v>
      </c>
      <c r="B7" s="15" t="s">
        <v>1009</v>
      </c>
      <c r="C7" s="15" t="s">
        <v>1010</v>
      </c>
    </row>
    <row r="8" spans="1:3" ht="27.95" customHeight="1">
      <c r="A8" s="18" t="s">
        <v>163</v>
      </c>
      <c r="B8" s="17" t="s">
        <v>200</v>
      </c>
      <c r="C8" s="79" t="s">
        <v>1011</v>
      </c>
    </row>
    <row r="9" spans="1:3" ht="27.95" customHeight="1">
      <c r="A9" s="16" t="s">
        <v>168</v>
      </c>
      <c r="B9" s="15" t="s">
        <v>1012</v>
      </c>
      <c r="C9" s="15" t="s">
        <v>1013</v>
      </c>
    </row>
    <row r="10" spans="1:3" ht="27.95" customHeight="1">
      <c r="A10" s="18" t="s">
        <v>173</v>
      </c>
      <c r="B10" s="17" t="s">
        <v>1014</v>
      </c>
      <c r="C10" s="17" t="s">
        <v>1015</v>
      </c>
    </row>
    <row r="11" spans="1:3" ht="27.95" customHeight="1">
      <c r="A11" s="16" t="s">
        <v>179</v>
      </c>
      <c r="B11" s="15" t="s">
        <v>1016</v>
      </c>
      <c r="C11" s="15" t="s">
        <v>1017</v>
      </c>
    </row>
    <row r="12" spans="1:3" ht="27.95" customHeight="1">
      <c r="A12" s="18" t="s">
        <v>214</v>
      </c>
      <c r="B12" s="17" t="s">
        <v>275</v>
      </c>
      <c r="C12" s="17" t="s">
        <v>1018</v>
      </c>
    </row>
    <row r="13" spans="1:3" ht="27.95" customHeight="1">
      <c r="A13" s="16" t="s">
        <v>223</v>
      </c>
      <c r="B13" s="15" t="s">
        <v>1019</v>
      </c>
      <c r="C13" s="15" t="s">
        <v>1020</v>
      </c>
    </row>
    <row r="14" spans="1:3" ht="27.95" customHeight="1">
      <c r="A14" s="18" t="s">
        <v>230</v>
      </c>
      <c r="B14" s="17" t="s">
        <v>298</v>
      </c>
      <c r="C14" s="17" t="s">
        <v>1021</v>
      </c>
    </row>
    <row r="15" spans="1:3" ht="27.95" customHeight="1">
      <c r="A15" s="16" t="s">
        <v>260</v>
      </c>
      <c r="B15" s="15" t="s">
        <v>1022</v>
      </c>
      <c r="C15" s="15" t="s">
        <v>1023</v>
      </c>
    </row>
    <row r="16" spans="1:3" ht="27.95" customHeight="1">
      <c r="A16" s="18" t="s">
        <v>267</v>
      </c>
      <c r="B16" s="17" t="s">
        <v>1024</v>
      </c>
      <c r="C16" s="17" t="s">
        <v>1025</v>
      </c>
    </row>
    <row r="17" spans="1:3" ht="27.95" customHeight="1">
      <c r="A17" s="16" t="s">
        <v>283</v>
      </c>
      <c r="B17" s="15" t="s">
        <v>1026</v>
      </c>
      <c r="C17" s="15" t="s">
        <v>1027</v>
      </c>
    </row>
    <row r="18" spans="1:3" ht="27.95" customHeight="1">
      <c r="A18" s="18" t="s">
        <v>1028</v>
      </c>
      <c r="B18" s="17" t="s">
        <v>1029</v>
      </c>
      <c r="C18" s="17" t="s">
        <v>1030</v>
      </c>
    </row>
    <row r="19" spans="1:3" ht="27.95" customHeight="1">
      <c r="A19" s="16" t="s">
        <v>1031</v>
      </c>
      <c r="B19" s="15" t="s">
        <v>291</v>
      </c>
      <c r="C19" s="15" t="s">
        <v>1032</v>
      </c>
    </row>
    <row r="20" spans="1:3" ht="27.95" customHeight="1">
      <c r="A20" s="18" t="s">
        <v>1033</v>
      </c>
      <c r="B20" s="17" t="s">
        <v>1034</v>
      </c>
      <c r="C20" s="17" t="s">
        <v>1035</v>
      </c>
    </row>
    <row r="21" spans="1:3" ht="27.95" customHeight="1">
      <c r="A21" s="16" t="s">
        <v>1036</v>
      </c>
      <c r="B21" s="15" t="s">
        <v>1037</v>
      </c>
      <c r="C21" s="15" t="s">
        <v>1038</v>
      </c>
    </row>
    <row r="22" spans="1:3" ht="27.95" customHeight="1">
      <c r="A22" s="18" t="s">
        <v>1039</v>
      </c>
      <c r="B22" s="17" t="s">
        <v>1040</v>
      </c>
      <c r="C22" s="17" t="s">
        <v>1041</v>
      </c>
    </row>
    <row r="23" spans="1:3" ht="27.95" customHeight="1">
      <c r="A23" s="16" t="s">
        <v>1042</v>
      </c>
      <c r="B23" s="15" t="s">
        <v>1043</v>
      </c>
      <c r="C23" s="15" t="s">
        <v>1044</v>
      </c>
    </row>
    <row r="24" spans="1:3" ht="27.95" customHeight="1">
      <c r="A24" s="18" t="s">
        <v>1045</v>
      </c>
      <c r="B24" s="17" t="s">
        <v>1046</v>
      </c>
      <c r="C24" s="17" t="s">
        <v>1047</v>
      </c>
    </row>
    <row r="25" spans="1:3" ht="27.95" customHeight="1">
      <c r="A25" s="16" t="s">
        <v>1048</v>
      </c>
      <c r="B25" s="15" t="s">
        <v>1049</v>
      </c>
      <c r="C25" s="15" t="s">
        <v>1050</v>
      </c>
    </row>
    <row r="26" spans="1:3" ht="27.95" customHeight="1">
      <c r="A26" s="18" t="s">
        <v>508</v>
      </c>
      <c r="B26" s="17" t="s">
        <v>564</v>
      </c>
      <c r="C26" s="17" t="s">
        <v>1051</v>
      </c>
    </row>
    <row r="27" spans="1:3" ht="27.95" customHeight="1">
      <c r="A27" s="16" t="s">
        <v>548</v>
      </c>
      <c r="B27" s="15" t="s">
        <v>1052</v>
      </c>
      <c r="C27" s="15" t="s">
        <v>1053</v>
      </c>
    </row>
    <row r="28" spans="1:3" ht="27.95" customHeight="1">
      <c r="A28" s="18" t="s">
        <v>571</v>
      </c>
      <c r="B28" s="17" t="s">
        <v>1054</v>
      </c>
      <c r="C28" s="17" t="s">
        <v>1055</v>
      </c>
    </row>
    <row r="29" spans="1:3" ht="27.95" customHeight="1">
      <c r="A29" s="16" t="s">
        <v>578</v>
      </c>
      <c r="B29" s="15" t="s">
        <v>593</v>
      </c>
      <c r="C29" s="15" t="s">
        <v>1056</v>
      </c>
    </row>
    <row r="30" spans="1:3" ht="27.95" customHeight="1">
      <c r="A30" s="18" t="s">
        <v>618</v>
      </c>
      <c r="B30" s="17" t="s">
        <v>667</v>
      </c>
      <c r="C30" s="17" t="s">
        <v>1057</v>
      </c>
    </row>
    <row r="31" spans="1:3" ht="27.95" customHeight="1">
      <c r="A31" s="16" t="s">
        <v>646</v>
      </c>
      <c r="B31" s="15" t="s">
        <v>1058</v>
      </c>
      <c r="C31" s="15" t="s">
        <v>1059</v>
      </c>
    </row>
    <row r="32" spans="1:3" ht="27.95" customHeight="1">
      <c r="A32" s="18" t="s">
        <v>673</v>
      </c>
      <c r="B32" s="17" t="s">
        <v>1060</v>
      </c>
      <c r="C32" s="17" t="s">
        <v>1061</v>
      </c>
    </row>
    <row r="33" spans="1:3" ht="27.95" customHeight="1">
      <c r="A33" s="16" t="s">
        <v>680</v>
      </c>
      <c r="B33" s="15" t="s">
        <v>1062</v>
      </c>
      <c r="C33" s="15" t="s">
        <v>1063</v>
      </c>
    </row>
    <row r="34" spans="1:3" ht="27.95" customHeight="1">
      <c r="A34" s="18" t="s">
        <v>718</v>
      </c>
      <c r="B34" s="17" t="s">
        <v>1064</v>
      </c>
      <c r="C34" s="17" t="s">
        <v>1065</v>
      </c>
    </row>
    <row r="35" spans="1:3" ht="27.95" customHeight="1">
      <c r="A35" s="16" t="s">
        <v>726</v>
      </c>
      <c r="B35" s="15" t="s">
        <v>1066</v>
      </c>
      <c r="C35" s="15" t="s">
        <v>1067</v>
      </c>
    </row>
    <row r="36" spans="1:3" ht="27.95" customHeight="1">
      <c r="A36" s="18" t="s">
        <v>796</v>
      </c>
      <c r="B36" s="17" t="s">
        <v>1068</v>
      </c>
      <c r="C36" s="17" t="s">
        <v>1069</v>
      </c>
    </row>
    <row r="37" spans="1:3" ht="27.95" customHeight="1">
      <c r="A37" s="16" t="s">
        <v>803</v>
      </c>
      <c r="B37" s="15" t="s">
        <v>1070</v>
      </c>
      <c r="C37" s="15" t="s">
        <v>1071</v>
      </c>
    </row>
    <row r="38" spans="1:3" ht="27.95" customHeight="1">
      <c r="A38" s="18" t="s">
        <v>817</v>
      </c>
      <c r="B38" s="17" t="s">
        <v>833</v>
      </c>
      <c r="C38" s="17" t="s">
        <v>1072</v>
      </c>
    </row>
    <row r="39" spans="1:3" ht="27.95" customHeight="1">
      <c r="A39" s="16" t="s">
        <v>825</v>
      </c>
      <c r="B39" s="15" t="s">
        <v>1073</v>
      </c>
      <c r="C39" s="15" t="s">
        <v>1074</v>
      </c>
    </row>
    <row r="40" spans="1:3" ht="27.95" customHeight="1">
      <c r="A40" s="18" t="s">
        <v>832</v>
      </c>
      <c r="B40" s="17" t="s">
        <v>1075</v>
      </c>
      <c r="C40" s="17" t="s">
        <v>1076</v>
      </c>
    </row>
    <row r="41" spans="1:3" ht="27.95" customHeight="1">
      <c r="A41" s="16" t="s">
        <v>1077</v>
      </c>
      <c r="B41" s="15" t="s">
        <v>1078</v>
      </c>
      <c r="C41" s="15" t="s">
        <v>1079</v>
      </c>
    </row>
    <row r="43" spans="1:3" ht="15.95">
      <c r="A43" s="31" t="s">
        <v>1080</v>
      </c>
    </row>
    <row r="44" spans="1:3">
      <c r="A44" s="32" t="s">
        <v>848</v>
      </c>
      <c r="B44" s="32" t="s">
        <v>1081</v>
      </c>
      <c r="C44" s="32" t="s">
        <v>1082</v>
      </c>
    </row>
    <row r="45" spans="1:3" ht="111.95">
      <c r="A45" s="33" t="s">
        <v>754</v>
      </c>
      <c r="B45" s="33" t="s">
        <v>1083</v>
      </c>
      <c r="C45" s="33" t="s">
        <v>1084</v>
      </c>
    </row>
  </sheetData>
  <mergeCells count="2">
    <mergeCell ref="A1:C1"/>
    <mergeCell ref="A2:C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5"/>
  <sheetViews>
    <sheetView workbookViewId="0">
      <pane xSplit="3" ySplit="4" topLeftCell="D21" activePane="bottomRight" state="frozen"/>
      <selection pane="bottomRight" sqref="A1:D1"/>
      <selection pane="bottomLeft"/>
      <selection pane="topRight"/>
    </sheetView>
  </sheetViews>
  <sheetFormatPr defaultColWidth="8.85546875" defaultRowHeight="15"/>
  <cols>
    <col min="1" max="1" width="42" customWidth="1"/>
    <col min="2" max="2" width="32" customWidth="1"/>
    <col min="3" max="3" width="80" customWidth="1"/>
    <col min="4" max="4" width="56" customWidth="1"/>
    <col min="5" max="5" width="18.28515625" customWidth="1"/>
    <col min="6" max="6" width="21.7109375" customWidth="1"/>
    <col min="7" max="7" width="11.7109375" customWidth="1"/>
    <col min="8" max="8" width="50" customWidth="1"/>
    <col min="9" max="9" width="55" customWidth="1"/>
  </cols>
  <sheetData>
    <row r="1" spans="1:9" ht="26.1" customHeight="1">
      <c r="A1" s="86" t="s">
        <v>1085</v>
      </c>
      <c r="B1" s="89"/>
      <c r="C1" s="89"/>
      <c r="D1" s="89"/>
    </row>
    <row r="2" spans="1:9" ht="18" customHeight="1">
      <c r="A2" s="87" t="s">
        <v>1086</v>
      </c>
      <c r="B2" s="89"/>
      <c r="C2" s="89"/>
      <c r="D2" s="89"/>
    </row>
    <row r="4" spans="1:9" ht="30" customHeight="1">
      <c r="A4" s="5" t="s">
        <v>1087</v>
      </c>
      <c r="B4" s="5" t="s">
        <v>1088</v>
      </c>
      <c r="C4" s="5" t="s">
        <v>1089</v>
      </c>
      <c r="D4" s="5" t="s">
        <v>1090</v>
      </c>
      <c r="E4" s="5" t="s">
        <v>1091</v>
      </c>
      <c r="F4" s="5" t="s">
        <v>1092</v>
      </c>
      <c r="G4" s="5" t="s">
        <v>1093</v>
      </c>
      <c r="H4" s="5" t="s">
        <v>1094</v>
      </c>
      <c r="I4" s="5" t="s">
        <v>1095</v>
      </c>
    </row>
    <row r="5" spans="1:9" ht="120" customHeight="1">
      <c r="A5" s="16" t="s">
        <v>1096</v>
      </c>
      <c r="B5" s="15" t="s">
        <v>1097</v>
      </c>
      <c r="C5" s="15" t="s">
        <v>1098</v>
      </c>
      <c r="D5" s="15" t="s">
        <v>1099</v>
      </c>
      <c r="E5" s="15" t="s">
        <v>1100</v>
      </c>
      <c r="F5" s="15" t="s">
        <v>1101</v>
      </c>
      <c r="G5" s="39" cm="1">
        <f t="array" ref="G5">SUMPRODUCT(--((ISNUMBER(SEARCH($E5,'KPI Catalog'!$L$5:$L$119))+ISNUMBER(SEARCH($F5,'KPI Catalog'!$L$5:$L$119)))&gt;0))</f>
        <v>14</v>
      </c>
      <c r="H5" s="15" t="str" cm="1">
        <f t="array" ref="H5">_xlfn.TEXTJOIN(", ",TRUE,IF((ISNUMBER(SEARCH($E5,'KPI Catalog'!$L$5:$L$119))+ISNUMBER(SEARCH($F5,'KPI Catalog'!$L$5:$L$119)))&gt;0,'KPI Catalog'!$A$5:$A$119,""))</f>
        <v>OPS-01, OPS-03, OPS-04, SAL-08, NUR-05, FIN-01, FIN-03, FIN-04, FIN-05, FIN-06, HR-05, HR-10, DIN-01, DIN-02</v>
      </c>
      <c r="I5" s="7" t="s">
        <v>1102</v>
      </c>
    </row>
    <row r="6" spans="1:9" ht="120" customHeight="1">
      <c r="A6" s="18" t="s">
        <v>1103</v>
      </c>
      <c r="B6" s="17" t="s">
        <v>277</v>
      </c>
      <c r="C6" s="17" t="s">
        <v>1104</v>
      </c>
      <c r="D6" s="17" t="s">
        <v>1105</v>
      </c>
      <c r="E6" s="17" t="s">
        <v>1106</v>
      </c>
      <c r="F6" s="17" t="s">
        <v>1107</v>
      </c>
      <c r="G6" s="40" cm="1">
        <f t="array" ref="G6">SUMPRODUCT(--((ISNUMBER(SEARCH($E6,'KPI Catalog'!$L$5:$L$119))+ISNUMBER(SEARCH($F6,'KPI Catalog'!$L$5:$L$119)))&gt;0))</f>
        <v>50</v>
      </c>
      <c r="H6" s="17" t="str" cm="1">
        <f t="array" ref="H6">_xlfn.TEXTJOIN(", ",TRUE,IF((ISNUMBER(SEARCH($E6,'KPI Catalog'!$L$5:$L$119))+ISNUMBER(SEARCH($F6,'KPI Catalog'!$L$5:$L$119)))&gt;0,'KPI Catalog'!$A$5:$A$119,""))</f>
        <v>OPS-04, OPS-08, NUR-04, NUR-06, NUR-07, NUR-08, NUR-09, NUR-10, NUR-11, NUR-12, SNF-00, SNF-01, SNF-02, SNF-03, SNF-H1, SNF-H2, SNF-H3, SNF-H4, SNF-H5, SNF-H6, SNF-H7, SNF-H8, SNF-H9, SNF-S1, SNF-S2, SNF-S3, SNF-S4, SNF-S5, SNF-S6, SNF-S7, SNF-Q1, SNF-Q2, SNF-Q3, SNF-Q4, SNF-Q5, SNF-Q6, SNF-Q7, SNF-Q8, SNF-Q9, SNF-Q10, SNF-Q11, SNF-Q12, SNF-Q13, SNF-Q14, SNF-Q15, SNF-Q16, PLT-08, DIN-05, DIN-06, DIN-07</v>
      </c>
      <c r="I6" s="13" t="s">
        <v>1108</v>
      </c>
    </row>
    <row r="7" spans="1:9" ht="120" customHeight="1">
      <c r="A7" s="16" t="s">
        <v>559</v>
      </c>
      <c r="B7" s="15" t="s">
        <v>1109</v>
      </c>
      <c r="C7" s="15" t="s">
        <v>1110</v>
      </c>
      <c r="D7" s="15" t="s">
        <v>1111</v>
      </c>
      <c r="E7" s="15" t="s">
        <v>1112</v>
      </c>
      <c r="F7" s="15" t="s">
        <v>1113</v>
      </c>
      <c r="G7" s="39" cm="1">
        <f t="array" ref="G7">SUMPRODUCT(--((ISNUMBER(SEARCH($E7,'KPI Catalog'!$L$5:$L$119))+ISNUMBER(SEARCH($F7,'KPI Catalog'!$L$5:$L$119)))&gt;0))</f>
        <v>6</v>
      </c>
      <c r="H7" s="15" t="str" cm="1">
        <f t="array" ref="H7">_xlfn.TEXTJOIN(", ",TRUE,IF((ISNUMBER(SEARCH($E7,'KPI Catalog'!$L$5:$L$119))+ISNUMBER(SEARCH($F7,'KPI Catalog'!$L$5:$L$119)))&gt;0,'KPI Catalog'!$A$5:$A$119,""))</f>
        <v>OPS-01, FIN-02, FIN-07, FIN-08, FIN-09, PLT-09</v>
      </c>
      <c r="I7" s="7" t="s">
        <v>1114</v>
      </c>
    </row>
    <row r="8" spans="1:9" ht="120" customHeight="1">
      <c r="A8" s="18" t="s">
        <v>1115</v>
      </c>
      <c r="B8" s="17" t="s">
        <v>1116</v>
      </c>
      <c r="C8" s="17" t="s">
        <v>1117</v>
      </c>
      <c r="D8" s="17" t="s">
        <v>1118</v>
      </c>
      <c r="E8" s="17" t="s">
        <v>1119</v>
      </c>
      <c r="F8" s="17" t="s">
        <v>1120</v>
      </c>
      <c r="G8" s="40" cm="1">
        <f t="array" ref="G8">SUMPRODUCT(--((ISNUMBER(SEARCH($E8,'KPI Catalog'!$L$5:$L$119))+ISNUMBER(SEARCH($F8,'KPI Catalog'!$L$5:$L$119)))&gt;0))</f>
        <v>33</v>
      </c>
      <c r="H8" s="17" t="str" cm="1">
        <f t="array" ref="H8">_xlfn.TEXTJOIN(", ",TRUE,IF((ISNUMBER(SEARCH($E8,'KPI Catalog'!$L$5:$L$119))+ISNUMBER(SEARCH($F8,'KPI Catalog'!$L$5:$L$119)))&gt;0,'KPI Catalog'!$A$5:$A$119,""))</f>
        <v>OPS-02, OPS-05, OPS-06, OPS-07, SAL-09, SAL-10, SAL-11, NUR-01, NUR-02, NUR-03, FIN-02, FIN-08, FIN-09, FIN-10, FIN-12, HR-01, HR-02, HR-03, HR-04, HR-06, HR-07, HR-08, HR-09, HR-11, LE-01, LE-02, LE-03, LE-04, LE-05, LE-06, DIN-03, DIN-04, DIN-08</v>
      </c>
      <c r="I8" s="13" t="s">
        <v>1121</v>
      </c>
    </row>
    <row r="9" spans="1:9" ht="120" customHeight="1">
      <c r="A9" s="16" t="s">
        <v>1122</v>
      </c>
      <c r="B9" s="15" t="s">
        <v>1123</v>
      </c>
      <c r="C9" s="15" t="s">
        <v>1124</v>
      </c>
      <c r="D9" s="15" t="s">
        <v>1125</v>
      </c>
      <c r="E9" s="15" t="s">
        <v>1126</v>
      </c>
      <c r="F9" s="15" t="s">
        <v>1127</v>
      </c>
      <c r="G9" s="39" cm="1">
        <f t="array" ref="G9">SUMPRODUCT(--((ISNUMBER(SEARCH($E9,'KPI Catalog'!$L$5:$L$119))+ISNUMBER(SEARCH($F9,'KPI Catalog'!$L$5:$L$119)))&gt;0))</f>
        <v>7</v>
      </c>
      <c r="H9" s="15" t="str" cm="1">
        <f t="array" ref="H9">_xlfn.TEXTJOIN(", ",TRUE,IF((ISNUMBER(SEARCH($E9,'KPI Catalog'!$L$5:$L$119))+ISNUMBER(SEARCH($F9,'KPI Catalog'!$L$5:$L$119)))&gt;0,'KPI Catalog'!$A$5:$A$119,""))</f>
        <v>SAL-01, SAL-02, SAL-03, SAL-04, SAL-05, SAL-06, SAL-07</v>
      </c>
      <c r="I9" s="7" t="s">
        <v>1128</v>
      </c>
    </row>
    <row r="10" spans="1:9" ht="120" customHeight="1">
      <c r="A10" s="18" t="s">
        <v>683</v>
      </c>
      <c r="B10" s="17" t="s">
        <v>1129</v>
      </c>
      <c r="C10" s="17" t="s">
        <v>1130</v>
      </c>
      <c r="D10" s="17" t="s">
        <v>1131</v>
      </c>
      <c r="E10" s="17" t="s">
        <v>1132</v>
      </c>
      <c r="F10" s="17" t="s">
        <v>1133</v>
      </c>
      <c r="G10" s="40" cm="1">
        <f t="array" ref="G10">SUMPRODUCT(--((ISNUMBER(SEARCH($E10,'KPI Catalog'!$L$5:$L$119))+ISNUMBER(SEARCH($F10,'KPI Catalog'!$L$5:$L$119)))&gt;0))</f>
        <v>7</v>
      </c>
      <c r="H10" s="17" t="str" cm="1">
        <f t="array" ref="H10">_xlfn.TEXTJOIN(", ",TRUE,IF((ISNUMBER(SEARCH($E10,'KPI Catalog'!$L$5:$L$119))+ISNUMBER(SEARCH($F10,'KPI Catalog'!$L$5:$L$119)))&gt;0,'KPI Catalog'!$A$5:$A$119,""))</f>
        <v>PLT-01, PLT-02, PLT-03, PLT-04, PLT-05, PLT-06, PLT-07</v>
      </c>
      <c r="I10" s="13" t="s">
        <v>1134</v>
      </c>
    </row>
    <row r="11" spans="1:9" ht="120" customHeight="1">
      <c r="A11" s="16" t="s">
        <v>1135</v>
      </c>
      <c r="B11" s="15" t="s">
        <v>1136</v>
      </c>
      <c r="C11" s="15" t="s">
        <v>1137</v>
      </c>
      <c r="D11" s="15" t="s">
        <v>1138</v>
      </c>
      <c r="E11" s="15" t="s">
        <v>1139</v>
      </c>
      <c r="F11" s="15" t="s">
        <v>1140</v>
      </c>
      <c r="G11" s="39" cm="1">
        <f t="array" ref="G11">SUMPRODUCT(--((ISNUMBER(SEARCH($E11,'KPI Catalog'!$L$5:$L$119))+ISNUMBER(SEARCH($F11,'KPI Catalog'!$L$5:$L$119)))&gt;0))</f>
        <v>3</v>
      </c>
      <c r="H11" s="15" t="str" cm="1">
        <f t="array" ref="H11">_xlfn.TEXTJOIN(", ",TRUE,IF((ISNUMBER(SEARCH($E11,'KPI Catalog'!$L$5:$L$119))+ISNUMBER(SEARCH($F11,'KPI Catalog'!$L$5:$L$119)))&gt;0,'KPI Catalog'!$A$5:$A$119,""))</f>
        <v>FIN-03, FIN-04, FIN-06</v>
      </c>
      <c r="I11" s="7" t="s">
        <v>1141</v>
      </c>
    </row>
    <row r="12" spans="1:9" ht="120" customHeight="1">
      <c r="A12" s="18" t="s">
        <v>1142</v>
      </c>
      <c r="B12" s="17" t="s">
        <v>1143</v>
      </c>
      <c r="C12" s="17" t="s">
        <v>1144</v>
      </c>
      <c r="D12" s="17" t="s">
        <v>1145</v>
      </c>
      <c r="E12" s="17" t="s">
        <v>1146</v>
      </c>
      <c r="F12" s="17" t="s">
        <v>1147</v>
      </c>
      <c r="G12" s="40" cm="1">
        <f t="array" ref="G12">SUMPRODUCT(--((ISNUMBER(SEARCH($E12,'KPI Catalog'!$L$5:$L$119))+ISNUMBER(SEARCH($F12,'KPI Catalog'!$L$5:$L$119)))&gt;0))</f>
        <v>1</v>
      </c>
      <c r="H12" s="17" t="str" cm="1">
        <f t="array" ref="H12">_xlfn.TEXTJOIN(", ",TRUE,IF((ISNUMBER(SEARCH($E12,'KPI Catalog'!$L$5:$L$119))+ISNUMBER(SEARCH($F12,'KPI Catalog'!$L$5:$L$119)))&gt;0,'KPI Catalog'!$A$5:$A$119,""))</f>
        <v>PLT-10</v>
      </c>
      <c r="I12" s="44" t="s">
        <v>1148</v>
      </c>
    </row>
    <row r="13" spans="1:9" ht="120" customHeight="1">
      <c r="A13" s="18" t="s">
        <v>1149</v>
      </c>
      <c r="B13" s="17" t="s">
        <v>1150</v>
      </c>
      <c r="C13" s="17" t="s">
        <v>1151</v>
      </c>
      <c r="D13" s="17" t="s">
        <v>1152</v>
      </c>
      <c r="E13" s="17" t="s">
        <v>1153</v>
      </c>
      <c r="F13" s="17" t="s">
        <v>1154</v>
      </c>
      <c r="G13" s="40" cm="1">
        <f t="array" ref="G13">SUMPRODUCT(--((ISNUMBER(SEARCH($E13,'KPI Catalog'!$L$5:$L$119))+ISNUMBER(SEARCH($F13,'KPI Catalog'!$L$5:$L$119)))&gt;0))</f>
        <v>4</v>
      </c>
      <c r="H13" s="17" t="str" cm="1">
        <f t="array" ref="H13">_xlfn.TEXTJOIN(", ",TRUE,IF((ISNUMBER(SEARCH($E13,'KPI Catalog'!$L$5:$L$119))+ISNUMBER(SEARCH($F13,'KPI Catalog'!$L$5:$L$119)))&gt;0,'KPI Catalog'!$A$5:$A$119,""))</f>
        <v>SAL-10, FIN-11, FIN-12, DIN-09</v>
      </c>
      <c r="I13" s="44" t="s">
        <v>1155</v>
      </c>
    </row>
    <row r="14" spans="1:9" ht="120" customHeight="1">
      <c r="A14" s="85" t="s">
        <v>1156</v>
      </c>
      <c r="B14" s="82" t="s">
        <v>1157</v>
      </c>
      <c r="C14" s="82" t="s">
        <v>1158</v>
      </c>
      <c r="D14" s="82" t="s">
        <v>1159</v>
      </c>
      <c r="E14" s="82" t="s">
        <v>1160</v>
      </c>
      <c r="F14" s="82" t="s">
        <v>1160</v>
      </c>
      <c r="G14" s="83">
        <f>COUNTIF('KPI Catalog'!$Q$5:$Q$119,$A14)</f>
        <v>0</v>
      </c>
      <c r="H14" s="82" t="str" cm="1">
        <f t="array" ref="H14">_xlfn.TEXTJOIN(", ",TRUE,IF('KPI Catalog'!$Q$5:$Q$119=$A14,'KPI Catalog'!$A$5:$A$119,""))</f>
        <v/>
      </c>
      <c r="I14" s="84" t="s">
        <v>1161</v>
      </c>
    </row>
    <row r="16" spans="1:9">
      <c r="A16" s="28" t="s">
        <v>1162</v>
      </c>
    </row>
    <row r="17" spans="1:4">
      <c r="A17" s="41" t="s">
        <v>1163</v>
      </c>
    </row>
    <row r="18" spans="1:4">
      <c r="A18" s="42" t="s">
        <v>1164</v>
      </c>
    </row>
    <row r="19" spans="1:4">
      <c r="A19" s="43" t="s">
        <v>1165</v>
      </c>
      <c r="D19" s="28">
        <f>SUM(G5:G13)</f>
        <v>125</v>
      </c>
    </row>
    <row r="20" spans="1:4">
      <c r="A20" s="43" t="s">
        <v>1166</v>
      </c>
      <c r="D20" s="28">
        <f>COUNTA('KPI Catalog'!$A$5:$A$119)</f>
        <v>115</v>
      </c>
    </row>
    <row r="21" spans="1:4">
      <c r="A21" t="s">
        <v>1167</v>
      </c>
      <c r="D21">
        <f>SUM(G5:G13)+G14-COUNTA('KPI Catalog'!$A$5:$A$119)</f>
        <v>10</v>
      </c>
    </row>
    <row r="22" spans="1:4" ht="15" customHeight="1">
      <c r="A22" s="28" t="s">
        <v>1168</v>
      </c>
    </row>
    <row r="23" spans="1:4" ht="15" customHeight="1">
      <c r="A23" s="72" t="s">
        <v>1169</v>
      </c>
    </row>
    <row r="24" spans="1:4" ht="15" customHeight="1">
      <c r="A24" s="72" t="s">
        <v>1170</v>
      </c>
    </row>
    <row r="25" spans="1:4" ht="15" customHeight="1">
      <c r="A25" s="73" t="s">
        <v>1171</v>
      </c>
    </row>
    <row r="26" spans="1:4" ht="15" customHeight="1">
      <c r="A26" s="73" t="s">
        <v>1172</v>
      </c>
    </row>
    <row r="27" spans="1:4" ht="15" customHeight="1">
      <c r="A27" s="73" t="s">
        <v>1173</v>
      </c>
    </row>
    <row r="28" spans="1:4" ht="15" customHeight="1">
      <c r="A28" s="28" t="s">
        <v>1174</v>
      </c>
    </row>
    <row r="29" spans="1:4" ht="15" customHeight="1">
      <c r="A29" s="31" t="s">
        <v>1175</v>
      </c>
    </row>
    <row r="30" spans="1:4" ht="15" customHeight="1">
      <c r="A30" s="56" t="s">
        <v>1176</v>
      </c>
    </row>
    <row r="31" spans="1:4" ht="15" customHeight="1">
      <c r="A31" s="73" t="s">
        <v>1177</v>
      </c>
    </row>
    <row r="32" spans="1:4" ht="15" customHeight="1">
      <c r="A32" s="45" t="s">
        <v>1178</v>
      </c>
    </row>
    <row r="33" spans="1:1" ht="15" customHeight="1">
      <c r="A33" s="45" t="s">
        <v>1179</v>
      </c>
    </row>
    <row r="34" spans="1:1" ht="15" customHeight="1">
      <c r="A34" s="45" t="s">
        <v>1180</v>
      </c>
    </row>
    <row r="35" spans="1:1" ht="15" customHeight="1">
      <c r="A35" s="45" t="s">
        <v>1181</v>
      </c>
    </row>
  </sheetData>
  <mergeCells count="2">
    <mergeCell ref="A1:D1"/>
    <mergeCell ref="A2:D2"/>
  </mergeCell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2963F-0B81-C74A-A370-A145F1898371}">
  <dimension ref="A1:L67"/>
  <sheetViews>
    <sheetView workbookViewId="0">
      <pane ySplit="6" topLeftCell="A7" activePane="bottomLeft" state="frozen"/>
      <selection pane="bottomLeft" activeCell="C41" sqref="C41"/>
    </sheetView>
  </sheetViews>
  <sheetFormatPr defaultColWidth="11.42578125" defaultRowHeight="15"/>
  <cols>
    <col min="1" max="1" width="15" customWidth="1"/>
    <col min="2" max="2" width="18.28515625" customWidth="1"/>
    <col min="3" max="3" width="33.28515625" customWidth="1"/>
    <col min="4" max="4" width="38.28515625" customWidth="1"/>
    <col min="5" max="5" width="12.42578125" customWidth="1"/>
    <col min="6" max="6" width="33.28515625" customWidth="1"/>
    <col min="7" max="7" width="21.7109375" customWidth="1"/>
    <col min="8" max="8" width="15.85546875" customWidth="1"/>
    <col min="9" max="9" width="31.7109375" customWidth="1"/>
    <col min="10" max="10" width="15.85546875" customWidth="1"/>
    <col min="11" max="11" width="50" customWidth="1"/>
    <col min="12" max="12" width="55" customWidth="1"/>
  </cols>
  <sheetData>
    <row r="1" spans="1:12" ht="18.95">
      <c r="A1" s="29" t="s">
        <v>1182</v>
      </c>
    </row>
    <row r="2" spans="1:12">
      <c r="A2" s="30" t="s">
        <v>1183</v>
      </c>
    </row>
    <row r="4" spans="1:12">
      <c r="A4" s="28" t="s">
        <v>1184</v>
      </c>
      <c r="B4" s="28">
        <f>COUNTIF($J$8:$J$37,"Added to catalog")</f>
        <v>7</v>
      </c>
      <c r="C4" s="28" t="s">
        <v>1185</v>
      </c>
      <c r="D4" s="28">
        <f>COUNTIF($J$8:$J$37,"Already covered")</f>
        <v>13</v>
      </c>
      <c r="E4" s="28" t="s">
        <v>1186</v>
      </c>
      <c r="F4" s="28"/>
      <c r="G4" s="28">
        <f>COUNTIF($J$8:$J$37,"Partial overlap")</f>
        <v>4</v>
      </c>
      <c r="H4" s="28" t="s">
        <v>1187</v>
      </c>
      <c r="I4" s="28"/>
      <c r="J4" s="28">
        <f>COUNTA($C$8:$C$37)</f>
        <v>26</v>
      </c>
    </row>
    <row r="5" spans="1:12">
      <c r="A5" s="28" t="s">
        <v>1188</v>
      </c>
      <c r="B5" s="28">
        <f>COUNTIF($J$8:$J$37,"Eliminated by owner")</f>
        <v>1</v>
      </c>
      <c r="C5" s="28" t="s">
        <v>1189</v>
      </c>
      <c r="D5" s="28">
        <f>COUNTIF($J$8:$J$37,"Removed from catalog")</f>
        <v>1</v>
      </c>
      <c r="E5" s="28"/>
      <c r="F5" s="28"/>
      <c r="G5" s="28"/>
      <c r="H5" s="28"/>
      <c r="I5" s="28"/>
      <c r="J5" s="28"/>
    </row>
    <row r="6" spans="1:12" ht="32.1" customHeight="1">
      <c r="A6" s="55" t="s">
        <v>1190</v>
      </c>
      <c r="B6" s="46" t="s">
        <v>1191</v>
      </c>
      <c r="C6" s="46" t="s">
        <v>1192</v>
      </c>
      <c r="D6" s="46" t="s">
        <v>67</v>
      </c>
      <c r="E6" s="46" t="s">
        <v>68</v>
      </c>
      <c r="F6" s="46" t="s">
        <v>75</v>
      </c>
      <c r="G6" s="46" t="s">
        <v>1193</v>
      </c>
      <c r="H6" s="46" t="s">
        <v>1194</v>
      </c>
      <c r="I6" s="46" t="s">
        <v>1195</v>
      </c>
      <c r="J6" s="46" t="s">
        <v>1196</v>
      </c>
      <c r="K6" s="38" t="s">
        <v>1197</v>
      </c>
      <c r="L6" s="46" t="s">
        <v>78</v>
      </c>
    </row>
    <row r="7" spans="1:12" ht="21.95" customHeight="1">
      <c r="A7" s="62" t="s">
        <v>1198</v>
      </c>
      <c r="B7" s="62" t="str">
        <f>"(" &amp; COUNTIF($J$8:$J$37,"Added to catalog") &amp; " KPI" &amp; IF(COUNTIF($J$8:$J$37,"Added to catalog")=1,"","s") &amp; ")"</f>
        <v>(7 KPIs)</v>
      </c>
      <c r="C7" s="62"/>
      <c r="D7" s="62"/>
      <c r="E7" s="62"/>
      <c r="F7" s="62"/>
      <c r="G7" s="62"/>
      <c r="H7" s="62"/>
      <c r="I7" s="62"/>
      <c r="J7" s="62"/>
      <c r="K7" s="62"/>
      <c r="L7" s="62"/>
    </row>
    <row r="8" spans="1:12" ht="80.099999999999994">
      <c r="A8" s="64" t="s">
        <v>1199</v>
      </c>
      <c r="B8" s="64" t="s">
        <v>1200</v>
      </c>
      <c r="C8" s="64" t="s">
        <v>200</v>
      </c>
      <c r="D8" s="64" t="s">
        <v>1201</v>
      </c>
      <c r="E8" s="64" t="s">
        <v>1202</v>
      </c>
      <c r="F8" s="64" t="s">
        <v>1203</v>
      </c>
      <c r="G8" s="64" t="s">
        <v>1204</v>
      </c>
      <c r="H8" s="64" t="s">
        <v>1205</v>
      </c>
      <c r="I8" s="64" t="s">
        <v>1206</v>
      </c>
      <c r="J8" s="65" t="s">
        <v>1207</v>
      </c>
      <c r="K8" s="64" t="s">
        <v>1208</v>
      </c>
      <c r="L8" s="66" t="s">
        <v>206</v>
      </c>
    </row>
    <row r="9" spans="1:12" ht="63.95">
      <c r="A9" s="64" t="s">
        <v>1120</v>
      </c>
      <c r="B9" s="64" t="s">
        <v>1209</v>
      </c>
      <c r="C9" s="64" t="s">
        <v>208</v>
      </c>
      <c r="D9" s="64" t="s">
        <v>1210</v>
      </c>
      <c r="E9" s="64" t="s">
        <v>1211</v>
      </c>
      <c r="F9" s="64" t="s">
        <v>1212</v>
      </c>
      <c r="G9" s="64" t="s">
        <v>1213</v>
      </c>
      <c r="H9" s="64" t="s">
        <v>1205</v>
      </c>
      <c r="I9" s="64" t="s">
        <v>1214</v>
      </c>
      <c r="J9" s="65" t="s">
        <v>1207</v>
      </c>
      <c r="K9" s="64" t="s">
        <v>1215</v>
      </c>
      <c r="L9" s="66" t="s">
        <v>213</v>
      </c>
    </row>
    <row r="10" spans="1:12" ht="128.1">
      <c r="A10" s="64" t="s">
        <v>1153</v>
      </c>
      <c r="B10" s="64" t="s">
        <v>1216</v>
      </c>
      <c r="C10" s="64" t="s">
        <v>1217</v>
      </c>
      <c r="D10" s="64" t="s">
        <v>1218</v>
      </c>
      <c r="E10" s="64" t="s">
        <v>1211</v>
      </c>
      <c r="F10" s="64" t="s">
        <v>1219</v>
      </c>
      <c r="G10" s="64" t="s">
        <v>1204</v>
      </c>
      <c r="H10" s="64" t="s">
        <v>1205</v>
      </c>
      <c r="I10" s="64" t="s">
        <v>1220</v>
      </c>
      <c r="J10" s="65" t="s">
        <v>1207</v>
      </c>
      <c r="K10" s="64" t="s">
        <v>1221</v>
      </c>
      <c r="L10" s="66" t="s">
        <v>1222</v>
      </c>
    </row>
    <row r="11" spans="1:12" ht="63.95">
      <c r="A11" s="64" t="s">
        <v>1199</v>
      </c>
      <c r="B11" s="64" t="s">
        <v>1216</v>
      </c>
      <c r="C11" s="64" t="s">
        <v>593</v>
      </c>
      <c r="D11" s="64" t="s">
        <v>1223</v>
      </c>
      <c r="E11" s="64" t="s">
        <v>1211</v>
      </c>
      <c r="F11" s="64" t="s">
        <v>1224</v>
      </c>
      <c r="G11" s="64" t="s">
        <v>1204</v>
      </c>
      <c r="H11" s="64" t="s">
        <v>1205</v>
      </c>
      <c r="I11" s="64" t="s">
        <v>1225</v>
      </c>
      <c r="J11" s="65" t="s">
        <v>1207</v>
      </c>
      <c r="K11" s="64" t="s">
        <v>1226</v>
      </c>
      <c r="L11" s="66" t="s">
        <v>597</v>
      </c>
    </row>
    <row r="12" spans="1:12" ht="63.95">
      <c r="A12" s="64" t="s">
        <v>1120</v>
      </c>
      <c r="B12" s="64" t="s">
        <v>599</v>
      </c>
      <c r="C12" s="64" t="s">
        <v>667</v>
      </c>
      <c r="D12" s="64" t="s">
        <v>1227</v>
      </c>
      <c r="E12" s="64" t="s">
        <v>1211</v>
      </c>
      <c r="F12" s="64" t="s">
        <v>1228</v>
      </c>
      <c r="G12" s="64" t="s">
        <v>1204</v>
      </c>
      <c r="H12" s="64" t="s">
        <v>1205</v>
      </c>
      <c r="I12" s="64" t="s">
        <v>1229</v>
      </c>
      <c r="J12" s="65" t="s">
        <v>1207</v>
      </c>
      <c r="K12" s="64" t="s">
        <v>1230</v>
      </c>
      <c r="L12" s="66" t="s">
        <v>1231</v>
      </c>
    </row>
    <row r="13" spans="1:12" ht="96">
      <c r="A13" s="64" t="s">
        <v>1120</v>
      </c>
      <c r="B13" s="64" t="s">
        <v>780</v>
      </c>
      <c r="C13" s="64" t="s">
        <v>833</v>
      </c>
      <c r="D13" s="64" t="s">
        <v>1232</v>
      </c>
      <c r="E13" s="64" t="s">
        <v>1202</v>
      </c>
      <c r="F13" s="64" t="s">
        <v>1233</v>
      </c>
      <c r="G13" s="64" t="s">
        <v>1234</v>
      </c>
      <c r="H13" s="64" t="s">
        <v>277</v>
      </c>
      <c r="I13" s="64" t="s">
        <v>1235</v>
      </c>
      <c r="J13" s="65" t="s">
        <v>1207</v>
      </c>
      <c r="K13" s="64" t="s">
        <v>1236</v>
      </c>
      <c r="L13" s="66" t="s">
        <v>1237</v>
      </c>
    </row>
    <row r="14" spans="1:12" ht="63.95">
      <c r="A14" s="64" t="s">
        <v>1153</v>
      </c>
      <c r="B14" s="64" t="s">
        <v>780</v>
      </c>
      <c r="C14" s="64" t="s">
        <v>839</v>
      </c>
      <c r="D14" s="64" t="s">
        <v>1238</v>
      </c>
      <c r="E14" s="64" t="s">
        <v>1211</v>
      </c>
      <c r="F14" s="64" t="s">
        <v>1239</v>
      </c>
      <c r="G14" s="64" t="s">
        <v>1240</v>
      </c>
      <c r="H14" s="64" t="s">
        <v>1205</v>
      </c>
      <c r="I14" s="64" t="s">
        <v>1241</v>
      </c>
      <c r="J14" s="65" t="s">
        <v>1207</v>
      </c>
      <c r="K14" s="64" t="s">
        <v>1242</v>
      </c>
      <c r="L14" s="66" t="s">
        <v>843</v>
      </c>
    </row>
    <row r="15" spans="1:12" ht="21.95" customHeight="1">
      <c r="A15" s="47" t="s">
        <v>1243</v>
      </c>
      <c r="B15" s="47" t="str">
        <f>"(" &amp; COUNTIF($J$8:$J$37,"Already covered") &amp; " KPI" &amp; IF(COUNTIF($J$8:$J$37,"Already covered")=1,"","s") &amp; ")"</f>
        <v>(13 KPIs)</v>
      </c>
      <c r="C15" s="47"/>
      <c r="D15" s="47"/>
      <c r="E15" s="47"/>
      <c r="F15" s="47"/>
      <c r="G15" s="47"/>
      <c r="H15" s="47"/>
      <c r="I15" s="47"/>
      <c r="J15" s="47"/>
      <c r="K15" s="47"/>
      <c r="L15" s="47"/>
    </row>
    <row r="16" spans="1:12" ht="63.95">
      <c r="A16" s="48" t="s">
        <v>1120</v>
      </c>
      <c r="B16" s="48" t="s">
        <v>81</v>
      </c>
      <c r="C16" s="48" t="s">
        <v>117</v>
      </c>
      <c r="D16" s="48" t="s">
        <v>1244</v>
      </c>
      <c r="E16" s="48" t="s">
        <v>1202</v>
      </c>
      <c r="F16" s="48" t="s">
        <v>1245</v>
      </c>
      <c r="G16" s="48" t="s">
        <v>1204</v>
      </c>
      <c r="H16" s="48" t="s">
        <v>1205</v>
      </c>
      <c r="I16" s="48" t="s">
        <v>1246</v>
      </c>
      <c r="J16" s="49" t="s">
        <v>1247</v>
      </c>
      <c r="K16" s="48" t="s">
        <v>1248</v>
      </c>
      <c r="L16" s="50" t="s">
        <v>1249</v>
      </c>
    </row>
    <row r="17" spans="1:12" ht="48">
      <c r="A17" s="48" t="s">
        <v>1120</v>
      </c>
      <c r="B17" s="48" t="s">
        <v>81</v>
      </c>
      <c r="C17" s="48" t="s">
        <v>125</v>
      </c>
      <c r="D17" s="48" t="s">
        <v>1250</v>
      </c>
      <c r="E17" s="48" t="s">
        <v>1202</v>
      </c>
      <c r="F17" s="48" t="s">
        <v>1251</v>
      </c>
      <c r="G17" s="48" t="s">
        <v>1204</v>
      </c>
      <c r="H17" s="48" t="s">
        <v>1205</v>
      </c>
      <c r="I17" s="48" t="s">
        <v>1252</v>
      </c>
      <c r="J17" s="49" t="s">
        <v>1247</v>
      </c>
      <c r="K17" s="48" t="s">
        <v>1253</v>
      </c>
      <c r="L17" s="50" t="s">
        <v>1254</v>
      </c>
    </row>
    <row r="18" spans="1:12" ht="48">
      <c r="A18" s="48" t="s">
        <v>1120</v>
      </c>
      <c r="B18" s="48" t="s">
        <v>1200</v>
      </c>
      <c r="C18" s="48" t="s">
        <v>193</v>
      </c>
      <c r="D18" s="48" t="s">
        <v>1250</v>
      </c>
      <c r="E18" s="48" t="s">
        <v>1202</v>
      </c>
      <c r="F18" s="48" t="s">
        <v>1255</v>
      </c>
      <c r="G18" s="48" t="s">
        <v>1256</v>
      </c>
      <c r="H18" s="48" t="s">
        <v>1205</v>
      </c>
      <c r="I18" s="48" t="s">
        <v>1257</v>
      </c>
      <c r="J18" s="49" t="s">
        <v>1247</v>
      </c>
      <c r="K18" s="48" t="s">
        <v>1258</v>
      </c>
      <c r="L18" s="50" t="s">
        <v>1259</v>
      </c>
    </row>
    <row r="19" spans="1:12" ht="48">
      <c r="A19" s="48" t="s">
        <v>1120</v>
      </c>
      <c r="B19" s="48" t="s">
        <v>599</v>
      </c>
      <c r="C19" s="48" t="s">
        <v>1260</v>
      </c>
      <c r="D19" s="48" t="s">
        <v>1261</v>
      </c>
      <c r="E19" s="48" t="s">
        <v>1211</v>
      </c>
      <c r="F19" s="48" t="s">
        <v>1262</v>
      </c>
      <c r="G19" s="48" t="s">
        <v>1256</v>
      </c>
      <c r="H19" s="48" t="s">
        <v>1205</v>
      </c>
      <c r="I19" s="48" t="s">
        <v>1263</v>
      </c>
      <c r="J19" s="49" t="s">
        <v>1247</v>
      </c>
      <c r="K19" s="48" t="s">
        <v>1264</v>
      </c>
      <c r="L19" s="50" t="s">
        <v>1265</v>
      </c>
    </row>
    <row r="20" spans="1:12" ht="48">
      <c r="A20" s="48" t="s">
        <v>1120</v>
      </c>
      <c r="B20" s="48" t="s">
        <v>599</v>
      </c>
      <c r="C20" s="48" t="s">
        <v>613</v>
      </c>
      <c r="D20" s="48" t="s">
        <v>1266</v>
      </c>
      <c r="E20" s="48" t="s">
        <v>1202</v>
      </c>
      <c r="F20" s="48" t="s">
        <v>1267</v>
      </c>
      <c r="G20" s="48" t="s">
        <v>1204</v>
      </c>
      <c r="H20" s="48" t="s">
        <v>1205</v>
      </c>
      <c r="I20" s="48" t="s">
        <v>1268</v>
      </c>
      <c r="J20" s="49" t="s">
        <v>1247</v>
      </c>
      <c r="K20" s="48" t="s">
        <v>1269</v>
      </c>
      <c r="L20" s="50" t="s">
        <v>1270</v>
      </c>
    </row>
    <row r="21" spans="1:12" ht="21.95" customHeight="1">
      <c r="A21" s="48" t="s">
        <v>1120</v>
      </c>
      <c r="B21" s="48" t="s">
        <v>599</v>
      </c>
      <c r="C21" s="48" t="s">
        <v>1271</v>
      </c>
      <c r="D21" s="48" t="s">
        <v>1272</v>
      </c>
      <c r="E21" s="48" t="s">
        <v>1211</v>
      </c>
      <c r="F21" s="48" t="s">
        <v>1273</v>
      </c>
      <c r="G21" s="48" t="s">
        <v>1274</v>
      </c>
      <c r="H21" s="48" t="s">
        <v>1205</v>
      </c>
      <c r="I21" s="48" t="s">
        <v>1275</v>
      </c>
      <c r="J21" s="49" t="s">
        <v>1247</v>
      </c>
      <c r="K21" s="48" t="s">
        <v>1276</v>
      </c>
      <c r="L21" s="50" t="s">
        <v>1277</v>
      </c>
    </row>
    <row r="22" spans="1:12" ht="48">
      <c r="A22" s="48" t="s">
        <v>1120</v>
      </c>
      <c r="B22" s="48" t="s">
        <v>599</v>
      </c>
      <c r="C22" s="48" t="s">
        <v>641</v>
      </c>
      <c r="D22" s="48" t="s">
        <v>1278</v>
      </c>
      <c r="E22" s="48" t="s">
        <v>1211</v>
      </c>
      <c r="F22" s="48" t="s">
        <v>1279</v>
      </c>
      <c r="G22" s="48" t="s">
        <v>1274</v>
      </c>
      <c r="H22" s="48" t="s">
        <v>1205</v>
      </c>
      <c r="I22" s="48" t="s">
        <v>1280</v>
      </c>
      <c r="J22" s="49" t="s">
        <v>1247</v>
      </c>
      <c r="K22" s="48" t="s">
        <v>1269</v>
      </c>
      <c r="L22" s="50" t="s">
        <v>1281</v>
      </c>
    </row>
    <row r="23" spans="1:12" ht="48">
      <c r="A23" s="48" t="s">
        <v>1120</v>
      </c>
      <c r="B23" s="48" t="s">
        <v>599</v>
      </c>
      <c r="C23" s="48" t="s">
        <v>1282</v>
      </c>
      <c r="D23" s="48" t="s">
        <v>1283</v>
      </c>
      <c r="E23" s="48" t="s">
        <v>1202</v>
      </c>
      <c r="F23" s="48" t="s">
        <v>1284</v>
      </c>
      <c r="G23" s="48" t="s">
        <v>1256</v>
      </c>
      <c r="H23" s="48" t="s">
        <v>1205</v>
      </c>
      <c r="I23" s="48" t="s">
        <v>1285</v>
      </c>
      <c r="J23" s="49" t="s">
        <v>1247</v>
      </c>
      <c r="K23" s="48" t="s">
        <v>1286</v>
      </c>
      <c r="L23" s="50" t="s">
        <v>1287</v>
      </c>
    </row>
    <row r="24" spans="1:12" ht="48">
      <c r="A24" s="48" t="s">
        <v>1120</v>
      </c>
      <c r="B24" s="48" t="s">
        <v>1288</v>
      </c>
      <c r="C24" s="48" t="s">
        <v>712</v>
      </c>
      <c r="D24" s="48" t="s">
        <v>1289</v>
      </c>
      <c r="E24" s="48" t="s">
        <v>1202</v>
      </c>
      <c r="F24" s="48" t="s">
        <v>1290</v>
      </c>
      <c r="G24" s="48" t="s">
        <v>1204</v>
      </c>
      <c r="H24" s="48" t="s">
        <v>1205</v>
      </c>
      <c r="I24" s="48" t="s">
        <v>1291</v>
      </c>
      <c r="J24" s="49" t="s">
        <v>1247</v>
      </c>
      <c r="K24" s="48" t="s">
        <v>1269</v>
      </c>
      <c r="L24" s="50" t="s">
        <v>1292</v>
      </c>
    </row>
    <row r="25" spans="1:12" ht="63.95">
      <c r="A25" s="48" t="s">
        <v>1120</v>
      </c>
      <c r="B25" s="48" t="s">
        <v>740</v>
      </c>
      <c r="C25" s="48" t="s">
        <v>1293</v>
      </c>
      <c r="D25" s="48" t="s">
        <v>1294</v>
      </c>
      <c r="E25" s="48" t="s">
        <v>1202</v>
      </c>
      <c r="F25" s="48" t="s">
        <v>1295</v>
      </c>
      <c r="G25" s="48" t="s">
        <v>1204</v>
      </c>
      <c r="H25" s="48" t="s">
        <v>1205</v>
      </c>
      <c r="I25" s="48" t="s">
        <v>1296</v>
      </c>
      <c r="J25" s="49" t="s">
        <v>1247</v>
      </c>
      <c r="K25" s="48" t="s">
        <v>1297</v>
      </c>
      <c r="L25" s="50" t="s">
        <v>1298</v>
      </c>
    </row>
    <row r="26" spans="1:12" ht="21.95" customHeight="1">
      <c r="A26" s="48" t="s">
        <v>1120</v>
      </c>
      <c r="B26" s="48" t="s">
        <v>740</v>
      </c>
      <c r="C26" s="48" t="s">
        <v>1299</v>
      </c>
      <c r="D26" s="48" t="s">
        <v>1250</v>
      </c>
      <c r="E26" s="48" t="s">
        <v>1202</v>
      </c>
      <c r="F26" s="48" t="s">
        <v>1300</v>
      </c>
      <c r="G26" s="48" t="s">
        <v>1204</v>
      </c>
      <c r="H26" s="48" t="s">
        <v>1205</v>
      </c>
      <c r="I26" s="48" t="s">
        <v>1301</v>
      </c>
      <c r="J26" s="49" t="s">
        <v>1247</v>
      </c>
      <c r="K26" s="48" t="s">
        <v>1269</v>
      </c>
      <c r="L26" s="50" t="s">
        <v>1302</v>
      </c>
    </row>
    <row r="27" spans="1:12" ht="48">
      <c r="A27" s="48" t="s">
        <v>1120</v>
      </c>
      <c r="B27" s="48" t="s">
        <v>780</v>
      </c>
      <c r="C27" s="48" t="s">
        <v>804</v>
      </c>
      <c r="D27" s="48" t="s">
        <v>1250</v>
      </c>
      <c r="E27" s="48" t="s">
        <v>1202</v>
      </c>
      <c r="F27" s="48" t="s">
        <v>1303</v>
      </c>
      <c r="G27" s="48" t="s">
        <v>1204</v>
      </c>
      <c r="H27" s="48" t="s">
        <v>1205</v>
      </c>
      <c r="I27" s="48" t="s">
        <v>1304</v>
      </c>
      <c r="J27" s="49" t="s">
        <v>1247</v>
      </c>
      <c r="K27" s="48" t="s">
        <v>1269</v>
      </c>
      <c r="L27" s="50" t="s">
        <v>1305</v>
      </c>
    </row>
    <row r="28" spans="1:12" ht="21.95" customHeight="1">
      <c r="A28" s="48" t="s">
        <v>1120</v>
      </c>
      <c r="B28" s="48" t="s">
        <v>780</v>
      </c>
      <c r="C28" s="48" t="s">
        <v>1068</v>
      </c>
      <c r="D28" s="48" t="s">
        <v>1306</v>
      </c>
      <c r="E28" s="48" t="s">
        <v>1202</v>
      </c>
      <c r="F28" s="48" t="s">
        <v>1307</v>
      </c>
      <c r="G28" s="48" t="s">
        <v>1234</v>
      </c>
      <c r="H28" s="48" t="s">
        <v>277</v>
      </c>
      <c r="I28" s="48" t="s">
        <v>1308</v>
      </c>
      <c r="J28" s="49" t="s">
        <v>1247</v>
      </c>
      <c r="K28" s="48" t="s">
        <v>1309</v>
      </c>
      <c r="L28" s="50" t="s">
        <v>1310</v>
      </c>
    </row>
    <row r="29" spans="1:12" ht="21.95" customHeight="1">
      <c r="A29" s="51" t="s">
        <v>1311</v>
      </c>
      <c r="B29" s="51" t="str">
        <f>"(" &amp; COUNTIF($J$8:$J$37,"Partial overlap") &amp; " KPI" &amp; IF(COUNTIF($J$8:$J$37,"Partial overlap")=1,"","s") &amp; ")"</f>
        <v>(4 KPIs)</v>
      </c>
      <c r="C29" s="51"/>
      <c r="D29" s="51"/>
      <c r="E29" s="51"/>
      <c r="F29" s="51"/>
      <c r="G29" s="51"/>
      <c r="H29" s="51"/>
      <c r="I29" s="51"/>
      <c r="J29" s="51"/>
      <c r="K29" s="51"/>
      <c r="L29" s="51"/>
    </row>
    <row r="30" spans="1:12" ht="21.95" customHeight="1">
      <c r="A30" s="52" t="s">
        <v>1120</v>
      </c>
      <c r="B30" s="52" t="s">
        <v>599</v>
      </c>
      <c r="C30" s="52" t="s">
        <v>1312</v>
      </c>
      <c r="D30" s="52" t="s">
        <v>1313</v>
      </c>
      <c r="E30" s="52" t="s">
        <v>1211</v>
      </c>
      <c r="F30" s="52" t="s">
        <v>1314</v>
      </c>
      <c r="G30" s="52" t="s">
        <v>1274</v>
      </c>
      <c r="H30" s="52" t="s">
        <v>1205</v>
      </c>
      <c r="I30" s="52" t="s">
        <v>1315</v>
      </c>
      <c r="J30" s="53" t="s">
        <v>1316</v>
      </c>
      <c r="K30" s="52" t="s">
        <v>1317</v>
      </c>
      <c r="L30" s="54" t="s">
        <v>1318</v>
      </c>
    </row>
    <row r="31" spans="1:12" ht="48">
      <c r="A31" s="52" t="s">
        <v>1153</v>
      </c>
      <c r="B31" s="52" t="s">
        <v>1288</v>
      </c>
      <c r="C31" s="52" t="s">
        <v>1319</v>
      </c>
      <c r="D31" s="52" t="s">
        <v>1320</v>
      </c>
      <c r="E31" s="52" t="s">
        <v>1202</v>
      </c>
      <c r="F31" s="52" t="s">
        <v>1321</v>
      </c>
      <c r="G31" s="52" t="s">
        <v>1204</v>
      </c>
      <c r="H31" s="52" t="s">
        <v>1205</v>
      </c>
      <c r="I31" s="52" t="s">
        <v>1322</v>
      </c>
      <c r="J31" s="53" t="s">
        <v>1316</v>
      </c>
      <c r="K31" s="52" t="s">
        <v>1323</v>
      </c>
      <c r="L31" s="54" t="s">
        <v>1324</v>
      </c>
    </row>
    <row r="32" spans="1:12" ht="48">
      <c r="A32" s="52" t="s">
        <v>1120</v>
      </c>
      <c r="B32" s="52" t="s">
        <v>780</v>
      </c>
      <c r="C32" s="52" t="s">
        <v>1070</v>
      </c>
      <c r="D32" s="52" t="s">
        <v>1325</v>
      </c>
      <c r="E32" s="52" t="s">
        <v>1211</v>
      </c>
      <c r="F32" s="52" t="s">
        <v>1326</v>
      </c>
      <c r="G32" s="52" t="s">
        <v>1204</v>
      </c>
      <c r="H32" s="52" t="s">
        <v>1205</v>
      </c>
      <c r="I32" s="52" t="s">
        <v>1308</v>
      </c>
      <c r="J32" s="53" t="s">
        <v>1316</v>
      </c>
      <c r="K32" s="52" t="s">
        <v>1327</v>
      </c>
      <c r="L32" s="54" t="s">
        <v>1328</v>
      </c>
    </row>
    <row r="33" spans="1:12" ht="63.95">
      <c r="A33" s="52" t="s">
        <v>1120</v>
      </c>
      <c r="B33" s="52" t="s">
        <v>780</v>
      </c>
      <c r="C33" s="52" t="s">
        <v>1075</v>
      </c>
      <c r="D33" s="52" t="s">
        <v>1329</v>
      </c>
      <c r="E33" s="52" t="s">
        <v>1202</v>
      </c>
      <c r="F33" s="52" t="s">
        <v>1330</v>
      </c>
      <c r="G33" s="52" t="s">
        <v>1204</v>
      </c>
      <c r="H33" s="52" t="s">
        <v>1205</v>
      </c>
      <c r="I33" s="52" t="s">
        <v>1331</v>
      </c>
      <c r="J33" s="53" t="s">
        <v>1316</v>
      </c>
      <c r="K33" s="52" t="s">
        <v>1332</v>
      </c>
      <c r="L33" s="54" t="s">
        <v>1333</v>
      </c>
    </row>
    <row r="34" spans="1:12" ht="21.95" customHeight="1">
      <c r="A34" s="68" t="s">
        <v>1334</v>
      </c>
      <c r="B34" s="68" t="str">
        <f>"(" &amp; COUNTIF($J$8:$J$37,"Eliminated by owner") &amp; " KPI" &amp; IF(COUNTIF($J$8:$J$37,"Eliminated by owner")=1,"","s") &amp; ")"</f>
        <v>(1 KPI)</v>
      </c>
      <c r="C34" s="68"/>
      <c r="D34" s="68"/>
      <c r="E34" s="68"/>
      <c r="F34" s="68"/>
      <c r="G34" s="68"/>
      <c r="H34" s="68"/>
      <c r="I34" s="68"/>
      <c r="J34" s="68"/>
      <c r="K34" s="68"/>
      <c r="L34" s="68"/>
    </row>
    <row r="35" spans="1:12" ht="21.95" customHeight="1">
      <c r="A35" s="69" t="s">
        <v>1153</v>
      </c>
      <c r="B35" s="69" t="s">
        <v>1288</v>
      </c>
      <c r="C35" s="69" t="s">
        <v>1335</v>
      </c>
      <c r="D35" s="69" t="s">
        <v>1336</v>
      </c>
      <c r="E35" s="69"/>
      <c r="F35" s="69" t="s">
        <v>1336</v>
      </c>
      <c r="G35" s="69"/>
      <c r="H35" s="69" t="s">
        <v>1205</v>
      </c>
      <c r="I35" s="69" t="s">
        <v>1337</v>
      </c>
      <c r="J35" s="70" t="s">
        <v>1338</v>
      </c>
      <c r="K35" s="69" t="s">
        <v>1339</v>
      </c>
      <c r="L35" s="71" t="s">
        <v>1340</v>
      </c>
    </row>
    <row r="36" spans="1:12" ht="21.95" customHeight="1">
      <c r="A36" s="74" t="s">
        <v>1341</v>
      </c>
      <c r="B36" s="74" t="str">
        <f>"(" &amp; COUNTIF($J$8:$J$37,"Removed from catalog") &amp; " KPI" &amp; IF(COUNTIF($J$8:$J$37,"Removed from catalog")=1,"","s") &amp; ")"</f>
        <v>(1 KPI)</v>
      </c>
      <c r="C36" s="74"/>
      <c r="D36" s="74"/>
      <c r="E36" s="74"/>
      <c r="F36" s="74"/>
      <c r="G36" s="74"/>
      <c r="H36" s="74"/>
      <c r="I36" s="74"/>
      <c r="J36" s="74"/>
      <c r="K36" s="74"/>
      <c r="L36" s="74"/>
    </row>
    <row r="37" spans="1:12" ht="255.95">
      <c r="A37" s="75" t="s">
        <v>1120</v>
      </c>
      <c r="B37" s="75" t="s">
        <v>740</v>
      </c>
      <c r="C37" s="75" t="s">
        <v>1342</v>
      </c>
      <c r="D37" s="75" t="s">
        <v>1343</v>
      </c>
      <c r="E37" s="75" t="s">
        <v>1202</v>
      </c>
      <c r="F37" s="75" t="s">
        <v>1344</v>
      </c>
      <c r="G37" s="75" t="s">
        <v>1204</v>
      </c>
      <c r="H37" s="75" t="s">
        <v>1205</v>
      </c>
      <c r="I37" s="75" t="s">
        <v>1345</v>
      </c>
      <c r="J37" s="76" t="s">
        <v>1346</v>
      </c>
      <c r="K37" s="75" t="s">
        <v>1347</v>
      </c>
      <c r="L37" s="77" t="s">
        <v>1348</v>
      </c>
    </row>
    <row r="39" spans="1:12" ht="15.95">
      <c r="A39" s="31" t="s">
        <v>1349</v>
      </c>
    </row>
    <row r="40" spans="1:12">
      <c r="A40" s="67" t="s">
        <v>1350</v>
      </c>
      <c r="B40" s="67" t="s">
        <v>66</v>
      </c>
      <c r="C40" s="67" t="s">
        <v>1351</v>
      </c>
    </row>
    <row r="41" spans="1:12" ht="32.1">
      <c r="A41" s="63" t="str">
        <f>I8</f>
        <v>SAL-10 (new)</v>
      </c>
      <c r="B41" s="63" t="str">
        <f>C8</f>
        <v>Deposit-to-Move-In Conversion Rate</v>
      </c>
      <c r="C41" s="63" t="str">
        <f>IFERROR(INDEX('KPI Catalog'!$L$5:$L$119,MATCH(TRIM(SUBSTITUTE($A41," (new)","")),'KPI Catalog'!$A$5:$A$119,0)),"")</f>
        <v>RC 2025 CCRC Performance Benchmarks; Kushant Shah internal standard</v>
      </c>
    </row>
    <row r="42" spans="1:12" ht="48">
      <c r="A42" s="63" t="str">
        <f>I9</f>
        <v>SAL-11 (new)</v>
      </c>
      <c r="B42" s="63" t="str">
        <f>C9</f>
        <v>Cost per Acquired Resident</v>
      </c>
      <c r="C42" s="63" t="str">
        <f>IFERROR(INDEX('KPI Catalog'!$L$5:$L$119,MATCH(TRIM(SUBSTITUTE($A42," (new)","")),'KPI Catalog'!$A$5:$A$119,0)),"")</f>
        <v>RC 2025 CCRC Performance Benchmarks - CDS Best Practice Metrics 2025 (advisor material, derived)</v>
      </c>
    </row>
    <row r="43" spans="1:12" ht="32.1">
      <c r="A43" s="63" t="str">
        <f>I10</f>
        <v>FIN-11 (new)</v>
      </c>
      <c r="B43" s="63" t="str">
        <f>C10</f>
        <v>Accounts Receivable Aging (% &gt; 90 days)</v>
      </c>
      <c r="C43" s="63" t="str">
        <f>IFERROR(INDEX('KPI Catalog'!$L$5:$L$119,MATCH(TRIM(SUBSTITUTE($A43," (new)","")),'KPI Catalog'!$A$5:$A$119,0)),"")</f>
        <v>Kushant Shah internal standard</v>
      </c>
    </row>
    <row r="44" spans="1:12" ht="15" customHeight="1">
      <c r="A44" s="63" t="str">
        <f>I11</f>
        <v>FIN-12 (new)</v>
      </c>
      <c r="B44" s="63" t="str">
        <f>C11</f>
        <v>Bad Debt and Write-Off Rate</v>
      </c>
      <c r="C44" s="63" t="str">
        <f>IFERROR(INDEX('KPI Catalog'!$L$5:$L$119,MATCH(TRIM(SUBSTITUTE($A44," (new)","")),'KPI Catalog'!$A$5:$A$119,0)),"")</f>
        <v>RC 2025 CCRC Performance Benchmarks; Kushant Shah internal standard</v>
      </c>
    </row>
    <row r="45" spans="1:12" ht="15" customHeight="1">
      <c r="A45" s="63" t="str">
        <f>I12</f>
        <v>HR-11 (new)</v>
      </c>
      <c r="B45" s="63" t="str">
        <f>C12</f>
        <v>Time to Fill</v>
      </c>
      <c r="C45" s="63" t="str">
        <f>IFERROR(INDEX('KPI Catalog'!$L$5:$L$119,MATCH(TRIM(SUBSTITUTE($A45," (new)","")),'KPI Catalog'!$A$5:$A$119,0)),"")</f>
        <v>RC 2025 CCRC Performance Benchmarks (advisor internal standard)</v>
      </c>
    </row>
    <row r="46" spans="1:12" ht="15" customHeight="1">
      <c r="A46" s="63" t="str">
        <f>I13</f>
        <v>DIN-08 (new)</v>
      </c>
      <c r="B46" s="63" t="str">
        <f>C13</f>
        <v>Nutritional Assessment Completion Rate</v>
      </c>
      <c r="C46" s="63" t="str">
        <f>IFERROR(INDEX('KPI Catalog'!$L$5:$L$119,MATCH(TRIM(SUBSTITUTE($A46," (new)","")),'KPI Catalog'!$A$5:$A$119,0)),"")</f>
        <v>RC 2025 CCRC Performance Benchmarks (advisor internal standard)</v>
      </c>
    </row>
    <row r="47" spans="1:12" ht="15" customHeight="1">
      <c r="A47" s="63" t="str">
        <f>I14</f>
        <v>DIN-09 (new)</v>
      </c>
      <c r="B47" s="63" t="str">
        <f>C14</f>
        <v>Food Waste Rate</v>
      </c>
      <c r="C47" s="63" t="str">
        <f>IFERROR(INDEX('KPI Catalog'!$L$5:$L$119,MATCH(TRIM(SUBSTITUTE($A47," (new)","")),'KPI Catalog'!$A$5:$A$119,0)),"")</f>
        <v>Kushant Shah internal standard</v>
      </c>
    </row>
    <row r="48" spans="1:12" ht="15" customHeight="1"/>
    <row r="49" spans="1:1" ht="15" customHeight="1">
      <c r="A49" s="56" t="s">
        <v>1352</v>
      </c>
    </row>
    <row r="50" spans="1:1" ht="15" customHeight="1">
      <c r="A50" s="56"/>
    </row>
    <row r="51" spans="1:1" ht="15" customHeight="1">
      <c r="A51" s="57" t="s">
        <v>1353</v>
      </c>
    </row>
    <row r="52" spans="1:1" ht="15" customHeight="1">
      <c r="A52" s="56" t="s">
        <v>1354</v>
      </c>
    </row>
    <row r="53" spans="1:1" ht="15" customHeight="1">
      <c r="A53" s="56" t="s">
        <v>1355</v>
      </c>
    </row>
    <row r="54" spans="1:1" ht="15" customHeight="1">
      <c r="A54" s="56" t="s">
        <v>1356</v>
      </c>
    </row>
    <row r="55" spans="1:1" ht="15" customHeight="1">
      <c r="A55" s="56" t="s">
        <v>1357</v>
      </c>
    </row>
    <row r="56" spans="1:1" ht="15" customHeight="1">
      <c r="A56" s="56"/>
    </row>
    <row r="57" spans="1:1" ht="15" customHeight="1">
      <c r="A57" s="58" t="s">
        <v>1358</v>
      </c>
    </row>
    <row r="58" spans="1:1" ht="15" customHeight="1">
      <c r="A58" s="56"/>
    </row>
    <row r="59" spans="1:1" ht="15" customHeight="1">
      <c r="A59" s="58" t="s">
        <v>1359</v>
      </c>
    </row>
    <row r="61" spans="1:1" ht="15" customHeight="1">
      <c r="A61" s="58" t="s">
        <v>1360</v>
      </c>
    </row>
    <row r="62" spans="1:1" ht="15" customHeight="1">
      <c r="A62" s="58" t="s">
        <v>1361</v>
      </c>
    </row>
    <row r="63" spans="1:1" ht="15" customHeight="1">
      <c r="A63" s="58" t="s">
        <v>1362</v>
      </c>
    </row>
    <row r="64" spans="1:1" ht="15" customHeight="1">
      <c r="A64" s="58"/>
    </row>
    <row r="65" spans="1:1" ht="15" customHeight="1">
      <c r="A65" s="80" t="s">
        <v>1363</v>
      </c>
    </row>
    <row r="67" spans="1:1" ht="15" customHeight="1">
      <c r="A67" s="78" t="s">
        <v>1364</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9100EBCBC660E458A1F9D25E8720122" ma:contentTypeVersion="9" ma:contentTypeDescription="Create a new document." ma:contentTypeScope="" ma:versionID="0b235775f9e8a5c988bdc7e164d900cb">
  <xsd:schema xmlns:xsd="http://www.w3.org/2001/XMLSchema" xmlns:xs="http://www.w3.org/2001/XMLSchema" xmlns:p="http://schemas.microsoft.com/office/2006/metadata/properties" xmlns:ns2="1d9e14b1-be2a-464a-ba77-801d37960d33" xmlns:ns3="91807943-51f0-47d3-9560-db9fb9969f1a" targetNamespace="http://schemas.microsoft.com/office/2006/metadata/properties" ma:root="true" ma:fieldsID="99c332b4f9c8d179043c9583cc5c1805" ns2:_="" ns3:_="">
    <xsd:import namespace="1d9e14b1-be2a-464a-ba77-801d37960d33"/>
    <xsd:import namespace="91807943-51f0-47d3-9560-db9fb9969f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9e14b1-be2a-464a-ba77-801d37960d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df19989-8ec2-4d12-88a5-0f6a2bfed80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07943-51f0-47d3-9560-db9fb9969f1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2b67630-173c-4a5b-a091-d3a674c28d83}" ma:internalName="TaxCatchAll" ma:showField="CatchAllData" ma:web="91807943-51f0-47d3-9560-db9fb9969f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1807943-51f0-47d3-9560-db9fb9969f1a" xsi:nil="true"/>
    <lcf76f155ced4ddcb4097134ff3c332f xmlns="1d9e14b1-be2a-464a-ba77-801d37960d3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34E615-80B1-4EF4-8D7F-3E033205D362}"/>
</file>

<file path=customXml/itemProps2.xml><?xml version="1.0" encoding="utf-8"?>
<ds:datastoreItem xmlns:ds="http://schemas.openxmlformats.org/officeDocument/2006/customXml" ds:itemID="{07C7E06C-03CB-4FDA-8FF9-933198D6DD4C}"/>
</file>

<file path=customXml/itemProps3.xml><?xml version="1.0" encoding="utf-8"?>
<ds:datastoreItem xmlns:ds="http://schemas.openxmlformats.org/officeDocument/2006/customXml" ds:itemID="{6C932774-606A-4CDA-87C8-7FE140D1A84F}"/>
</file>

<file path=docProps/app.xml><?xml version="1.0" encoding="utf-8"?>
<Properties xmlns="http://schemas.openxmlformats.org/officeDocument/2006/extended-properties" xmlns:vt="http://schemas.openxmlformats.org/officeDocument/2006/docPropsVTypes">
  <Application>Microsoft Excel Online</Application>
  <Manager>Rob Clark</Manager>
  <Company>VMP Systems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Advantedge Operations - KPI Catalog v9</dc:title>
  <dc:subject/>
  <dc:creator>Rob Clark</dc:creator>
  <cp:keywords/>
  <dc:description>Level-of-care aware KPI catalog, 108 measures across nine departments.</dc:description>
  <cp:lastModifiedBy>Keval Shah</cp:lastModifiedBy>
  <cp:revision/>
  <dcterms:created xsi:type="dcterms:W3CDTF">2026-09-22T15:39:13Z</dcterms:created>
  <dcterms:modified xsi:type="dcterms:W3CDTF">2026-10-08T11:48:34Z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0x01010019100EBCBC660E458A1F9D25E8720122</vt:lpwstr>
  </property>
  <property fmtid="{D5CDD505-2E9C-101B-9397-08002B2CF9AE}" pid="3" name="MediaServiceImageTags">
    <vt:lpwstr/>
  </property>
</Properties>
</file>